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43de9cc3c1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График платежей" sheetId="1" r:id="Rbbdf479bb31e4da2"/>
    <x:sheet xmlns:r="http://schemas.openxmlformats.org/officeDocument/2006/relationships" name="Расчет платежа" sheetId="2" r:id="R2c3e8fc92cfb42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0&quot; ₽&quot;;[Red](#,##0.00)&quot; ₽&quot;;0.00&quot; ₽&quot;"/>
    <x:numFmt numFmtId="201" formatCode="dd&quot;.&quot;mm&quot;.&quot;yyyy"/>
    <x:numFmt numFmtId="202" formatCode="#,##0.00;[Red](#,##0.00);0.00"/>
    <x:numFmt numFmtId="203" formatCode="0.00%"/>
    <x:numFmt numFmtId="204" formatCode="0.000%"/>
    <x:numFmt numFmtId="205" formatCode="0"/>
    <x:numFmt numFmtId="206" formatCode="0.00000000"/>
    <x:numFmt numFmtId="207" formatCode="0.000000%"/>
  </x:numFmts>
  <x:fonts count="12">
    <x:font>
      <x:sz val="11"/>
      <x:name val="Carlito"/>
    </x:font>
    <x:font>
      <x:sz val="11"/>
      <x:color rgb="FF111111"/>
      <x:name val="Arial"/>
    </x:font>
    <x:font>
      <x:b/>
      <x:sz val="25"/>
      <x:color rgb="FF111111"/>
      <x:name val="Arial"/>
    </x:font>
    <x:font>
      <x:sz val="11"/>
      <x:color rgb="FF6F6F6F"/>
      <x:name val="Arial"/>
    </x:font>
    <x:font>
      <x:b/>
      <x:sz val="21"/>
      <x:color rgb="FF111111"/>
      <x:name val="Arial"/>
    </x:font>
    <x:font>
      <x:b/>
      <x:sz val="17"/>
      <x:color rgb="FF111111"/>
      <x:name val="Arial"/>
    </x:font>
    <x:font>
      <x:b/>
      <x:sz val="12"/>
      <x:color rgb="FF111111"/>
      <x:name val="Arial"/>
    </x:font>
    <x:font>
      <x:sz val="11"/>
      <x:color rgb="FF0000FF"/>
      <x:name val="Arial"/>
    </x:font>
    <x:font>
      <x:sz val="11"/>
      <x:color rgb="FF666666"/>
      <x:name val="Arial"/>
    </x:font>
    <x:font>
      <x:b/>
      <x:sz val="11"/>
      <x:color rgb="FF111111"/>
      <x:name val="Arial"/>
    </x:font>
    <x:font>
      <x:sz val="11"/>
      <x:color rgb="FF008000"/>
      <x:name val="Arial"/>
    </x:font>
    <x:font>
      <x:sz val="10"/>
      <x:color rgb="FF66666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8CB20"/>
      </x:patternFill>
    </x:fill>
    <x:fill>
      <x:patternFill patternType="solid">
        <x:fgColor rgb="FFF6F6F6"/>
      </x:patternFill>
    </x:fill>
    <x:fill>
      <x:patternFill patternType="solid">
        <x:fgColor rgb="FFFFF7D6"/>
      </x:patternFill>
    </x:fill>
    <x:fill>
      <x:patternFill patternType="solid">
        <x:fgColor rgb="FFF3F3F3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AEAEA"/>
      </x:bottom>
      <x:diagonal/>
    </x:border>
    <x:border>
      <x:left/>
      <x:right/>
      <x:top style="thin">
        <x:color rgb="FFEAEAEA"/>
      </x:top>
      <x:bottom style="thin">
        <x:color rgb="FFEAEAEA"/>
      </x:bottom>
      <x:diagonal/>
    </x:border>
    <x:border>
      <x:left/>
      <x:right/>
      <x:top style="thin">
        <x:color rgb="FFEAEAEA"/>
      </x:top>
      <x:bottom/>
      <x:diagonal/>
    </x:border>
  </x:borders>
  <x:cellStyleXfs count="1">
    <x:xf numFmtId="0" fontId="0" fillId="0" borderId="0"/>
  </x:cellStyleXfs>
  <x:cellXfs count="7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1" fontId="1" fillId="0" borderId="1" xfId="0" applyNumberFormat="1" applyFont="1" applyFill="1" applyBorder="1" applyAlignment="1">
      <x:alignment horizontal="lef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201" fontId="1" fillId="0" borderId="2" xfId="0" applyNumberFormat="1" applyFont="1" applyFill="1" applyBorder="1" applyAlignment="1">
      <x:alignment horizontal="left" vertical="center"/>
    </x:xf>
    <x:xf numFmtId="202" fontId="1" fillId="0" borderId="2" xfId="0" applyNumberFormat="1" applyFont="1" applyFill="1" applyBorder="1" applyAlignment="1">
      <x:alignment horizontal="right" vertical="center"/>
    </x:xf>
    <x:xf numFmtId="201" fontId="1" fillId="0" borderId="3" xfId="0" applyNumberFormat="1" applyFont="1" applyFill="1" applyBorder="1" applyAlignment="1">
      <x:alignment horizontal="left" vertical="center"/>
    </x:xf>
    <x:xf numFmtId="202" fontId="1" fillId="0" borderId="3" xfId="0" applyNumberFormat="1" applyFont="1" applyFill="1" applyBorder="1" applyAlignment="1">
      <x:alignment horizontal="right" vertical="center"/>
    </x:xf>
    <x:xf numFmtId="201" fontId="1" fillId="3" borderId="1" xfId="0" applyNumberFormat="1" applyFont="1" applyFill="1" applyBorder="1" applyAlignment="1">
      <x:alignment horizontal="left" vertical="center"/>
    </x:xf>
    <x:xf numFmtId="202" fontId="1" fillId="3" borderId="1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202" fontId="7" fillId="4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3" fontId="7" fillId="4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5" fontId="7" fillId="4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horizontal="right" vertical="center"/>
    </x:xf>
    <x:xf numFmtId="202" fontId="7" fillId="4" borderId="0" xfId="0" applyNumberFormat="1" applyFont="1" applyFill="1" applyBorder="1" applyAlignment="1">
      <x:alignment horizontal="right" vertical="center"/>
    </x:xf>
    <x:xf numFmtId="203" fontId="7" fillId="4" borderId="0" xfId="0" applyNumberFormat="1" applyFont="1" applyFill="1" applyBorder="1" applyAlignment="1">
      <x:alignment horizontal="right" vertical="center"/>
    </x:xf>
    <x:xf numFmtId="205" fontId="7" fillId="4" borderId="0" xfId="0" applyNumberFormat="1" applyFont="1" applyFill="1" applyBorder="1" applyAlignment="1">
      <x:alignment horizontal="right" vertical="center"/>
    </x:xf>
    <x:xf numFmtId="205" fontId="1" fillId="5" borderId="0" xfId="0" applyNumberFormat="1" applyFont="1" applyFill="1" applyBorder="1" applyAlignment="1">
      <x:alignment horizontal="right" vertical="center"/>
    </x:xf>
    <x:xf numFmtId="204" fontId="1" fillId="5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0" fontId="7" fillId="4" borderId="0" xfId="0" applyNumberFormat="1" applyFont="1" applyFill="1" applyBorder="1" applyAlignment="1">
      <x:alignment horizontal="right" vertical="center"/>
    </x:xf>
    <x:xf numFmtId="0" fontId="7" fillId="4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207" fontId="10" fillId="0" borderId="0" xfId="0" applyNumberFormat="1" applyFont="1" applyFill="1" applyBorder="1" applyAlignment="1">
      <x:alignment vertical="center"/>
    </x:xf>
    <x:xf numFmtId="205" fontId="1" fillId="0" borderId="1" xfId="0" applyNumberFormat="1" applyFont="1" applyFill="1" applyBorder="1" applyAlignment="1">
      <x:alignment vertical="center"/>
    </x:xf>
    <x:xf numFmtId="201" fontId="10" fillId="0" borderId="1" xfId="0" applyNumberFormat="1" applyFont="1" applyFill="1" applyBorder="1" applyAlignment="1">
      <x:alignment vertical="center"/>
    </x:xf>
    <x:xf numFmtId="207" fontId="10" fillId="0" borderId="1" xfId="0" applyNumberFormat="1" applyFont="1" applyFill="1" applyBorder="1" applyAlignment="1">
      <x:alignment vertical="center"/>
    </x:xf>
    <x:xf numFmtId="206" fontId="1" fillId="0" borderId="1" xfId="0" applyNumberFormat="1" applyFont="1" applyFill="1" applyBorder="1" applyAlignment="1">
      <x:alignment vertical="center"/>
    </x:xf>
    <x:xf numFmtId="205" fontId="1" fillId="0" borderId="2" xfId="0" applyNumberFormat="1" applyFont="1" applyFill="1" applyBorder="1" applyAlignment="1">
      <x:alignment vertical="center"/>
    </x:xf>
    <x:xf numFmtId="201" fontId="10" fillId="0" borderId="2" xfId="0" applyNumberFormat="1" applyFont="1" applyFill="1" applyBorder="1" applyAlignment="1">
      <x:alignment vertical="center"/>
    </x:xf>
    <x:xf numFmtId="207" fontId="10" fillId="0" borderId="2" xfId="0" applyNumberFormat="1" applyFont="1" applyFill="1" applyBorder="1" applyAlignment="1">
      <x:alignment vertical="center"/>
    </x:xf>
    <x:xf numFmtId="206" fontId="1" fillId="0" borderId="2" xfId="0" applyNumberFormat="1" applyFont="1" applyFill="1" applyBorder="1" applyAlignment="1">
      <x:alignment vertical="center"/>
    </x:xf>
    <x:xf numFmtId="205" fontId="1" fillId="0" borderId="3" xfId="0" applyNumberFormat="1" applyFont="1" applyFill="1" applyBorder="1" applyAlignment="1">
      <x:alignment vertical="center"/>
    </x:xf>
    <x:xf numFmtId="201" fontId="10" fillId="0" borderId="3" xfId="0" applyNumberFormat="1" applyFont="1" applyFill="1" applyBorder="1" applyAlignment="1">
      <x:alignment vertical="center"/>
    </x:xf>
    <x:xf numFmtId="207" fontId="10" fillId="0" borderId="3" xfId="0" applyNumberFormat="1" applyFont="1" applyFill="1" applyBorder="1" applyAlignment="1">
      <x:alignment vertical="center"/>
    </x:xf>
    <x:xf numFmtId="206" fontId="1" fillId="0" borderId="3" xfId="0" applyNumberFormat="1" applyFont="1" applyFill="1" applyBorder="1" applyAlignment="1">
      <x:alignment vertical="center"/>
    </x:xf>
    <x:xf numFmtId="205" fontId="1" fillId="0" borderId="1" xfId="0" applyNumberFormat="1" applyFont="1" applyFill="1" applyBorder="1" applyAlignment="1">
      <x:alignment horizontal="right" vertical="center"/>
    </x:xf>
    <x:xf numFmtId="201" fontId="10" fillId="0" borderId="1" xfId="0" applyNumberFormat="1" applyFont="1" applyFill="1" applyBorder="1" applyAlignment="1">
      <x:alignment horizontal="right" vertical="center"/>
    </x:xf>
    <x:xf numFmtId="207" fontId="10" fillId="0" borderId="1" xfId="0" applyNumberFormat="1" applyFont="1" applyFill="1" applyBorder="1" applyAlignment="1">
      <x:alignment horizontal="right" vertical="center"/>
    </x:xf>
    <x:xf numFmtId="206" fontId="1" fillId="0" borderId="1" xfId="0" applyNumberFormat="1" applyFont="1" applyFill="1" applyBorder="1" applyAlignment="1">
      <x:alignment horizontal="right" vertical="center"/>
    </x:xf>
    <x:xf numFmtId="205" fontId="1" fillId="0" borderId="2" xfId="0" applyNumberFormat="1" applyFont="1" applyFill="1" applyBorder="1" applyAlignment="1">
      <x:alignment horizontal="right" vertical="center"/>
    </x:xf>
    <x:xf numFmtId="201" fontId="10" fillId="0" borderId="2" xfId="0" applyNumberFormat="1" applyFont="1" applyFill="1" applyBorder="1" applyAlignment="1">
      <x:alignment horizontal="right" vertical="center"/>
    </x:xf>
    <x:xf numFmtId="207" fontId="10" fillId="0" borderId="2" xfId="0" applyNumberFormat="1" applyFont="1" applyFill="1" applyBorder="1" applyAlignment="1">
      <x:alignment horizontal="right" vertical="center"/>
    </x:xf>
    <x:xf numFmtId="206" fontId="1" fillId="0" borderId="2" xfId="0" applyNumberFormat="1" applyFont="1" applyFill="1" applyBorder="1" applyAlignment="1">
      <x:alignment horizontal="right" vertical="center"/>
    </x:xf>
    <x:xf numFmtId="205" fontId="1" fillId="0" borderId="3" xfId="0" applyNumberFormat="1" applyFont="1" applyFill="1" applyBorder="1" applyAlignment="1">
      <x:alignment horizontal="right" vertical="center"/>
    </x:xf>
    <x:xf numFmtId="201" fontId="10" fillId="0" borderId="3" xfId="0" applyNumberFormat="1" applyFont="1" applyFill="1" applyBorder="1" applyAlignment="1">
      <x:alignment horizontal="right" vertical="center"/>
    </x:xf>
    <x:xf numFmtId="207" fontId="10" fillId="0" borderId="3" xfId="0" applyNumberFormat="1" applyFont="1" applyFill="1" applyBorder="1" applyAlignment="1">
      <x:alignment horizontal="right" vertical="center"/>
    </x:xf>
    <x:xf numFmtId="206" fontId="1" fillId="0" borderId="3" xfId="0" applyNumberFormat="1" applyFont="1" applyFill="1" applyBorder="1" applyAlignment="1">
      <x:alignment horizontal="right" vertical="center"/>
    </x:xf>
    <x:xf numFmtId="0" fontId="9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5f4ad1d53a4886" /><Relationship Type="http://schemas.openxmlformats.org/officeDocument/2006/relationships/theme" Target="/xl/theme/theme1.xml" Id="Rc226cd7e23924942" /><Relationship Type="http://schemas.openxmlformats.org/officeDocument/2006/relationships/sharedStrings" Target="/xl/sharedStrings.xml" Id="R4b01bf574f3843ea" /><Relationship Type="http://schemas.openxmlformats.org/officeDocument/2006/relationships/worksheet" Target="/xl/worksheets/sheet1.xml" Id="Rbbdf479bb31e4da2" /><Relationship Type="http://schemas.openxmlformats.org/officeDocument/2006/relationships/worksheet" Target="/xl/worksheets/sheet2.xml" Id="R2c3e8fc92cfb42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8CB2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.5" hidden="0" customWidth="1"/>
    <x:col min="2" max="2" width="20" hidden="0" customWidth="1"/>
    <x:col min="3" max="3" width="21.8799991607666" hidden="0" customWidth="1"/>
    <x:col min="4" max="4" width="21.8799991607666" hidden="0" customWidth="1"/>
    <x:col min="5" max="5" width="22.5" hidden="0" customWidth="1"/>
    <x:col min="6" max="6" width="23.75" hidden="0" customWidth="1"/>
    <x:col min="7" max="7" width="3.5" hidden="0" customWidth="1"/>
    <x:col min="8" max="8" width="40.630001068115234" hidden="0" customWidth="1"/>
    <x:col min="9" max="9" width="23.75" hidden="0" customWidth="1"/>
  </x:cols>
  <x:sheetData>
    <x:row r="1" ht="10" customHeight="1">
      <x:c r="A1" s="1"/>
      <x:c r="B1" s="2"/>
      <x:c r="C1" s="2"/>
      <x:c r="D1" s="2"/>
      <x:c r="E1" s="2"/>
      <x:c r="F1" s="2"/>
      <x:c r="G1" s="2"/>
      <x:c r="H1" s="2"/>
      <x:c r="I1" s="2"/>
    </x:row>
    <x:row r="2" ht="38" customHeight="1">
      <x:c r="A2" s="1"/>
      <x:c r="B2" s="3" t="str">
        <x:v>Результаты расчета</x:v>
      </x:c>
      <x:c r="C2" s="3"/>
      <x:c r="D2" s="3"/>
      <x:c r="E2" s="3"/>
      <x:c r="F2" s="3"/>
      <x:c r="G2" s="2"/>
      <x:c r="H2" s="2"/>
      <x:c r="I2" s="2"/>
    </x:row>
    <x:row r="3" ht="12" customHeight="1">
      <x:c r="A3" s="1"/>
      <x:c r="B3" s="2"/>
      <x:c r="C3" s="2"/>
      <x:c r="D3" s="2"/>
      <x:c r="E3" s="2"/>
      <x:c r="F3" s="2"/>
      <x:c r="G3" s="2"/>
      <x:c r="H3" s="2"/>
      <x:c r="I3" s="2"/>
    </x:row>
    <x:row r="4" ht="22" customHeight="1">
      <x:c r="A4" s="1"/>
      <x:c r="B4" s="4" t="str">
        <x:v>Всего выплат после даты остатка</x:v>
      </x:c>
      <x:c r="C4" s="4"/>
      <x:c r="D4" s="4" t="str">
        <x:v>Переплата после даты остатка</x:v>
      </x:c>
      <x:c r="E4" s="4"/>
      <x:c r="F4" s="4" t="str">
        <x:v>Регулярный платёж</x:v>
      </x:c>
      <x:c r="G4" s="2"/>
      <x:c r="H4" s="2"/>
      <x:c r="I4" s="2"/>
    </x:row>
    <x:row r="5" ht="21" customHeight="1">
      <x:c r="A5" s="1"/>
      <x:c r="B5" s="6" t="n">
        <x:f>SUM(C10:C609)</x:f>
        <x:v>8685071.060000036</x:v>
      </x:c>
      <x:c r="C5" s="6"/>
      <x:c r="D5" s="6" t="n">
        <x:f>SUM(D10:D609)</x:f>
        <x:v>5039033.170000002</x:v>
      </x:c>
      <x:c r="E5" s="6"/>
      <x:c r="F5" s="7" t="n">
        <x:f>I18</x:f>
        <x:v>26003.2</x:v>
      </x:c>
      <x:c r="G5" s="2"/>
      <x:c r="H5" s="2"/>
      <x:c r="I5" s="2"/>
    </x:row>
    <x:row r="6" ht="21" customHeight="1">
      <x:c r="A6" s="1"/>
      <x:c r="B6" s="6"/>
      <x:c r="C6" s="6"/>
      <x:c r="D6" s="6"/>
      <x:c r="E6" s="6"/>
      <x:c r="F6" s="7"/>
      <x:c r="G6" s="2"/>
      <x:c r="H6" s="2"/>
      <x:c r="I6" s="2"/>
    </x:row>
    <x:row r="7" ht="12" customHeight="1">
      <x:c r="A7" s="1"/>
      <x:c r="B7" s="2"/>
      <x:c r="C7" s="2"/>
      <x:c r="D7" s="2"/>
      <x:c r="E7" s="2"/>
      <x:c r="F7" s="2"/>
      <x:c r="G7" s="2"/>
      <x:c r="H7" s="2"/>
      <x:c r="I7" s="2"/>
    </x:row>
    <x:row r="8" ht="34" customHeight="1">
      <x:c r="A8" s="1"/>
      <x:c r="B8" s="10" t="str">
        <x:v>Дата</x:v>
      </x:c>
      <x:c r="C8" s="10" t="str">
        <x:v>Платеж</x:v>
      </x:c>
      <x:c r="D8" s="10" t="str">
        <x:v>Проценты</x:v>
      </x:c>
      <x:c r="E8" s="10" t="str">
        <x:v>Тело кредита</x:v>
      </x:c>
      <x:c r="F8" s="10" t="str">
        <x:v>Остаток</x:v>
      </x:c>
      <x:c r="G8" s="2"/>
      <x:c r="H8" s="9" t="str">
        <x:v>Параметры расчета</x:v>
      </x:c>
      <x:c r="I8" s="9"/>
    </x:row>
    <x:row r="9" ht="24" customHeight="1">
      <x:c r="A9" s="1"/>
      <x:c r="B9" s="21" t="n">
        <x:f>$I$10</x:f>
        <x:v>44804</x:v>
      </x:c>
      <x:c r="C9" s="22" t="n">
        <x:f>0</x:f>
        <x:v>0</x:v>
      </x:c>
      <x:c r="D9" s="22" t="n">
        <x:f>0</x:f>
        <x:v>0</x:v>
      </x:c>
      <x:c r="E9" s="22" t="n">
        <x:f>0</x:f>
        <x:v>0</x:v>
      </x:c>
      <x:c r="F9" s="22" t="n">
        <x:f>$I$11</x:f>
        <x:v>3646037.89</x:v>
      </x:c>
      <x:c r="G9" s="2"/>
      <x:c r="H9" s="2" t="str">
        <x:v>Дата открытия сделки</x:v>
      </x:c>
      <x:c r="I9" s="33" t="n">
        <x:v>44004</x:v>
      </x:c>
    </x:row>
    <x:row r="10" ht="24" customHeight="1">
      <x:c r="A10" s="1"/>
      <x:c r="B10" s="17" t="n">
        <x:f>IF(ROW()-ROW($B$9)&lt;=$I$16,MIN($I$14,EDATE($I$15,(ROW()-ROW($B$9)-1)*$I$13)),"")</x:f>
        <x:v>44826</x:v>
      </x:c>
      <x:c r="C10" s="18" t="n">
        <x:f>IF(B10="","",IF(ROW()-ROW($B$9)=$I$16,ROUND(F9+D10,2),MIN($I$18,ROUND(F9+D10,2))))</x:f>
        <x:v>26003.2</x:v>
      </x:c>
      <x:c r="D10" s="18" t="n">
        <x:f>IF(B10="","",ROUND(IF($I$19="Факт / 365",F9*$I$12*(B10-B9)/$I$20,F9*$I$17),2))</x:f>
        <x:v>16482.09</x:v>
      </x:c>
      <x:c r="E10" s="18" t="n">
        <x:f>IF(B10="","",ROUND(C10-D10,2))</x:f>
        <x:v>9521.11</x:v>
      </x:c>
      <x:c r="F10" s="18" t="n">
        <x:f>IF(B10="","",ROUND(F9-E10,2))</x:f>
        <x:v>3636516.78</x:v>
      </x:c>
      <x:c r="G10" s="2"/>
      <x:c r="H10" s="2" t="str">
        <x:v>Дата остатка долга</x:v>
      </x:c>
      <x:c r="I10" s="33" t="n">
        <x:v>44804</x:v>
      </x:c>
    </x:row>
    <x:row r="11" ht="24" customHeight="1">
      <x:c r="A11" s="1"/>
      <x:c r="B11" s="17" t="n">
        <x:f>IF(ROW()-ROW($B$9)&lt;=$I$16,MIN($I$14,EDATE($I$15,(ROW()-ROW($B$9)-1)*$I$13)),"")</x:f>
        <x:v>44856</x:v>
      </x:c>
      <x:c r="C11" s="18" t="n">
        <x:f>IF(B11="","",IF(ROW()-ROW($B$9)=$I$16,ROUND(F10+D11,2),MIN($I$18,ROUND(F10+D11,2))))</x:f>
        <x:v>26003.2</x:v>
      </x:c>
      <x:c r="D11" s="18" t="n">
        <x:f>IF(B11="","",ROUND(IF($I$19="Факт / 365",F10*$I$12*(B11-B10)/$I$20,F10*$I$17),2))</x:f>
        <x:v>22416.88</x:v>
      </x:c>
      <x:c r="E11" s="18" t="n">
        <x:f>IF(B11="","",ROUND(C11-D11,2))</x:f>
        <x:v>3586.32</x:v>
      </x:c>
      <x:c r="F11" s="18" t="n">
        <x:f>IF(B11="","",ROUND(F10-E11,2))</x:f>
        <x:v>3632930.46</x:v>
      </x:c>
      <x:c r="G11" s="2"/>
      <x:c r="H11" s="2" t="str">
        <x:v>Остаток основного долга, ₽</x:v>
      </x:c>
      <x:c r="I11" s="34" t="n">
        <x:v>3646037.89</x:v>
      </x:c>
    </x:row>
    <x:row r="12" ht="24" customHeight="1">
      <x:c r="A12" s="1"/>
      <x:c r="B12" s="17" t="n">
        <x:f>IF(ROW()-ROW($B$9)&lt;=$I$16,MIN($I$14,EDATE($I$15,(ROW()-ROW($B$9)-1)*$I$13)),"")</x:f>
        <x:v>44887</x:v>
      </x:c>
      <x:c r="C12" s="18" t="n">
        <x:f>IF(B12="","",IF(ROW()-ROW($B$9)=$I$16,ROUND(F11+D12,2),MIN($I$18,ROUND(F11+D12,2))))</x:f>
        <x:v>26003.2</x:v>
      </x:c>
      <x:c r="D12" s="18" t="n">
        <x:f>IF(B12="","",ROUND(IF($I$19="Факт / 365",F11*$I$12*(B12-B11)/$I$20,F11*$I$17),2))</x:f>
        <x:v>23141.27</x:v>
      </x:c>
      <x:c r="E12" s="18" t="n">
        <x:f>IF(B12="","",ROUND(C12-D12,2))</x:f>
        <x:v>2861.93</x:v>
      </x:c>
      <x:c r="F12" s="18" t="n">
        <x:f>IF(B12="","",ROUND(F11-E12,2))</x:f>
        <x:v>3630068.53</x:v>
      </x:c>
      <x:c r="G12" s="2"/>
      <x:c r="H12" s="2" t="str">
        <x:v>Годовая ставка</x:v>
      </x:c>
      <x:c r="I12" s="35" t="n">
        <x:v>0.075</x:v>
      </x:c>
    </x:row>
    <x:row r="13" ht="24" customHeight="1">
      <x:c r="A13" s="1"/>
      <x:c r="B13" s="17" t="n">
        <x:f>IF(ROW()-ROW($B$9)&lt;=$I$16,MIN($I$14,EDATE($I$15,(ROW()-ROW($B$9)-1)*$I$13)),"")</x:f>
        <x:v>44917</x:v>
      </x:c>
      <x:c r="C13" s="18" t="n">
        <x:f>IF(B13="","",IF(ROW()-ROW($B$9)=$I$16,ROUND(F12+D13,2),MIN($I$18,ROUND(F12+D13,2))))</x:f>
        <x:v>26003.2</x:v>
      </x:c>
      <x:c r="D13" s="18" t="n">
        <x:f>IF(B13="","",ROUND(IF($I$19="Факт / 365",F12*$I$12*(B13-B12)/$I$20,F12*$I$17),2))</x:f>
        <x:v>22377.13</x:v>
      </x:c>
      <x:c r="E13" s="18" t="n">
        <x:f>IF(B13="","",ROUND(C13-D13,2))</x:f>
        <x:v>3626.07</x:v>
      </x:c>
      <x:c r="F13" s="18" t="n">
        <x:f>IF(B13="","",ROUND(F12-E13,2))</x:f>
        <x:v>3626442.46</x:v>
      </x:c>
      <x:c r="G13" s="2"/>
      <x:c r="H13" s="2" t="str">
        <x:v>Периодичность, месяцев</x:v>
      </x:c>
      <x:c r="I13" s="36" t="n">
        <x:v>1</x:v>
      </x:c>
    </x:row>
    <x:row r="14" ht="24" customHeight="1">
      <x:c r="A14" s="1"/>
      <x:c r="B14" s="17" t="n">
        <x:f>IF(ROW()-ROW($B$9)&lt;=$I$16,MIN($I$14,EDATE($I$15,(ROW()-ROW($B$9)-1)*$I$13)),"")</x:f>
        <x:v>44948</x:v>
      </x:c>
      <x:c r="C14" s="18" t="n">
        <x:f>IF(B14="","",IF(ROW()-ROW($B$9)=$I$16,ROUND(F13+D14,2),MIN($I$18,ROUND(F13+D14,2))))</x:f>
        <x:v>26003.2</x:v>
      </x:c>
      <x:c r="D14" s="18" t="n">
        <x:f>IF(B14="","",ROUND(IF($I$19="Факт / 365",F13*$I$12*(B14-B13)/$I$20,F13*$I$17),2))</x:f>
        <x:v>23099.94</x:v>
      </x:c>
      <x:c r="E14" s="18" t="n">
        <x:f>IF(B14="","",ROUND(C14-D14,2))</x:f>
        <x:v>2903.26</x:v>
      </x:c>
      <x:c r="F14" s="18" t="n">
        <x:f>IF(B14="","",ROUND(F13-E14,2))</x:f>
        <x:v>3623539.2</x:v>
      </x:c>
      <x:c r="G14" s="2"/>
      <x:c r="H14" s="2" t="str">
        <x:v>Дата последнего платежа</x:v>
      </x:c>
      <x:c r="I14" s="33" t="n">
        <x:v>54954</x:v>
      </x:c>
    </x:row>
    <x:row r="15" ht="24" customHeight="1">
      <x:c r="A15" s="1"/>
      <x:c r="B15" s="17" t="n">
        <x:f>IF(ROW()-ROW($B$9)&lt;=$I$16,MIN($I$14,EDATE($I$15,(ROW()-ROW($B$9)-1)*$I$13)),"")</x:f>
        <x:v>44979</x:v>
      </x:c>
      <x:c r="C15" s="18" t="n">
        <x:f>IF(B15="","",IF(ROW()-ROW($B$9)=$I$16,ROUND(F14+D15,2),MIN($I$18,ROUND(F14+D15,2))))</x:f>
        <x:v>26003.2</x:v>
      </x:c>
      <x:c r="D15" s="18" t="n">
        <x:f>IF(B15="","",ROUND(IF($I$19="Факт / 365",F14*$I$12*(B15-B14)/$I$20,F14*$I$17),2))</x:f>
        <x:v>23081.45</x:v>
      </x:c>
      <x:c r="E15" s="18" t="n">
        <x:f>IF(B15="","",ROUND(C15-D15,2))</x:f>
        <x:v>2921.75</x:v>
      </x:c>
      <x:c r="F15" s="18" t="n">
        <x:f>IF(B15="","",ROUND(F14-E15,2))</x:f>
        <x:v>3620617.45</x:v>
      </x:c>
      <x:c r="G15" s="2"/>
      <x:c r="H15" s="2" t="str">
        <x:v>Первый платеж после даты остатка</x:v>
      </x:c>
      <x:c r="I15" s="33" t="n">
        <x:v>44826</x:v>
      </x:c>
    </x:row>
    <x:row r="16" ht="24" customHeight="1">
      <x:c r="A16" s="1"/>
      <x:c r="B16" s="17" t="n">
        <x:f>IF(ROW()-ROW($B$9)&lt;=$I$16,MIN($I$14,EDATE($I$15,(ROW()-ROW($B$9)-1)*$I$13)),"")</x:f>
        <x:v>45007</x:v>
      </x:c>
      <x:c r="C16" s="18" t="n">
        <x:f>IF(B16="","",IF(ROW()-ROW($B$9)=$I$16,ROUND(F15+D16,2),MIN($I$18,ROUND(F15+D16,2))))</x:f>
        <x:v>26003.2</x:v>
      </x:c>
      <x:c r="D16" s="18" t="n">
        <x:f>IF(B16="","",ROUND(IF($I$19="Факт / 365",F15*$I$12*(B16-B15)/$I$20,F15*$I$17),2))</x:f>
        <x:v>20830.95</x:v>
      </x:c>
      <x:c r="E16" s="18" t="n">
        <x:f>IF(B16="","",ROUND(C16-D16,2))</x:f>
        <x:v>5172.25</x:v>
      </x:c>
      <x:c r="F16" s="18" t="n">
        <x:f>IF(B16="","",ROUND(F15-E16,2))</x:f>
        <x:v>3615445.2</x:v>
      </x:c>
      <x:c r="G16" s="2"/>
      <x:c r="H16" s="2" t="str">
        <x:v>Количество оставшихся платежей</x:v>
      </x:c>
      <x:c r="I16" s="37" t="n">
        <x:f>ROUNDUP(((YEAR(I14)-YEAR(I15))*12+MONTH(I14)-MONTH(I15))/I13,0)+1</x:f>
        <x:v>334</x:v>
      </x:c>
    </x:row>
    <x:row r="17" ht="24" customHeight="1">
      <x:c r="A17" s="1"/>
      <x:c r="B17" s="17" t="n">
        <x:f>IF(ROW()-ROW($B$9)&lt;=$I$16,MIN($I$14,EDATE($I$15,(ROW()-ROW($B$9)-1)*$I$13)),"")</x:f>
        <x:v>45038</x:v>
      </x:c>
      <x:c r="C17" s="18" t="n">
        <x:f>IF(B17="","",IF(ROW()-ROW($B$9)=$I$16,ROUND(F16+D17,2),MIN($I$18,ROUND(F16+D17,2))))</x:f>
        <x:v>26003.2</x:v>
      </x:c>
      <x:c r="D17" s="18" t="n">
        <x:f>IF(B17="","",ROUND(IF($I$19="Факт / 365",F16*$I$12*(B17-B16)/$I$20,F16*$I$17),2))</x:f>
        <x:v>23029.89</x:v>
      </x:c>
      <x:c r="E17" s="18" t="n">
        <x:f>IF(B17="","",ROUND(C17-D17,2))</x:f>
        <x:v>2973.31</x:v>
      </x:c>
      <x:c r="F17" s="18" t="n">
        <x:f>IF(B17="","",ROUND(F16-E17,2))</x:f>
        <x:v>3612471.89</x:v>
      </x:c>
      <x:c r="G17" s="2"/>
      <x:c r="H17" s="2" t="str">
        <x:v>Ставка за платежный период</x:v>
      </x:c>
      <x:c r="I17" s="38" t="n">
        <x:f>I12*I13/12</x:f>
        <x:v>0.0062499999999999995</x:v>
      </x:c>
    </x:row>
    <x:row r="18" ht="24" customHeight="1">
      <x:c r="A18" s="1"/>
      <x:c r="B18" s="17" t="n">
        <x:f>IF(ROW()-ROW($B$9)&lt;=$I$16,MIN($I$14,EDATE($I$15,(ROW()-ROW($B$9)-1)*$I$13)),"")</x:f>
        <x:v>45068</x:v>
      </x:c>
      <x:c r="C18" s="18" t="n">
        <x:f>IF(B18="","",IF(ROW()-ROW($B$9)=$I$16,ROUND(F17+D18,2),MIN($I$18,ROUND(F17+D18,2))))</x:f>
        <x:v>26003.2</x:v>
      </x:c>
      <x:c r="D18" s="18" t="n">
        <x:f>IF(B18="","",ROUND(IF($I$19="Факт / 365",F17*$I$12*(B18-B17)/$I$20,F17*$I$17),2))</x:f>
        <x:v>22268.66</x:v>
      </x:c>
      <x:c r="E18" s="18" t="n">
        <x:f>IF(B18="","",ROUND(C18-D18,2))</x:f>
        <x:v>3734.54</x:v>
      </x:c>
      <x:c r="F18" s="18" t="n">
        <x:f>IF(B18="","",ROUND(F17-E18,2))</x:f>
        <x:v>3608737.35</x:v>
      </x:c>
      <x:c r="G18" s="2"/>
      <x:c r="H18" s="2" t="str">
        <x:v>Регулярный аннуитетный платеж, ₽</x:v>
      </x:c>
      <x:c r="I18" s="39" t="n">
        <x:f>ROUND(IF(I19="Факт / 365",I11/'Расчет платежа'!F5,-PMT(I17,I16,I11)),2)</x:f>
        <x:v>26003.2</x:v>
      </x:c>
    </x:row>
    <x:row r="19" ht="24" customHeight="1">
      <x:c r="A19" s="1"/>
      <x:c r="B19" s="17" t="n">
        <x:f>IF(ROW()-ROW($B$9)&lt;=$I$16,MIN($I$14,EDATE($I$15,(ROW()-ROW($B$9)-1)*$I$13)),"")</x:f>
        <x:v>45099</x:v>
      </x:c>
      <x:c r="C19" s="18" t="n">
        <x:f>IF(B19="","",IF(ROW()-ROW($B$9)=$I$16,ROUND(F18+D19,2),MIN($I$18,ROUND(F18+D19,2))))</x:f>
        <x:v>26003.2</x:v>
      </x:c>
      <x:c r="D19" s="18" t="n">
        <x:f>IF(B19="","",ROUND(IF($I$19="Факт / 365",F18*$I$12*(B19-B18)/$I$20,F18*$I$17),2))</x:f>
        <x:v>22987.16</x:v>
      </x:c>
      <x:c r="E19" s="18" t="n">
        <x:f>IF(B19="","",ROUND(C19-D19,2))</x:f>
        <x:v>3016.04</x:v>
      </x:c>
      <x:c r="F19" s="18" t="n">
        <x:f>IF(B19="","",ROUND(F18-E19,2))</x:f>
        <x:v>3605721.31</x:v>
      </x:c>
      <x:c r="G19" s="2"/>
      <x:c r="H19" s="2" t="str">
        <x:v>Способ начисления процентов</x:v>
      </x:c>
      <x:c r="I19" s="41" t="str">
        <x:v>Факт / 365</x:v>
      </x:c>
    </x:row>
    <x:row r="20" ht="24" customHeight="1">
      <x:c r="A20" s="1"/>
      <x:c r="B20" s="17" t="n">
        <x:f>IF(ROW()-ROW($B$9)&lt;=$I$16,MIN($I$14,EDATE($I$15,(ROW()-ROW($B$9)-1)*$I$13)),"")</x:f>
        <x:v>45129</x:v>
      </x:c>
      <x:c r="C20" s="18" t="n">
        <x:f>IF(B20="","",IF(ROW()-ROW($B$9)=$I$16,ROUND(F19+D20,2),MIN($I$18,ROUND(F19+D20,2))))</x:f>
        <x:v>26003.2</x:v>
      </x:c>
      <x:c r="D20" s="18" t="n">
        <x:f>IF(B20="","",ROUND(IF($I$19="Факт / 365",F19*$I$12*(B20-B19)/$I$20,F19*$I$17),2))</x:f>
        <x:v>22227.05</x:v>
      </x:c>
      <x:c r="E20" s="18" t="n">
        <x:f>IF(B20="","",ROUND(C20-D20,2))</x:f>
        <x:v>3776.15</x:v>
      </x:c>
      <x:c r="F20" s="18" t="n">
        <x:f>IF(B20="","",ROUND(F19-E20,2))</x:f>
        <x:v>3601945.16</x:v>
      </x:c>
      <x:c r="G20" s="2"/>
      <x:c r="H20" s="2" t="str">
        <x:v>Дней в году для расчета по дням</x:v>
      </x:c>
      <x:c r="I20" s="36" t="n">
        <x:v>365</x:v>
      </x:c>
    </x:row>
    <x:row r="21" ht="24" customHeight="1">
      <x:c r="A21" s="1"/>
      <x:c r="B21" s="17" t="n">
        <x:f>IF(ROW()-ROW($B$9)&lt;=$I$16,MIN($I$14,EDATE($I$15,(ROW()-ROW($B$9)-1)*$I$13)),"")</x:f>
        <x:v>45160</x:v>
      </x:c>
      <x:c r="C21" s="18" t="n">
        <x:f>IF(B21="","",IF(ROW()-ROW($B$9)=$I$16,ROUND(F20+D21,2),MIN($I$18,ROUND(F20+D21,2))))</x:f>
        <x:v>26003.2</x:v>
      </x:c>
      <x:c r="D21" s="18" t="n">
        <x:f>IF(B21="","",ROUND(IF($I$19="Факт / 365",F20*$I$12*(B21-B20)/$I$20,F20*$I$17),2))</x:f>
        <x:v>22943.9</x:v>
      </x:c>
      <x:c r="E21" s="18" t="n">
        <x:f>IF(B21="","",ROUND(C21-D21,2))</x:f>
        <x:v>3059.3</x:v>
      </x:c>
      <x:c r="F21" s="18" t="n">
        <x:f>IF(B21="","",ROUND(F20-E21,2))</x:f>
        <x:v>3598885.86</x:v>
      </x:c>
      <x:c r="G21" s="2"/>
      <x:c r="H21" s="2"/>
      <x:c r="I21" s="2"/>
    </x:row>
    <x:row r="22" ht="24" customHeight="1">
      <x:c r="A22" s="1"/>
      <x:c r="B22" s="17" t="n">
        <x:f>IF(ROW()-ROW($B$9)&lt;=$I$16,MIN($I$14,EDATE($I$15,(ROW()-ROW($B$9)-1)*$I$13)),"")</x:f>
        <x:v>45191</x:v>
      </x:c>
      <x:c r="C22" s="18" t="n">
        <x:f>IF(B22="","",IF(ROW()-ROW($B$9)=$I$16,ROUND(F21+D22,2),MIN($I$18,ROUND(F21+D22,2))))</x:f>
        <x:v>26003.2</x:v>
      </x:c>
      <x:c r="D22" s="18" t="n">
        <x:f>IF(B22="","",ROUND(IF($I$19="Факт / 365",F21*$I$12*(B22-B21)/$I$20,F21*$I$17),2))</x:f>
        <x:v>22924.41</x:v>
      </x:c>
      <x:c r="E22" s="18" t="n">
        <x:f>IF(B22="","",ROUND(C22-D22,2))</x:f>
        <x:v>3078.79</x:v>
      </x:c>
      <x:c r="F22" s="18" t="n">
        <x:f>IF(B22="","",ROUND(F21-E22,2))</x:f>
        <x:v>3595807.07</x:v>
      </x:c>
      <x:c r="G22" s="2"/>
      <x:c r="H22" s="4" t="str">
        <x:v>Желтые ячейки — изменяемые параметры.</x:v>
      </x:c>
      <x:c r="I22" s="4"/>
    </x:row>
    <x:row r="23" ht="24" customHeight="1">
      <x:c r="A23" s="1"/>
      <x:c r="B23" s="17" t="n">
        <x:f>IF(ROW()-ROW($B$9)&lt;=$I$16,MIN($I$14,EDATE($I$15,(ROW()-ROW($B$9)-1)*$I$13)),"")</x:f>
        <x:v>45221</x:v>
      </x:c>
      <x:c r="C23" s="18" t="n">
        <x:f>IF(B23="","",IF(ROW()-ROW($B$9)=$I$16,ROUND(F22+D23,2),MIN($I$18,ROUND(F22+D23,2))))</x:f>
        <x:v>26003.2</x:v>
      </x:c>
      <x:c r="D23" s="18" t="n">
        <x:f>IF(B23="","",ROUND(IF($I$19="Факт / 365",F22*$I$12*(B23-B22)/$I$20,F22*$I$17),2))</x:f>
        <x:v>22165.93</x:v>
      </x:c>
      <x:c r="E23" s="18" t="n">
        <x:f>IF(B23="","",ROUND(C23-D23,2))</x:f>
        <x:v>3837.27</x:v>
      </x:c>
      <x:c r="F23" s="18" t="n">
        <x:f>IF(B23="","",ROUND(F22-E23,2))</x:f>
        <x:v>3591969.8</x:v>
      </x:c>
      <x:c r="G23" s="2"/>
      <x:c r="H23" s="2"/>
      <x:c r="I23" s="2"/>
    </x:row>
    <x:row r="24" ht="24" customHeight="1">
      <x:c r="A24" s="1"/>
      <x:c r="B24" s="17" t="n">
        <x:f>IF(ROW()-ROW($B$9)&lt;=$I$16,MIN($I$14,EDATE($I$15,(ROW()-ROW($B$9)-1)*$I$13)),"")</x:f>
        <x:v>45252</x:v>
      </x:c>
      <x:c r="C24" s="18" t="n">
        <x:f>IF(B24="","",IF(ROW()-ROW($B$9)=$I$16,ROUND(F23+D24,2),MIN($I$18,ROUND(F23+D24,2))))</x:f>
        <x:v>26003.2</x:v>
      </x:c>
      <x:c r="D24" s="18" t="n">
        <x:f>IF(B24="","",ROUND(IF($I$19="Факт / 365",F23*$I$12*(B24-B23)/$I$20,F23*$I$17),2))</x:f>
        <x:v>22880.36</x:v>
      </x:c>
      <x:c r="E24" s="18" t="n">
        <x:f>IF(B24="","",ROUND(C24-D24,2))</x:f>
        <x:v>3122.84</x:v>
      </x:c>
      <x:c r="F24" s="18" t="n">
        <x:f>IF(B24="","",ROUND(F23-E24,2))</x:f>
        <x:v>3588846.96</x:v>
      </x:c>
      <x:c r="G24" s="2"/>
      <x:c r="H24" s="75" t="str">
        <x:v>Принятые допущения</x:v>
      </x:c>
      <x:c r="I24" s="75"/>
    </x:row>
    <x:row r="25" ht="24" customHeight="1">
      <x:c r="A25" s="1"/>
      <x:c r="B25" s="17" t="n">
        <x:f>IF(ROW()-ROW($B$9)&lt;=$I$16,MIN($I$14,EDATE($I$15,(ROW()-ROW($B$9)-1)*$I$13)),"")</x:f>
        <x:v>45282</x:v>
      </x:c>
      <x:c r="C25" s="18" t="n">
        <x:f>IF(B25="","",IF(ROW()-ROW($B$9)=$I$16,ROUND(F24+D25,2),MIN($I$18,ROUND(F24+D25,2))))</x:f>
        <x:v>26003.2</x:v>
      </x:c>
      <x:c r="D25" s="18" t="n">
        <x:f>IF(B25="","",ROUND(IF($I$19="Факт / 365",F24*$I$12*(B25-B24)/$I$20,F24*$I$17),2))</x:f>
        <x:v>22123.03</x:v>
      </x:c>
      <x:c r="E25" s="18" t="n">
        <x:f>IF(B25="","",ROUND(C25-D25,2))</x:f>
        <x:v>3880.17</x:v>
      </x:c>
      <x:c r="F25" s="18" t="n">
        <x:f>IF(B25="","",ROUND(F24-E25,2))</x:f>
        <x:v>3584966.79</x:v>
      </x:c>
      <x:c r="G25" s="2"/>
      <x:c r="H25" s="77" t="str">
        <x:v>Платежи — 22-го числа, начиная с 22.09.2022. Последний платеж — 15.06.2050, как указано пользователем.</x:v>
      </x:c>
      <x:c r="I25" s="77"/>
    </x:row>
    <x:row r="26" ht="24" customHeight="1">
      <x:c r="A26" s="1"/>
      <x:c r="B26" s="17" t="n">
        <x:f>IF(ROW()-ROW($B$9)&lt;=$I$16,MIN($I$14,EDATE($I$15,(ROW()-ROW($B$9)-1)*$I$13)),"")</x:f>
        <x:v>45313</x:v>
      </x:c>
      <x:c r="C26" s="18" t="n">
        <x:f>IF(B26="","",IF(ROW()-ROW($B$9)=$I$16,ROUND(F25+D26,2),MIN($I$18,ROUND(F25+D26,2))))</x:f>
        <x:v>26003.2</x:v>
      </x:c>
      <x:c r="D26" s="18" t="n">
        <x:f>IF(B26="","",ROUND(IF($I$19="Факт / 365",F25*$I$12*(B26-B25)/$I$20,F25*$I$17),2))</x:f>
        <x:v>22835.75</x:v>
      </x:c>
      <x:c r="E26" s="18" t="n">
        <x:f>IF(B26="","",ROUND(C26-D26,2))</x:f>
        <x:v>3167.45</x:v>
      </x:c>
      <x:c r="F26" s="18" t="n">
        <x:f>IF(B26="","",ROUND(F25-E26,2))</x:f>
        <x:v>3581799.34</x:v>
      </x:c>
      <x:c r="G26" s="2"/>
      <x:c r="H26" s="77"/>
      <x:c r="I26" s="77"/>
    </x:row>
    <x:row r="27" ht="24" customHeight="1">
      <x:c r="A27" s="1"/>
      <x:c r="B27" s="17" t="n">
        <x:f>IF(ROW()-ROW($B$9)&lt;=$I$16,MIN($I$14,EDATE($I$15,(ROW()-ROW($B$9)-1)*$I$13)),"")</x:f>
        <x:v>45344</x:v>
      </x:c>
      <x:c r="C27" s="18" t="n">
        <x:f>IF(B27="","",IF(ROW()-ROW($B$9)=$I$16,ROUND(F26+D27,2),MIN($I$18,ROUND(F26+D27,2))))</x:f>
        <x:v>26003.2</x:v>
      </x:c>
      <x:c r="D27" s="18" t="n">
        <x:f>IF(B27="","",ROUND(IF($I$19="Факт / 365",F26*$I$12*(B27-B26)/$I$20,F26*$I$17),2))</x:f>
        <x:v>22815.57</x:v>
      </x:c>
      <x:c r="E27" s="18" t="n">
        <x:f>IF(B27="","",ROUND(C27-D27,2))</x:f>
        <x:v>3187.63</x:v>
      </x:c>
      <x:c r="F27" s="18" t="n">
        <x:f>IF(B27="","",ROUND(F26-E27,2))</x:f>
        <x:v>3578611.71</x:v>
      </x:c>
      <x:c r="G27" s="2"/>
      <x:c r="H27" s="77" t="str">
        <x:v>Проценты начисляются с 31.08.2022. Накопленные до этой даты проценты не заданы и в расчет не включены.</x:v>
      </x:c>
      <x:c r="I27" s="77"/>
    </x:row>
    <x:row r="28" ht="24" customHeight="1">
      <x:c r="A28" s="1"/>
      <x:c r="B28" s="17" t="n">
        <x:f>IF(ROW()-ROW($B$9)&lt;=$I$16,MIN($I$14,EDATE($I$15,(ROW()-ROW($B$9)-1)*$I$13)),"")</x:f>
        <x:v>45373</x:v>
      </x:c>
      <x:c r="C28" s="18" t="n">
        <x:f>IF(B28="","",IF(ROW()-ROW($B$9)=$I$16,ROUND(F27+D28,2),MIN($I$18,ROUND(F27+D28,2))))</x:f>
        <x:v>26003.2</x:v>
      </x:c>
      <x:c r="D28" s="18" t="n">
        <x:f>IF(B28="","",ROUND(IF($I$19="Факт / 365",F27*$I$12*(B28-B27)/$I$20,F27*$I$17),2))</x:f>
        <x:v>21324.6</x:v>
      </x:c>
      <x:c r="E28" s="18" t="n">
        <x:f>IF(B28="","",ROUND(C28-D28,2))</x:f>
        <x:v>4678.6</x:v>
      </x:c>
      <x:c r="F28" s="18" t="n">
        <x:f>IF(B28="","",ROUND(F27-E28,2))</x:f>
        <x:v>3573933.11</x:v>
      </x:c>
      <x:c r="G28" s="2"/>
      <x:c r="H28" s="77"/>
      <x:c r="I28" s="77"/>
    </x:row>
    <x:row r="29" ht="24" customHeight="1">
      <x:c r="A29" s="1"/>
      <x:c r="B29" s="17" t="n">
        <x:f>IF(ROW()-ROW($B$9)&lt;=$I$16,MIN($I$14,EDATE($I$15,(ROW()-ROW($B$9)-1)*$I$13)),"")</x:f>
        <x:v>45404</x:v>
      </x:c>
      <x:c r="C29" s="18" t="n">
        <x:f>IF(B29="","",IF(ROW()-ROW($B$9)=$I$16,ROUND(F28+D29,2),MIN($I$18,ROUND(F28+D29,2))))</x:f>
        <x:v>26003.2</x:v>
      </x:c>
      <x:c r="D29" s="18" t="n">
        <x:f>IF(B29="","",ROUND(IF($I$19="Факт / 365",F28*$I$12*(B29-B28)/$I$20,F28*$I$17),2))</x:f>
        <x:v>22765.46</x:v>
      </x:c>
      <x:c r="E29" s="18" t="n">
        <x:f>IF(B29="","",ROUND(C29-D29,2))</x:f>
        <x:v>3237.74</x:v>
      </x:c>
      <x:c r="F29" s="18" t="n">
        <x:f>IF(B29="","",ROUND(F28-E29,2))</x:f>
        <x:v>3570695.37</x:v>
      </x:c>
      <x:c r="G29" s="2"/>
      <x:c r="H29" s="77" t="str">
        <x:v>По образцу выбрано: фактическое число дней / 365, в том числе в високосные годы. База договора не указана.</x:v>
      </x:c>
      <x:c r="I29" s="77"/>
    </x:row>
    <x:row r="30" ht="24" customHeight="1">
      <x:c r="A30" s="1"/>
      <x:c r="B30" s="17" t="n">
        <x:f>IF(ROW()-ROW($B$9)&lt;=$I$16,MIN($I$14,EDATE($I$15,(ROW()-ROW($B$9)-1)*$I$13)),"")</x:f>
        <x:v>45434</x:v>
      </x:c>
      <x:c r="C30" s="18" t="n">
        <x:f>IF(B30="","",IF(ROW()-ROW($B$9)=$I$16,ROUND(F29+D30,2),MIN($I$18,ROUND(F29+D30,2))))</x:f>
        <x:v>26003.2</x:v>
      </x:c>
      <x:c r="D30" s="18" t="n">
        <x:f>IF(B30="","",ROUND(IF($I$19="Факт / 365",F29*$I$12*(B30-B29)/$I$20,F29*$I$17),2))</x:f>
        <x:v>22011.14</x:v>
      </x:c>
      <x:c r="E30" s="18" t="n">
        <x:f>IF(B30="","",ROUND(C30-D30,2))</x:f>
        <x:v>3992.06</x:v>
      </x:c>
      <x:c r="F30" s="18" t="n">
        <x:f>IF(B30="","",ROUND(F29-E30,2))</x:f>
        <x:v>3566703.31</x:v>
      </x:c>
      <x:c r="G30" s="2"/>
      <x:c r="H30" s="77"/>
      <x:c r="I30" s="77"/>
    </x:row>
    <x:row r="31" ht="24" customHeight="1">
      <x:c r="A31" s="1"/>
      <x:c r="B31" s="17" t="n">
        <x:f>IF(ROW()-ROW($B$9)&lt;=$I$16,MIN($I$14,EDATE($I$15,(ROW()-ROW($B$9)-1)*$I$13)),"")</x:f>
        <x:v>45465</x:v>
      </x:c>
      <x:c r="C31" s="18" t="n">
        <x:f>IF(B31="","",IF(ROW()-ROW($B$9)=$I$16,ROUND(F30+D31,2),MIN($I$18,ROUND(F30+D31,2))))</x:f>
        <x:v>26003.2</x:v>
      </x:c>
      <x:c r="D31" s="18" t="n">
        <x:f>IF(B31="","",ROUND(IF($I$19="Факт / 365",F30*$I$12*(B31-B30)/$I$20,F30*$I$17),2))</x:f>
        <x:v>22719.41</x:v>
      </x:c>
      <x:c r="E31" s="18" t="n">
        <x:f>IF(B31="","",ROUND(C31-D31,2))</x:f>
        <x:v>3283.79</x:v>
      </x:c>
      <x:c r="F31" s="18" t="n">
        <x:f>IF(B31="","",ROUND(F30-E31,2))</x:f>
        <x:v>3563419.52</x:v>
      </x:c>
      <x:c r="G31" s="2"/>
      <x:c r="H31" s="77" t="str">
        <x:v>Аннуитет учитывает фактические даты через дисконт-факторы на листе «Расчет платежа». Последний платеж корректирует округление до копеек.</x:v>
      </x:c>
      <x:c r="I31" s="77"/>
    </x:row>
    <x:row r="32" ht="24" customHeight="1">
      <x:c r="A32" s="1"/>
      <x:c r="B32" s="17" t="n">
        <x:f>IF(ROW()-ROW($B$9)&lt;=$I$16,MIN($I$14,EDATE($I$15,(ROW()-ROW($B$9)-1)*$I$13)),"")</x:f>
        <x:v>45495</x:v>
      </x:c>
      <x:c r="C32" s="18" t="n">
        <x:f>IF(B32="","",IF(ROW()-ROW($B$9)=$I$16,ROUND(F31+D32,2),MIN($I$18,ROUND(F31+D32,2))))</x:f>
        <x:v>26003.2</x:v>
      </x:c>
      <x:c r="D32" s="18" t="n">
        <x:f>IF(B32="","",ROUND(IF($I$19="Факт / 365",F31*$I$12*(B32-B31)/$I$20,F31*$I$17),2))</x:f>
        <x:v>21966.28</x:v>
      </x:c>
      <x:c r="E32" s="18" t="n">
        <x:f>IF(B32="","",ROUND(C32-D32,2))</x:f>
        <x:v>4036.92</x:v>
      </x:c>
      <x:c r="F32" s="18" t="n">
        <x:f>IF(B32="","",ROUND(F31-E32,2))</x:f>
        <x:v>3559382.6</x:v>
      </x:c>
      <x:c r="G32" s="2"/>
      <x:c r="H32" s="77"/>
      <x:c r="I32" s="77"/>
    </x:row>
    <x:row r="33" ht="24" customHeight="1">
      <x:c r="A33" s="1"/>
      <x:c r="B33" s="17" t="n">
        <x:f>IF(ROW()-ROW($B$9)&lt;=$I$16,MIN($I$14,EDATE($I$15,(ROW()-ROW($B$9)-1)*$I$13)),"")</x:f>
        <x:v>45526</x:v>
      </x:c>
      <x:c r="C33" s="18" t="n">
        <x:f>IF(B33="","",IF(ROW()-ROW($B$9)=$I$16,ROUND(F32+D33,2),MIN($I$18,ROUND(F32+D33,2))))</x:f>
        <x:v>26003.2</x:v>
      </x:c>
      <x:c r="D33" s="18" t="n">
        <x:f>IF(B33="","",ROUND(IF($I$19="Факт / 365",F32*$I$12*(B33-B32)/$I$20,F32*$I$17),2))</x:f>
        <x:v>22672.78</x:v>
      </x:c>
      <x:c r="E33" s="18" t="n">
        <x:f>IF(B33="","",ROUND(C33-D33,2))</x:f>
        <x:v>3330.42</x:v>
      </x:c>
      <x:c r="F33" s="18" t="n">
        <x:f>IF(B33="","",ROUND(F32-E33,2))</x:f>
        <x:v>3556052.18</x:v>
      </x:c>
      <x:c r="G33" s="2"/>
      <x:c r="H33" s="77" t="str">
        <x:v>Вариант «Ставка / 12» начисляет проценты за полный платежный период, без учета числа календарных дней.</x:v>
      </x:c>
      <x:c r="I33" s="77"/>
    </x:row>
    <x:row r="34" ht="24" customHeight="1">
      <x:c r="A34" s="1"/>
      <x:c r="B34" s="17" t="n">
        <x:f>IF(ROW()-ROW($B$9)&lt;=$I$16,MIN($I$14,EDATE($I$15,(ROW()-ROW($B$9)-1)*$I$13)),"")</x:f>
        <x:v>45557</x:v>
      </x:c>
      <x:c r="C34" s="18" t="n">
        <x:f>IF(B34="","",IF(ROW()-ROW($B$9)=$I$16,ROUND(F33+D34,2),MIN($I$18,ROUND(F33+D34,2))))</x:f>
        <x:v>26003.2</x:v>
      </x:c>
      <x:c r="D34" s="18" t="n">
        <x:f>IF(B34="","",ROUND(IF($I$19="Факт / 365",F33*$I$12*(B34-B33)/$I$20,F33*$I$17),2))</x:f>
        <x:v>22651.57</x:v>
      </x:c>
      <x:c r="E34" s="18" t="n">
        <x:f>IF(B34="","",ROUND(C34-D34,2))</x:f>
        <x:v>3351.63</x:v>
      </x:c>
      <x:c r="F34" s="18" t="n">
        <x:f>IF(B34="","",ROUND(F33-E34,2))</x:f>
        <x:v>3552700.55</x:v>
      </x:c>
      <x:c r="G34" s="2"/>
      <x:c r="H34" s="77"/>
      <x:c r="I34" s="77"/>
    </x:row>
    <x:row r="35" ht="24" customHeight="1">
      <x:c r="A35" s="1"/>
      <x:c r="B35" s="17" t="n">
        <x:f>IF(ROW()-ROW($B$9)&lt;=$I$16,MIN($I$14,EDATE($I$15,(ROW()-ROW($B$9)-1)*$I$13)),"")</x:f>
        <x:v>45587</x:v>
      </x:c>
      <x:c r="C35" s="18" t="n">
        <x:f>IF(B35="","",IF(ROW()-ROW($B$9)=$I$16,ROUND(F34+D35,2),MIN($I$18,ROUND(F34+D35,2))))</x:f>
        <x:v>26003.2</x:v>
      </x:c>
      <x:c r="D35" s="18" t="n">
        <x:f>IF(B35="","",ROUND(IF($I$19="Факт / 365",F34*$I$12*(B35-B34)/$I$20,F34*$I$17),2))</x:f>
        <x:v>21900.21</x:v>
      </x:c>
      <x:c r="E35" s="18" t="n">
        <x:f>IF(B35="","",ROUND(C35-D35,2))</x:f>
        <x:v>4102.99</x:v>
      </x:c>
      <x:c r="F35" s="18" t="n">
        <x:f>IF(B35="","",ROUND(F34-E35,2))</x:f>
        <x:v>3548597.56</x:v>
      </x:c>
      <x:c r="G35" s="2"/>
      <x:c r="H35" s="77" t="str">
        <x:v>Округление — до копеек. Выходные дни не сдвигают даты. Комиссии, страховки и досрочные погашения не включены.</x:v>
      </x:c>
      <x:c r="I35" s="77"/>
    </x:row>
    <x:row r="36" ht="24" customHeight="1">
      <x:c r="A36" s="1"/>
      <x:c r="B36" s="17" t="n">
        <x:f>IF(ROW()-ROW($B$9)&lt;=$I$16,MIN($I$14,EDATE($I$15,(ROW()-ROW($B$9)-1)*$I$13)),"")</x:f>
        <x:v>45618</x:v>
      </x:c>
      <x:c r="C36" s="18" t="n">
        <x:f>IF(B36="","",IF(ROW()-ROW($B$9)=$I$16,ROUND(F35+D36,2),MIN($I$18,ROUND(F35+D36,2))))</x:f>
        <x:v>26003.2</x:v>
      </x:c>
      <x:c r="D36" s="18" t="n">
        <x:f>IF(B36="","",ROUND(IF($I$19="Факт / 365",F35*$I$12*(B36-B35)/$I$20,F35*$I$17),2))</x:f>
        <x:v>22604.08</x:v>
      </x:c>
      <x:c r="E36" s="18" t="n">
        <x:f>IF(B36="","",ROUND(C36-D36,2))</x:f>
        <x:v>3399.12</x:v>
      </x:c>
      <x:c r="F36" s="18" t="n">
        <x:f>IF(B36="","",ROUND(F35-E36,2))</x:f>
        <x:v>3545198.44</x:v>
      </x:c>
      <x:c r="G36" s="2"/>
      <x:c r="H36" s="77"/>
      <x:c r="I36" s="77"/>
    </x:row>
    <x:row r="37" ht="24" customHeight="1">
      <x:c r="A37" s="1"/>
      <x:c r="B37" s="17" t="n">
        <x:f>IF(ROW()-ROW($B$9)&lt;=$I$16,MIN($I$14,EDATE($I$15,(ROW()-ROW($B$9)-1)*$I$13)),"")</x:f>
        <x:v>45648</x:v>
      </x:c>
      <x:c r="C37" s="18" t="n">
        <x:f>IF(B37="","",IF(ROW()-ROW($B$9)=$I$16,ROUND(F36+D37,2),MIN($I$18,ROUND(F36+D37,2))))</x:f>
        <x:v>26003.2</x:v>
      </x:c>
      <x:c r="D37" s="18" t="n">
        <x:f>IF(B37="","",ROUND(IF($I$19="Факт / 365",F36*$I$12*(B37-B36)/$I$20,F36*$I$17),2))</x:f>
        <x:v>21853.96</x:v>
      </x:c>
      <x:c r="E37" s="18" t="n">
        <x:f>IF(B37="","",ROUND(C37-D37,2))</x:f>
        <x:v>4149.24</x:v>
      </x:c>
      <x:c r="F37" s="18" t="n">
        <x:f>IF(B37="","",ROUND(F36-E37,2))</x:f>
        <x:v>3541049.2</x:v>
      </x:c>
      <x:c r="G37" s="2"/>
      <x:c r="H37" s="77" t="str">
        <x:v>Дата открытия сделки сохранена справочно. График начинается с известного остатка, выплаты до 31.08.2022 не восстанавливаются.</x:v>
      </x:c>
      <x:c r="I37" s="77"/>
    </x:row>
    <x:row r="38" ht="24" customHeight="1">
      <x:c r="A38" s="1"/>
      <x:c r="B38" s="17" t="n">
        <x:f>IF(ROW()-ROW($B$9)&lt;=$I$16,MIN($I$14,EDATE($I$15,(ROW()-ROW($B$9)-1)*$I$13)),"")</x:f>
        <x:v>45679</x:v>
      </x:c>
      <x:c r="C38" s="18" t="n">
        <x:f>IF(B38="","",IF(ROW()-ROW($B$9)=$I$16,ROUND(F37+D38,2),MIN($I$18,ROUND(F37+D38,2))))</x:f>
        <x:v>26003.2</x:v>
      </x:c>
      <x:c r="D38" s="18" t="n">
        <x:f>IF(B38="","",ROUND(IF($I$19="Факт / 365",F37*$I$12*(B38-B37)/$I$20,F37*$I$17),2))</x:f>
        <x:v>22556</x:v>
      </x:c>
      <x:c r="E38" s="18" t="n">
        <x:f>IF(B38="","",ROUND(C38-D38,2))</x:f>
        <x:v>3447.2</x:v>
      </x:c>
      <x:c r="F38" s="18" t="n">
        <x:f>IF(B38="","",ROUND(F37-E38,2))</x:f>
        <x:v>3537602</x:v>
      </x:c>
      <x:c r="G38" s="2"/>
      <x:c r="H38" s="77"/>
      <x:c r="I38" s="77"/>
    </x:row>
    <x:row r="39" ht="24" customHeight="1">
      <x:c r="A39" s="1"/>
      <x:c r="B39" s="17" t="n">
        <x:f>IF(ROW()-ROW($B$9)&lt;=$I$16,MIN($I$14,EDATE($I$15,(ROW()-ROW($B$9)-1)*$I$13)),"")</x:f>
        <x:v>45710</x:v>
      </x:c>
      <x:c r="C39" s="18" t="n">
        <x:f>IF(B39="","",IF(ROW()-ROW($B$9)=$I$16,ROUND(F38+D39,2),MIN($I$18,ROUND(F38+D39,2))))</x:f>
        <x:v>26003.2</x:v>
      </x:c>
      <x:c r="D39" s="18" t="n">
        <x:f>IF(B39="","",ROUND(IF($I$19="Факт / 365",F38*$I$12*(B39-B38)/$I$20,F38*$I$17),2))</x:f>
        <x:v>22534.04</x:v>
      </x:c>
      <x:c r="E39" s="18" t="n">
        <x:f>IF(B39="","",ROUND(C39-D39,2))</x:f>
        <x:v>3469.16</x:v>
      </x:c>
      <x:c r="F39" s="18" t="n">
        <x:f>IF(B39="","",ROUND(F38-E39,2))</x:f>
        <x:v>3534132.84</x:v>
      </x:c>
      <x:c r="G39" s="2"/>
      <x:c r="H39" s="77" t="str">
        <x:v>Источник: вводные пользователя и дата погашения 15.06.2050. Скриншот использован как образец оформления и расчета процентов.</x:v>
      </x:c>
      <x:c r="I39" s="77"/>
    </x:row>
    <x:row r="40" ht="24" customHeight="1">
      <x:c r="A40" s="1"/>
      <x:c r="B40" s="17" t="n">
        <x:f>IF(ROW()-ROW($B$9)&lt;=$I$16,MIN($I$14,EDATE($I$15,(ROW()-ROW($B$9)-1)*$I$13)),"")</x:f>
        <x:v>45738</x:v>
      </x:c>
      <x:c r="C40" s="18" t="n">
        <x:f>IF(B40="","",IF(ROW()-ROW($B$9)=$I$16,ROUND(F39+D40,2),MIN($I$18,ROUND(F39+D40,2))))</x:f>
        <x:v>26003.2</x:v>
      </x:c>
      <x:c r="D40" s="18" t="n">
        <x:f>IF(B40="","",ROUND(IF($I$19="Факт / 365",F39*$I$12*(B40-B39)/$I$20,F39*$I$17),2))</x:f>
        <x:v>20333.37</x:v>
      </x:c>
      <x:c r="E40" s="18" t="n">
        <x:f>IF(B40="","",ROUND(C40-D40,2))</x:f>
        <x:v>5669.83</x:v>
      </x:c>
      <x:c r="F40" s="18" t="n">
        <x:f>IF(B40="","",ROUND(F39-E40,2))</x:f>
        <x:v>3528463.01</x:v>
      </x:c>
      <x:c r="G40" s="2"/>
      <x:c r="H40" s="77"/>
      <x:c r="I40" s="77"/>
    </x:row>
    <x:row r="41" ht="24" customHeight="1">
      <x:c r="A41" s="1"/>
      <x:c r="B41" s="17" t="n">
        <x:f>IF(ROW()-ROW($B$9)&lt;=$I$16,MIN($I$14,EDATE($I$15,(ROW()-ROW($B$9)-1)*$I$13)),"")</x:f>
        <x:v>45769</x:v>
      </x:c>
      <x:c r="C41" s="18" t="n">
        <x:f>IF(B41="","",IF(ROW()-ROW($B$9)=$I$16,ROUND(F40+D41,2),MIN($I$18,ROUND(F40+D41,2))))</x:f>
        <x:v>26003.2</x:v>
      </x:c>
      <x:c r="D41" s="18" t="n">
        <x:f>IF(B41="","",ROUND(IF($I$19="Факт / 365",F40*$I$12*(B41-B40)/$I$20,F40*$I$17),2))</x:f>
        <x:v>22475.83</x:v>
      </x:c>
      <x:c r="E41" s="18" t="n">
        <x:f>IF(B41="","",ROUND(C41-D41,2))</x:f>
        <x:v>3527.37</x:v>
      </x:c>
      <x:c r="F41" s="18" t="n">
        <x:f>IF(B41="","",ROUND(F40-E41,2))</x:f>
        <x:v>3524935.64</x:v>
      </x:c>
      <x:c r="G41" s="2"/>
      <x:c r="H41" s="2"/>
      <x:c r="I41" s="2"/>
    </x:row>
    <x:row r="42" ht="24" customHeight="1">
      <x:c r="A42" s="1"/>
      <x:c r="B42" s="17" t="n">
        <x:f>IF(ROW()-ROW($B$9)&lt;=$I$16,MIN($I$14,EDATE($I$15,(ROW()-ROW($B$9)-1)*$I$13)),"")</x:f>
        <x:v>45799</x:v>
      </x:c>
      <x:c r="C42" s="18" t="n">
        <x:f>IF(B42="","",IF(ROW()-ROW($B$9)=$I$16,ROUND(F41+D42,2),MIN($I$18,ROUND(F41+D42,2))))</x:f>
        <x:v>26003.2</x:v>
      </x:c>
      <x:c r="D42" s="18" t="n">
        <x:f>IF(B42="","",ROUND(IF($I$19="Факт / 365",F41*$I$12*(B42-B41)/$I$20,F41*$I$17),2))</x:f>
        <x:v>21729.06</x:v>
      </x:c>
      <x:c r="E42" s="18" t="n">
        <x:f>IF(B42="","",ROUND(C42-D42,2))</x:f>
        <x:v>4274.14</x:v>
      </x:c>
      <x:c r="F42" s="18" t="n">
        <x:f>IF(B42="","",ROUND(F41-E42,2))</x:f>
        <x:v>3520661.5</x:v>
      </x:c>
      <x:c r="G42" s="2"/>
      <x:c r="H42" s="2" t="str">
        <x:v>Контроль погашения тела, ₽</x:v>
      </x:c>
      <x:c r="I42" s="12" t="n">
        <x:f>ROUND(SUM(E10:E609)-I11,2)</x:f>
        <x:v>0</x:v>
      </x:c>
    </x:row>
    <x:row r="43" ht="24" customHeight="1">
      <x:c r="A43" s="1"/>
      <x:c r="B43" s="17" t="n">
        <x:f>IF(ROW()-ROW($B$9)&lt;=$I$16,MIN($I$14,EDATE($I$15,(ROW()-ROW($B$9)-1)*$I$13)),"")</x:f>
        <x:v>45830</x:v>
      </x:c>
      <x:c r="C43" s="18" t="n">
        <x:f>IF(B43="","",IF(ROW()-ROW($B$9)=$I$16,ROUND(F42+D43,2),MIN($I$18,ROUND(F42+D43,2))))</x:f>
        <x:v>26003.2</x:v>
      </x:c>
      <x:c r="D43" s="18" t="n">
        <x:f>IF(B43="","",ROUND(IF($I$19="Факт / 365",F42*$I$12*(B43-B42)/$I$20,F42*$I$17),2))</x:f>
        <x:v>22426.13</x:v>
      </x:c>
      <x:c r="E43" s="18" t="n">
        <x:f>IF(B43="","",ROUND(C43-D43,2))</x:f>
        <x:v>3577.07</x:v>
      </x:c>
      <x:c r="F43" s="18" t="n">
        <x:f>IF(B43="","",ROUND(F42-E43,2))</x:f>
        <x:v>3517084.43</x:v>
      </x:c>
      <x:c r="G43" s="2"/>
      <x:c r="H43" s="2" t="str">
        <x:v>Остаток после последнего платежа, ₽</x:v>
      </x:c>
      <x:c r="I43" s="12" t="n">
        <x:f>INDEX(F10:F609,I16)</x:f>
        <x:v>0</x:v>
      </x:c>
    </x:row>
    <x:row r="44" ht="24" customHeight="1">
      <x:c r="A44" s="1"/>
      <x:c r="B44" s="17" t="n">
        <x:f>IF(ROW()-ROW($B$9)&lt;=$I$16,MIN($I$14,EDATE($I$15,(ROW()-ROW($B$9)-1)*$I$13)),"")</x:f>
        <x:v>45860</x:v>
      </x:c>
      <x:c r="C44" s="18" t="n">
        <x:f>IF(B44="","",IF(ROW()-ROW($B$9)=$I$16,ROUND(F43+D44,2),MIN($I$18,ROUND(F43+D44,2))))</x:f>
        <x:v>26003.2</x:v>
      </x:c>
      <x:c r="D44" s="18" t="n">
        <x:f>IF(B44="","",ROUND(IF($I$19="Факт / 365",F43*$I$12*(B44-B43)/$I$20,F43*$I$17),2))</x:f>
        <x:v>21680.66</x:v>
      </x:c>
      <x:c r="E44" s="18" t="n">
        <x:f>IF(B44="","",ROUND(C44-D44,2))</x:f>
        <x:v>4322.54</x:v>
      </x:c>
      <x:c r="F44" s="18" t="n">
        <x:f>IF(B44="","",ROUND(F43-E44,2))</x:f>
        <x:v>3512761.89</x:v>
      </x:c>
      <x:c r="G44" s="2"/>
      <x:c r="H44" s="2"/>
      <x:c r="I44" s="2"/>
    </x:row>
    <x:row r="45" ht="24" customHeight="1">
      <x:c r="A45" s="1"/>
      <x:c r="B45" s="17" t="n">
        <x:f>IF(ROW()-ROW($B$9)&lt;=$I$16,MIN($I$14,EDATE($I$15,(ROW()-ROW($B$9)-1)*$I$13)),"")</x:f>
        <x:v>45891</x:v>
      </x:c>
      <x:c r="C45" s="18" t="n">
        <x:f>IF(B45="","",IF(ROW()-ROW($B$9)=$I$16,ROUND(F44+D45,2),MIN($I$18,ROUND(F44+D45,2))))</x:f>
        <x:v>26003.2</x:v>
      </x:c>
      <x:c r="D45" s="18" t="n">
        <x:f>IF(B45="","",ROUND(IF($I$19="Факт / 365",F44*$I$12*(B45-B44)/$I$20,F44*$I$17),2))</x:f>
        <x:v>22375.81</x:v>
      </x:c>
      <x:c r="E45" s="18" t="n">
        <x:f>IF(B45="","",ROUND(C45-D45,2))</x:f>
        <x:v>3627.39</x:v>
      </x:c>
      <x:c r="F45" s="18" t="n">
        <x:f>IF(B45="","",ROUND(F44-E45,2))</x:f>
        <x:v>3509134.5</x:v>
      </x:c>
      <x:c r="G45" s="2"/>
      <x:c r="H45" s="2"/>
      <x:c r="I45" s="2"/>
    </x:row>
    <x:row r="46" ht="24" customHeight="1">
      <x:c r="A46" s="1"/>
      <x:c r="B46" s="17" t="n">
        <x:f>IF(ROW()-ROW($B$9)&lt;=$I$16,MIN($I$14,EDATE($I$15,(ROW()-ROW($B$9)-1)*$I$13)),"")</x:f>
        <x:v>45922</x:v>
      </x:c>
      <x:c r="C46" s="18" t="n">
        <x:f>IF(B46="","",IF(ROW()-ROW($B$9)=$I$16,ROUND(F45+D46,2),MIN($I$18,ROUND(F45+D46,2))))</x:f>
        <x:v>26003.2</x:v>
      </x:c>
      <x:c r="D46" s="18" t="n">
        <x:f>IF(B46="","",ROUND(IF($I$19="Факт / 365",F45*$I$12*(B46-B45)/$I$20,F45*$I$17),2))</x:f>
        <x:v>22352.71</x:v>
      </x:c>
      <x:c r="E46" s="18" t="n">
        <x:f>IF(B46="","",ROUND(C46-D46,2))</x:f>
        <x:v>3650.49</x:v>
      </x:c>
      <x:c r="F46" s="18" t="n">
        <x:f>IF(B46="","",ROUND(F45-E46,2))</x:f>
        <x:v>3505484.01</x:v>
      </x:c>
      <x:c r="G46" s="2"/>
      <x:c r="H46" s="2"/>
      <x:c r="I46" s="2"/>
    </x:row>
    <x:row r="47" ht="24" customHeight="1">
      <x:c r="A47" s="1"/>
      <x:c r="B47" s="17" t="n">
        <x:f>IF(ROW()-ROW($B$9)&lt;=$I$16,MIN($I$14,EDATE($I$15,(ROW()-ROW($B$9)-1)*$I$13)),"")</x:f>
        <x:v>45952</x:v>
      </x:c>
      <x:c r="C47" s="18" t="n">
        <x:f>IF(B47="","",IF(ROW()-ROW($B$9)=$I$16,ROUND(F46+D47,2),MIN($I$18,ROUND(F46+D47,2))))</x:f>
        <x:v>26003.2</x:v>
      </x:c>
      <x:c r="D47" s="18" t="n">
        <x:f>IF(B47="","",ROUND(IF($I$19="Факт / 365",F46*$I$12*(B47-B46)/$I$20,F46*$I$17),2))</x:f>
        <x:v>21609.15</x:v>
      </x:c>
      <x:c r="E47" s="18" t="n">
        <x:f>IF(B47="","",ROUND(C47-D47,2))</x:f>
        <x:v>4394.05</x:v>
      </x:c>
      <x:c r="F47" s="18" t="n">
        <x:f>IF(B47="","",ROUND(F46-E47,2))</x:f>
        <x:v>3501089.96</x:v>
      </x:c>
      <x:c r="G47" s="2"/>
      <x:c r="H47" s="2"/>
      <x:c r="I47" s="2"/>
    </x:row>
    <x:row r="48" ht="24" customHeight="1">
      <x:c r="A48" s="1"/>
      <x:c r="B48" s="17" t="n">
        <x:f>IF(ROW()-ROW($B$9)&lt;=$I$16,MIN($I$14,EDATE($I$15,(ROW()-ROW($B$9)-1)*$I$13)),"")</x:f>
        <x:v>45983</x:v>
      </x:c>
      <x:c r="C48" s="18" t="n">
        <x:f>IF(B48="","",IF(ROW()-ROW($B$9)=$I$16,ROUND(F47+D48,2),MIN($I$18,ROUND(F47+D48,2))))</x:f>
        <x:v>26003.2</x:v>
      </x:c>
      <x:c r="D48" s="18" t="n">
        <x:f>IF(B48="","",ROUND(IF($I$19="Факт / 365",F47*$I$12*(B48-B47)/$I$20,F47*$I$17),2))</x:f>
        <x:v>22301.46</x:v>
      </x:c>
      <x:c r="E48" s="18" t="n">
        <x:f>IF(B48="","",ROUND(C48-D48,2))</x:f>
        <x:v>3701.74</x:v>
      </x:c>
      <x:c r="F48" s="18" t="n">
        <x:f>IF(B48="","",ROUND(F47-E48,2))</x:f>
        <x:v>3497388.22</x:v>
      </x:c>
      <x:c r="G48" s="2"/>
      <x:c r="H48" s="2"/>
      <x:c r="I48" s="2"/>
    </x:row>
    <x:row r="49" ht="24" customHeight="1">
      <x:c r="A49" s="1"/>
      <x:c r="B49" s="17" t="n">
        <x:f>IF(ROW()-ROW($B$9)&lt;=$I$16,MIN($I$14,EDATE($I$15,(ROW()-ROW($B$9)-1)*$I$13)),"")</x:f>
        <x:v>46013</x:v>
      </x:c>
      <x:c r="C49" s="18" t="n">
        <x:f>IF(B49="","",IF(ROW()-ROW($B$9)=$I$16,ROUND(F48+D49,2),MIN($I$18,ROUND(F48+D49,2))))</x:f>
        <x:v>26003.2</x:v>
      </x:c>
      <x:c r="D49" s="18" t="n">
        <x:f>IF(B49="","",ROUND(IF($I$19="Факт / 365",F48*$I$12*(B49-B48)/$I$20,F48*$I$17),2))</x:f>
        <x:v>21559.24</x:v>
      </x:c>
      <x:c r="E49" s="18" t="n">
        <x:f>IF(B49="","",ROUND(C49-D49,2))</x:f>
        <x:v>4443.96</x:v>
      </x:c>
      <x:c r="F49" s="18" t="n">
        <x:f>IF(B49="","",ROUND(F48-E49,2))</x:f>
        <x:v>3492944.26</x:v>
      </x:c>
      <x:c r="G49" s="2"/>
      <x:c r="H49" s="2"/>
      <x:c r="I49" s="2"/>
    </x:row>
    <x:row r="50" ht="24" customHeight="1">
      <x:c r="A50" s="1"/>
      <x:c r="B50" s="17" t="n">
        <x:f>IF(ROW()-ROW($B$9)&lt;=$I$16,MIN($I$14,EDATE($I$15,(ROW()-ROW($B$9)-1)*$I$13)),"")</x:f>
        <x:v>46044</x:v>
      </x:c>
      <x:c r="C50" s="18" t="n">
        <x:f>IF(B50="","",IF(ROW()-ROW($B$9)=$I$16,ROUND(F49+D50,2),MIN($I$18,ROUND(F49+D50,2))))</x:f>
        <x:v>26003.2</x:v>
      </x:c>
      <x:c r="D50" s="18" t="n">
        <x:f>IF(B50="","",ROUND(IF($I$19="Факт / 365",F49*$I$12*(B50-B49)/$I$20,F49*$I$17),2))</x:f>
        <x:v>22249.58</x:v>
      </x:c>
      <x:c r="E50" s="18" t="n">
        <x:f>IF(B50="","",ROUND(C50-D50,2))</x:f>
        <x:v>3753.62</x:v>
      </x:c>
      <x:c r="F50" s="18" t="n">
        <x:f>IF(B50="","",ROUND(F49-E50,2))</x:f>
        <x:v>3489190.64</x:v>
      </x:c>
      <x:c r="G50" s="2"/>
      <x:c r="H50" s="2"/>
      <x:c r="I50" s="2"/>
    </x:row>
    <x:row r="51" ht="24" customHeight="1">
      <x:c r="A51" s="1"/>
      <x:c r="B51" s="17" t="n">
        <x:f>IF(ROW()-ROW($B$9)&lt;=$I$16,MIN($I$14,EDATE($I$15,(ROW()-ROW($B$9)-1)*$I$13)),"")</x:f>
        <x:v>46075</x:v>
      </x:c>
      <x:c r="C51" s="18" t="n">
        <x:f>IF(B51="","",IF(ROW()-ROW($B$9)=$I$16,ROUND(F50+D51,2),MIN($I$18,ROUND(F50+D51,2))))</x:f>
        <x:v>26003.2</x:v>
      </x:c>
      <x:c r="D51" s="18" t="n">
        <x:f>IF(B51="","",ROUND(IF($I$19="Факт / 365",F50*$I$12*(B51-B50)/$I$20,F50*$I$17),2))</x:f>
        <x:v>22225.67</x:v>
      </x:c>
      <x:c r="E51" s="18" t="n">
        <x:f>IF(B51="","",ROUND(C51-D51,2))</x:f>
        <x:v>3777.53</x:v>
      </x:c>
      <x:c r="F51" s="18" t="n">
        <x:f>IF(B51="","",ROUND(F50-E51,2))</x:f>
        <x:v>3485413.11</x:v>
      </x:c>
      <x:c r="G51" s="2"/>
      <x:c r="H51" s="2"/>
      <x:c r="I51" s="2"/>
    </x:row>
    <x:row r="52" ht="24" customHeight="1">
      <x:c r="A52" s="1"/>
      <x:c r="B52" s="17" t="n">
        <x:f>IF(ROW()-ROW($B$9)&lt;=$I$16,MIN($I$14,EDATE($I$15,(ROW()-ROW($B$9)-1)*$I$13)),"")</x:f>
        <x:v>46103</x:v>
      </x:c>
      <x:c r="C52" s="18" t="n">
        <x:f>IF(B52="","",IF(ROW()-ROW($B$9)=$I$16,ROUND(F51+D52,2),MIN($I$18,ROUND(F51+D52,2))))</x:f>
        <x:v>26003.2</x:v>
      </x:c>
      <x:c r="D52" s="18" t="n">
        <x:f>IF(B52="","",ROUND(IF($I$19="Факт / 365",F51*$I$12*(B52-B51)/$I$20,F51*$I$17),2))</x:f>
        <x:v>20053.06</x:v>
      </x:c>
      <x:c r="E52" s="18" t="n">
        <x:f>IF(B52="","",ROUND(C52-D52,2))</x:f>
        <x:v>5950.14</x:v>
      </x:c>
      <x:c r="F52" s="18" t="n">
        <x:f>IF(B52="","",ROUND(F51-E52,2))</x:f>
        <x:v>3479462.97</x:v>
      </x:c>
      <x:c r="G52" s="2"/>
      <x:c r="H52" s="2"/>
      <x:c r="I52" s="2"/>
    </x:row>
    <x:row r="53" ht="24" customHeight="1">
      <x:c r="A53" s="1"/>
      <x:c r="B53" s="17" t="n">
        <x:f>IF(ROW()-ROW($B$9)&lt;=$I$16,MIN($I$14,EDATE($I$15,(ROW()-ROW($B$9)-1)*$I$13)),"")</x:f>
        <x:v>46134</x:v>
      </x:c>
      <x:c r="C53" s="18" t="n">
        <x:f>IF(B53="","",IF(ROW()-ROW($B$9)=$I$16,ROUND(F52+D53,2),MIN($I$18,ROUND(F52+D53,2))))</x:f>
        <x:v>26003.2</x:v>
      </x:c>
      <x:c r="D53" s="18" t="n">
        <x:f>IF(B53="","",ROUND(IF($I$19="Факт / 365",F52*$I$12*(B53-B52)/$I$20,F52*$I$17),2))</x:f>
        <x:v>22163.7</x:v>
      </x:c>
      <x:c r="E53" s="18" t="n">
        <x:f>IF(B53="","",ROUND(C53-D53,2))</x:f>
        <x:v>3839.5</x:v>
      </x:c>
      <x:c r="F53" s="18" t="n">
        <x:f>IF(B53="","",ROUND(F52-E53,2))</x:f>
        <x:v>3475623.47</x:v>
      </x:c>
      <x:c r="G53" s="2"/>
      <x:c r="H53" s="2"/>
      <x:c r="I53" s="2"/>
    </x:row>
    <x:row r="54" ht="24" customHeight="1">
      <x:c r="A54" s="1"/>
      <x:c r="B54" s="17" t="n">
        <x:f>IF(ROW()-ROW($B$9)&lt;=$I$16,MIN($I$14,EDATE($I$15,(ROW()-ROW($B$9)-1)*$I$13)),"")</x:f>
        <x:v>46164</x:v>
      </x:c>
      <x:c r="C54" s="18" t="n">
        <x:f>IF(B54="","",IF(ROW()-ROW($B$9)=$I$16,ROUND(F53+D54,2),MIN($I$18,ROUND(F53+D54,2))))</x:f>
        <x:v>26003.2</x:v>
      </x:c>
      <x:c r="D54" s="18" t="n">
        <x:f>IF(B54="","",ROUND(IF($I$19="Факт / 365",F53*$I$12*(B54-B53)/$I$20,F53*$I$17),2))</x:f>
        <x:v>21425.08</x:v>
      </x:c>
      <x:c r="E54" s="18" t="n">
        <x:f>IF(B54="","",ROUND(C54-D54,2))</x:f>
        <x:v>4578.12</x:v>
      </x:c>
      <x:c r="F54" s="18" t="n">
        <x:f>IF(B54="","",ROUND(F53-E54,2))</x:f>
        <x:v>3471045.35</x:v>
      </x:c>
      <x:c r="G54" s="2"/>
      <x:c r="H54" s="2"/>
      <x:c r="I54" s="2"/>
    </x:row>
    <x:row r="55" ht="24" customHeight="1">
      <x:c r="A55" s="1"/>
      <x:c r="B55" s="17" t="n">
        <x:f>IF(ROW()-ROW($B$9)&lt;=$I$16,MIN($I$14,EDATE($I$15,(ROW()-ROW($B$9)-1)*$I$13)),"")</x:f>
        <x:v>46195</x:v>
      </x:c>
      <x:c r="C55" s="18" t="n">
        <x:f>IF(B55="","",IF(ROW()-ROW($B$9)=$I$16,ROUND(F54+D55,2),MIN($I$18,ROUND(F54+D55,2))))</x:f>
        <x:v>26003.2</x:v>
      </x:c>
      <x:c r="D55" s="18" t="n">
        <x:f>IF(B55="","",ROUND(IF($I$19="Факт / 365",F54*$I$12*(B55-B54)/$I$20,F54*$I$17),2))</x:f>
        <x:v>22110.08</x:v>
      </x:c>
      <x:c r="E55" s="18" t="n">
        <x:f>IF(B55="","",ROUND(C55-D55,2))</x:f>
        <x:v>3893.12</x:v>
      </x:c>
      <x:c r="F55" s="18" t="n">
        <x:f>IF(B55="","",ROUND(F54-E55,2))</x:f>
        <x:v>3467152.23</x:v>
      </x:c>
      <x:c r="G55" s="2"/>
      <x:c r="H55" s="2"/>
      <x:c r="I55" s="2"/>
    </x:row>
    <x:row r="56" ht="24" customHeight="1">
      <x:c r="A56" s="1"/>
      <x:c r="B56" s="17" t="n">
        <x:f>IF(ROW()-ROW($B$9)&lt;=$I$16,MIN($I$14,EDATE($I$15,(ROW()-ROW($B$9)-1)*$I$13)),"")</x:f>
        <x:v>46225</x:v>
      </x:c>
      <x:c r="C56" s="18" t="n">
        <x:f>IF(B56="","",IF(ROW()-ROW($B$9)=$I$16,ROUND(F55+D56,2),MIN($I$18,ROUND(F55+D56,2))))</x:f>
        <x:v>26003.2</x:v>
      </x:c>
      <x:c r="D56" s="18" t="n">
        <x:f>IF(B56="","",ROUND(IF($I$19="Факт / 365",F55*$I$12*(B56-B55)/$I$20,F55*$I$17),2))</x:f>
        <x:v>21372.86</x:v>
      </x:c>
      <x:c r="E56" s="18" t="n">
        <x:f>IF(B56="","",ROUND(C56-D56,2))</x:f>
        <x:v>4630.34</x:v>
      </x:c>
      <x:c r="F56" s="18" t="n">
        <x:f>IF(B56="","",ROUND(F55-E56,2))</x:f>
        <x:v>3462521.89</x:v>
      </x:c>
      <x:c r="G56" s="2"/>
      <x:c r="H56" s="2"/>
      <x:c r="I56" s="2"/>
    </x:row>
    <x:row r="57" ht="24" customHeight="1">
      <x:c r="A57" s="1"/>
      <x:c r="B57" s="17" t="n">
        <x:f>IF(ROW()-ROW($B$9)&lt;=$I$16,MIN($I$14,EDATE($I$15,(ROW()-ROW($B$9)-1)*$I$13)),"")</x:f>
        <x:v>46256</x:v>
      </x:c>
      <x:c r="C57" s="18" t="n">
        <x:f>IF(B57="","",IF(ROW()-ROW($B$9)=$I$16,ROUND(F56+D57,2),MIN($I$18,ROUND(F56+D57,2))))</x:f>
        <x:v>26003.2</x:v>
      </x:c>
      <x:c r="D57" s="18" t="n">
        <x:f>IF(B57="","",ROUND(IF($I$19="Факт / 365",F56*$I$12*(B57-B56)/$I$20,F56*$I$17),2))</x:f>
        <x:v>22055.79</x:v>
      </x:c>
      <x:c r="E57" s="18" t="n">
        <x:f>IF(B57="","",ROUND(C57-D57,2))</x:f>
        <x:v>3947.41</x:v>
      </x:c>
      <x:c r="F57" s="18" t="n">
        <x:f>IF(B57="","",ROUND(F56-E57,2))</x:f>
        <x:v>3458574.48</x:v>
      </x:c>
      <x:c r="G57" s="2"/>
      <x:c r="H57" s="2"/>
      <x:c r="I57" s="2"/>
    </x:row>
    <x:row r="58" ht="24" customHeight="1">
      <x:c r="A58" s="1"/>
      <x:c r="B58" s="17" t="n">
        <x:f>IF(ROW()-ROW($B$9)&lt;=$I$16,MIN($I$14,EDATE($I$15,(ROW()-ROW($B$9)-1)*$I$13)),"")</x:f>
        <x:v>46287</x:v>
      </x:c>
      <x:c r="C58" s="18" t="n">
        <x:f>IF(B58="","",IF(ROW()-ROW($B$9)=$I$16,ROUND(F57+D58,2),MIN($I$18,ROUND(F57+D58,2))))</x:f>
        <x:v>26003.2</x:v>
      </x:c>
      <x:c r="D58" s="18" t="n">
        <x:f>IF(B58="","",ROUND(IF($I$19="Факт / 365",F57*$I$12*(B58-B57)/$I$20,F57*$I$17),2))</x:f>
        <x:v>22030.65</x:v>
      </x:c>
      <x:c r="E58" s="18" t="n">
        <x:f>IF(B58="","",ROUND(C58-D58,2))</x:f>
        <x:v>3972.55</x:v>
      </x:c>
      <x:c r="F58" s="18" t="n">
        <x:f>IF(B58="","",ROUND(F57-E58,2))</x:f>
        <x:v>3454601.93</x:v>
      </x:c>
      <x:c r="G58" s="2"/>
      <x:c r="H58" s="2"/>
      <x:c r="I58" s="2"/>
    </x:row>
    <x:row r="59" ht="24" customHeight="1">
      <x:c r="A59" s="1"/>
      <x:c r="B59" s="17" t="n">
        <x:f>IF(ROW()-ROW($B$9)&lt;=$I$16,MIN($I$14,EDATE($I$15,(ROW()-ROW($B$9)-1)*$I$13)),"")</x:f>
        <x:v>46317</x:v>
      </x:c>
      <x:c r="C59" s="18" t="n">
        <x:f>IF(B59="","",IF(ROW()-ROW($B$9)=$I$16,ROUND(F58+D59,2),MIN($I$18,ROUND(F58+D59,2))))</x:f>
        <x:v>26003.2</x:v>
      </x:c>
      <x:c r="D59" s="18" t="n">
        <x:f>IF(B59="","",ROUND(IF($I$19="Факт / 365",F58*$I$12*(B59-B58)/$I$20,F58*$I$17),2))</x:f>
        <x:v>21295.49</x:v>
      </x:c>
      <x:c r="E59" s="18" t="n">
        <x:f>IF(B59="","",ROUND(C59-D59,2))</x:f>
        <x:v>4707.71</x:v>
      </x:c>
      <x:c r="F59" s="18" t="n">
        <x:f>IF(B59="","",ROUND(F58-E59,2))</x:f>
        <x:v>3449894.22</x:v>
      </x:c>
      <x:c r="G59" s="2"/>
      <x:c r="H59" s="2"/>
      <x:c r="I59" s="2"/>
    </x:row>
    <x:row r="60" ht="24" customHeight="1">
      <x:c r="A60" s="1"/>
      <x:c r="B60" s="17" t="n">
        <x:f>IF(ROW()-ROW($B$9)&lt;=$I$16,MIN($I$14,EDATE($I$15,(ROW()-ROW($B$9)-1)*$I$13)),"")</x:f>
        <x:v>46348</x:v>
      </x:c>
      <x:c r="C60" s="18" t="n">
        <x:f>IF(B60="","",IF(ROW()-ROW($B$9)=$I$16,ROUND(F59+D60,2),MIN($I$18,ROUND(F59+D60,2))))</x:f>
        <x:v>26003.2</x:v>
      </x:c>
      <x:c r="D60" s="18" t="n">
        <x:f>IF(B60="","",ROUND(IF($I$19="Факт / 365",F59*$I$12*(B60-B59)/$I$20,F59*$I$17),2))</x:f>
        <x:v>21975.35</x:v>
      </x:c>
      <x:c r="E60" s="18" t="n">
        <x:f>IF(B60="","",ROUND(C60-D60,2))</x:f>
        <x:v>4027.85</x:v>
      </x:c>
      <x:c r="F60" s="18" t="n">
        <x:f>IF(B60="","",ROUND(F59-E60,2))</x:f>
        <x:v>3445866.37</x:v>
      </x:c>
      <x:c r="G60" s="2"/>
      <x:c r="H60" s="2"/>
      <x:c r="I60" s="2"/>
    </x:row>
    <x:row r="61" ht="24" customHeight="1">
      <x:c r="A61" s="1"/>
      <x:c r="B61" s="17" t="n">
        <x:f>IF(ROW()-ROW($B$9)&lt;=$I$16,MIN($I$14,EDATE($I$15,(ROW()-ROW($B$9)-1)*$I$13)),"")</x:f>
        <x:v>46378</x:v>
      </x:c>
      <x:c r="C61" s="18" t="n">
        <x:f>IF(B61="","",IF(ROW()-ROW($B$9)=$I$16,ROUND(F60+D61,2),MIN($I$18,ROUND(F60+D61,2))))</x:f>
        <x:v>26003.2</x:v>
      </x:c>
      <x:c r="D61" s="18" t="n">
        <x:f>IF(B61="","",ROUND(IF($I$19="Факт / 365",F60*$I$12*(B61-B60)/$I$20,F60*$I$17),2))</x:f>
        <x:v>21241.64</x:v>
      </x:c>
      <x:c r="E61" s="18" t="n">
        <x:f>IF(B61="","",ROUND(C61-D61,2))</x:f>
        <x:v>4761.56</x:v>
      </x:c>
      <x:c r="F61" s="18" t="n">
        <x:f>IF(B61="","",ROUND(F60-E61,2))</x:f>
        <x:v>3441104.81</x:v>
      </x:c>
      <x:c r="G61" s="2"/>
      <x:c r="H61" s="2"/>
      <x:c r="I61" s="2"/>
    </x:row>
    <x:row r="62" ht="24" customHeight="1">
      <x:c r="A62" s="1"/>
      <x:c r="B62" s="17" t="n">
        <x:f>IF(ROW()-ROW($B$9)&lt;=$I$16,MIN($I$14,EDATE($I$15,(ROW()-ROW($B$9)-1)*$I$13)),"")</x:f>
        <x:v>46409</x:v>
      </x:c>
      <x:c r="C62" s="18" t="n">
        <x:f>IF(B62="","",IF(ROW()-ROW($B$9)=$I$16,ROUND(F61+D62,2),MIN($I$18,ROUND(F61+D62,2))))</x:f>
        <x:v>26003.2</x:v>
      </x:c>
      <x:c r="D62" s="18" t="n">
        <x:f>IF(B62="","",ROUND(IF($I$19="Факт / 365",F61*$I$12*(B62-B61)/$I$20,F61*$I$17),2))</x:f>
        <x:v>21919.37</x:v>
      </x:c>
      <x:c r="E62" s="18" t="n">
        <x:f>IF(B62="","",ROUND(C62-D62,2))</x:f>
        <x:v>4083.83</x:v>
      </x:c>
      <x:c r="F62" s="18" t="n">
        <x:f>IF(B62="","",ROUND(F61-E62,2))</x:f>
        <x:v>3437020.98</x:v>
      </x:c>
      <x:c r="G62" s="2"/>
      <x:c r="H62" s="2"/>
      <x:c r="I62" s="2"/>
    </x:row>
    <x:row r="63" ht="24" customHeight="1">
      <x:c r="A63" s="1"/>
      <x:c r="B63" s="17" t="n">
        <x:f>IF(ROW()-ROW($B$9)&lt;=$I$16,MIN($I$14,EDATE($I$15,(ROW()-ROW($B$9)-1)*$I$13)),"")</x:f>
        <x:v>46440</x:v>
      </x:c>
      <x:c r="C63" s="18" t="n">
        <x:f>IF(B63="","",IF(ROW()-ROW($B$9)=$I$16,ROUND(F62+D63,2),MIN($I$18,ROUND(F62+D63,2))))</x:f>
        <x:v>26003.2</x:v>
      </x:c>
      <x:c r="D63" s="18" t="n">
        <x:f>IF(B63="","",ROUND(IF($I$19="Факт / 365",F62*$I$12*(B63-B62)/$I$20,F62*$I$17),2))</x:f>
        <x:v>21893.35</x:v>
      </x:c>
      <x:c r="E63" s="18" t="n">
        <x:f>IF(B63="","",ROUND(C63-D63,2))</x:f>
        <x:v>4109.85</x:v>
      </x:c>
      <x:c r="F63" s="18" t="n">
        <x:f>IF(B63="","",ROUND(F62-E63,2))</x:f>
        <x:v>3432911.13</x:v>
      </x:c>
      <x:c r="G63" s="2"/>
      <x:c r="H63" s="2"/>
      <x:c r="I63" s="2"/>
    </x:row>
    <x:row r="64" ht="24" customHeight="1">
      <x:c r="A64" s="1"/>
      <x:c r="B64" s="17" t="n">
        <x:f>IF(ROW()-ROW($B$9)&lt;=$I$16,MIN($I$14,EDATE($I$15,(ROW()-ROW($B$9)-1)*$I$13)),"")</x:f>
        <x:v>46468</x:v>
      </x:c>
      <x:c r="C64" s="18" t="n">
        <x:f>IF(B64="","",IF(ROW()-ROW($B$9)=$I$16,ROUND(F63+D64,2),MIN($I$18,ROUND(F63+D64,2))))</x:f>
        <x:v>26003.2</x:v>
      </x:c>
      <x:c r="D64" s="18" t="n">
        <x:f>IF(B64="","",ROUND(IF($I$19="Факт / 365",F63*$I$12*(B64-B63)/$I$20,F63*$I$17),2))</x:f>
        <x:v>19751</x:v>
      </x:c>
      <x:c r="E64" s="18" t="n">
        <x:f>IF(B64="","",ROUND(C64-D64,2))</x:f>
        <x:v>6252.2</x:v>
      </x:c>
      <x:c r="F64" s="18" t="n">
        <x:f>IF(B64="","",ROUND(F63-E64,2))</x:f>
        <x:v>3426658.93</x:v>
      </x:c>
      <x:c r="G64" s="2"/>
      <x:c r="H64" s="2"/>
      <x:c r="I64" s="2"/>
    </x:row>
    <x:row r="65" ht="24" customHeight="1">
      <x:c r="A65" s="1"/>
      <x:c r="B65" s="17" t="n">
        <x:f>IF(ROW()-ROW($B$9)&lt;=$I$16,MIN($I$14,EDATE($I$15,(ROW()-ROW($B$9)-1)*$I$13)),"")</x:f>
        <x:v>46499</x:v>
      </x:c>
      <x:c r="C65" s="18" t="n">
        <x:f>IF(B65="","",IF(ROW()-ROW($B$9)=$I$16,ROUND(F64+D65,2),MIN($I$18,ROUND(F64+D65,2))))</x:f>
        <x:v>26003.2</x:v>
      </x:c>
      <x:c r="D65" s="18" t="n">
        <x:f>IF(B65="","",ROUND(IF($I$19="Факт / 365",F64*$I$12*(B65-B64)/$I$20,F64*$I$17),2))</x:f>
        <x:v>21827.35</x:v>
      </x:c>
      <x:c r="E65" s="18" t="n">
        <x:f>IF(B65="","",ROUND(C65-D65,2))</x:f>
        <x:v>4175.85</x:v>
      </x:c>
      <x:c r="F65" s="18" t="n">
        <x:f>IF(B65="","",ROUND(F64-E65,2))</x:f>
        <x:v>3422483.08</x:v>
      </x:c>
      <x:c r="G65" s="2"/>
      <x:c r="H65" s="2"/>
      <x:c r="I65" s="2"/>
    </x:row>
    <x:row r="66" ht="24" customHeight="1">
      <x:c r="A66" s="1"/>
      <x:c r="B66" s="17" t="n">
        <x:f>IF(ROW()-ROW($B$9)&lt;=$I$16,MIN($I$14,EDATE($I$15,(ROW()-ROW($B$9)-1)*$I$13)),"")</x:f>
        <x:v>46529</x:v>
      </x:c>
      <x:c r="C66" s="18" t="n">
        <x:f>IF(B66="","",IF(ROW()-ROW($B$9)=$I$16,ROUND(F65+D66,2),MIN($I$18,ROUND(F65+D66,2))))</x:f>
        <x:v>26003.2</x:v>
      </x:c>
      <x:c r="D66" s="18" t="n">
        <x:f>IF(B66="","",ROUND(IF($I$19="Факт / 365",F65*$I$12*(B66-B65)/$I$20,F65*$I$17),2))</x:f>
        <x:v>21097.5</x:v>
      </x:c>
      <x:c r="E66" s="18" t="n">
        <x:f>IF(B66="","",ROUND(C66-D66,2))</x:f>
        <x:v>4905.7</x:v>
      </x:c>
      <x:c r="F66" s="18" t="n">
        <x:f>IF(B66="","",ROUND(F65-E66,2))</x:f>
        <x:v>3417577.38</x:v>
      </x:c>
      <x:c r="G66" s="2"/>
      <x:c r="H66" s="2"/>
      <x:c r="I66" s="2"/>
    </x:row>
    <x:row r="67" ht="24" customHeight="1">
      <x:c r="A67" s="1"/>
      <x:c r="B67" s="17" t="n">
        <x:f>IF(ROW()-ROW($B$9)&lt;=$I$16,MIN($I$14,EDATE($I$15,(ROW()-ROW($B$9)-1)*$I$13)),"")</x:f>
        <x:v>46560</x:v>
      </x:c>
      <x:c r="C67" s="18" t="n">
        <x:f>IF(B67="","",IF(ROW()-ROW($B$9)=$I$16,ROUND(F66+D67,2),MIN($I$18,ROUND(F66+D67,2))))</x:f>
        <x:v>26003.2</x:v>
      </x:c>
      <x:c r="D67" s="18" t="n">
        <x:f>IF(B67="","",ROUND(IF($I$19="Факт / 365",F66*$I$12*(B67-B66)/$I$20,F66*$I$17),2))</x:f>
        <x:v>21769.5</x:v>
      </x:c>
      <x:c r="E67" s="18" t="n">
        <x:f>IF(B67="","",ROUND(C67-D67,2))</x:f>
        <x:v>4233.7</x:v>
      </x:c>
      <x:c r="F67" s="18" t="n">
        <x:f>IF(B67="","",ROUND(F66-E67,2))</x:f>
        <x:v>3413343.68</x:v>
      </x:c>
      <x:c r="G67" s="2"/>
      <x:c r="H67" s="2"/>
      <x:c r="I67" s="2"/>
    </x:row>
    <x:row r="68" ht="24" customHeight="1">
      <x:c r="A68" s="1"/>
      <x:c r="B68" s="17" t="n">
        <x:f>IF(ROW()-ROW($B$9)&lt;=$I$16,MIN($I$14,EDATE($I$15,(ROW()-ROW($B$9)-1)*$I$13)),"")</x:f>
        <x:v>46590</x:v>
      </x:c>
      <x:c r="C68" s="18" t="n">
        <x:f>IF(B68="","",IF(ROW()-ROW($B$9)=$I$16,ROUND(F67+D68,2),MIN($I$18,ROUND(F67+D68,2))))</x:f>
        <x:v>26003.2</x:v>
      </x:c>
      <x:c r="D68" s="18" t="n">
        <x:f>IF(B68="","",ROUND(IF($I$19="Факт / 365",F67*$I$12*(B68-B67)/$I$20,F67*$I$17),2))</x:f>
        <x:v>21041.16</x:v>
      </x:c>
      <x:c r="E68" s="18" t="n">
        <x:f>IF(B68="","",ROUND(C68-D68,2))</x:f>
        <x:v>4962.04</x:v>
      </x:c>
      <x:c r="F68" s="18" t="n">
        <x:f>IF(B68="","",ROUND(F67-E68,2))</x:f>
        <x:v>3408381.64</x:v>
      </x:c>
      <x:c r="G68" s="2"/>
      <x:c r="H68" s="2"/>
      <x:c r="I68" s="2"/>
    </x:row>
    <x:row r="69" ht="24" customHeight="1">
      <x:c r="A69" s="1"/>
      <x:c r="B69" s="17" t="n">
        <x:f>IF(ROW()-ROW($B$9)&lt;=$I$16,MIN($I$14,EDATE($I$15,(ROW()-ROW($B$9)-1)*$I$13)),"")</x:f>
        <x:v>46621</x:v>
      </x:c>
      <x:c r="C69" s="18" t="n">
        <x:f>IF(B69="","",IF(ROW()-ROW($B$9)=$I$16,ROUND(F68+D69,2),MIN($I$18,ROUND(F68+D69,2))))</x:f>
        <x:v>26003.2</x:v>
      </x:c>
      <x:c r="D69" s="18" t="n">
        <x:f>IF(B69="","",ROUND(IF($I$19="Факт / 365",F68*$I$12*(B69-B68)/$I$20,F68*$I$17),2))</x:f>
        <x:v>21710.92</x:v>
      </x:c>
      <x:c r="E69" s="18" t="n">
        <x:f>IF(B69="","",ROUND(C69-D69,2))</x:f>
        <x:v>4292.28</x:v>
      </x:c>
      <x:c r="F69" s="18" t="n">
        <x:f>IF(B69="","",ROUND(F68-E69,2))</x:f>
        <x:v>3404089.36</x:v>
      </x:c>
      <x:c r="G69" s="2"/>
      <x:c r="H69" s="2"/>
      <x:c r="I69" s="2"/>
    </x:row>
    <x:row r="70" ht="24" customHeight="1">
      <x:c r="A70" s="1"/>
      <x:c r="B70" s="17" t="n">
        <x:f>IF(ROW()-ROW($B$9)&lt;=$I$16,MIN($I$14,EDATE($I$15,(ROW()-ROW($B$9)-1)*$I$13)),"")</x:f>
        <x:v>46652</x:v>
      </x:c>
      <x:c r="C70" s="18" t="n">
        <x:f>IF(B70="","",IF(ROW()-ROW($B$9)=$I$16,ROUND(F69+D70,2),MIN($I$18,ROUND(F69+D70,2))))</x:f>
        <x:v>26003.2</x:v>
      </x:c>
      <x:c r="D70" s="18" t="n">
        <x:f>IF(B70="","",ROUND(IF($I$19="Факт / 365",F69*$I$12*(B70-B69)/$I$20,F69*$I$17),2))</x:f>
        <x:v>21683.58</x:v>
      </x:c>
      <x:c r="E70" s="18" t="n">
        <x:f>IF(B70="","",ROUND(C70-D70,2))</x:f>
        <x:v>4319.62</x:v>
      </x:c>
      <x:c r="F70" s="18" t="n">
        <x:f>IF(B70="","",ROUND(F69-E70,2))</x:f>
        <x:v>3399769.74</x:v>
      </x:c>
      <x:c r="G70" s="2"/>
      <x:c r="H70" s="2"/>
      <x:c r="I70" s="2"/>
    </x:row>
    <x:row r="71" ht="24" customHeight="1">
      <x:c r="A71" s="1"/>
      <x:c r="B71" s="17" t="n">
        <x:f>IF(ROW()-ROW($B$9)&lt;=$I$16,MIN($I$14,EDATE($I$15,(ROW()-ROW($B$9)-1)*$I$13)),"")</x:f>
        <x:v>46682</x:v>
      </x:c>
      <x:c r="C71" s="18" t="n">
        <x:f>IF(B71="","",IF(ROW()-ROW($B$9)=$I$16,ROUND(F70+D71,2),MIN($I$18,ROUND(F70+D71,2))))</x:f>
        <x:v>26003.2</x:v>
      </x:c>
      <x:c r="D71" s="18" t="n">
        <x:f>IF(B71="","",ROUND(IF($I$19="Факт / 365",F70*$I$12*(B71-B70)/$I$20,F70*$I$17),2))</x:f>
        <x:v>20957.48</x:v>
      </x:c>
      <x:c r="E71" s="18" t="n">
        <x:f>IF(B71="","",ROUND(C71-D71,2))</x:f>
        <x:v>5045.72</x:v>
      </x:c>
      <x:c r="F71" s="18" t="n">
        <x:f>IF(B71="","",ROUND(F70-E71,2))</x:f>
        <x:v>3394724.02</x:v>
      </x:c>
      <x:c r="G71" s="2"/>
      <x:c r="H71" s="2"/>
      <x:c r="I71" s="2"/>
    </x:row>
    <x:row r="72" ht="24" customHeight="1">
      <x:c r="A72" s="1"/>
      <x:c r="B72" s="17" t="n">
        <x:f>IF(ROW()-ROW($B$9)&lt;=$I$16,MIN($I$14,EDATE($I$15,(ROW()-ROW($B$9)-1)*$I$13)),"")</x:f>
        <x:v>46713</x:v>
      </x:c>
      <x:c r="C72" s="18" t="n">
        <x:f>IF(B72="","",IF(ROW()-ROW($B$9)=$I$16,ROUND(F71+D72,2),MIN($I$18,ROUND(F71+D72,2))))</x:f>
        <x:v>26003.2</x:v>
      </x:c>
      <x:c r="D72" s="18" t="n">
        <x:f>IF(B72="","",ROUND(IF($I$19="Факт / 365",F71*$I$12*(B72-B71)/$I$20,F71*$I$17),2))</x:f>
        <x:v>21623.93</x:v>
      </x:c>
      <x:c r="E72" s="18" t="n">
        <x:f>IF(B72="","",ROUND(C72-D72,2))</x:f>
        <x:v>4379.27</x:v>
      </x:c>
      <x:c r="F72" s="18" t="n">
        <x:f>IF(B72="","",ROUND(F71-E72,2))</x:f>
        <x:v>3390344.75</x:v>
      </x:c>
      <x:c r="G72" s="2"/>
      <x:c r="H72" s="2"/>
      <x:c r="I72" s="2"/>
    </x:row>
    <x:row r="73" ht="24" customHeight="1">
      <x:c r="A73" s="1"/>
      <x:c r="B73" s="17" t="n">
        <x:f>IF(ROW()-ROW($B$9)&lt;=$I$16,MIN($I$14,EDATE($I$15,(ROW()-ROW($B$9)-1)*$I$13)),"")</x:f>
        <x:v>46743</x:v>
      </x:c>
      <x:c r="C73" s="18" t="n">
        <x:f>IF(B73="","",IF(ROW()-ROW($B$9)=$I$16,ROUND(F72+D73,2),MIN($I$18,ROUND(F72+D73,2))))</x:f>
        <x:v>26003.2</x:v>
      </x:c>
      <x:c r="D73" s="18" t="n">
        <x:f>IF(B73="","",ROUND(IF($I$19="Факт / 365",F72*$I$12*(B73-B72)/$I$20,F72*$I$17),2))</x:f>
        <x:v>20899.39</x:v>
      </x:c>
      <x:c r="E73" s="18" t="n">
        <x:f>IF(B73="","",ROUND(C73-D73,2))</x:f>
        <x:v>5103.81</x:v>
      </x:c>
      <x:c r="F73" s="18" t="n">
        <x:f>IF(B73="","",ROUND(F72-E73,2))</x:f>
        <x:v>3385240.94</x:v>
      </x:c>
      <x:c r="G73" s="2"/>
      <x:c r="H73" s="2"/>
      <x:c r="I73" s="2"/>
    </x:row>
    <x:row r="74" ht="24" customHeight="1">
      <x:c r="A74" s="1"/>
      <x:c r="B74" s="17" t="n">
        <x:f>IF(ROW()-ROW($B$9)&lt;=$I$16,MIN($I$14,EDATE($I$15,(ROW()-ROW($B$9)-1)*$I$13)),"")</x:f>
        <x:v>46774</x:v>
      </x:c>
      <x:c r="C74" s="18" t="n">
        <x:f>IF(B74="","",IF(ROW()-ROW($B$9)=$I$16,ROUND(F73+D74,2),MIN($I$18,ROUND(F73+D74,2))))</x:f>
        <x:v>26003.2</x:v>
      </x:c>
      <x:c r="D74" s="18" t="n">
        <x:f>IF(B74="","",ROUND(IF($I$19="Факт / 365",F73*$I$12*(B74-B73)/$I$20,F73*$I$17),2))</x:f>
        <x:v>21563.52</x:v>
      </x:c>
      <x:c r="E74" s="18" t="n">
        <x:f>IF(B74="","",ROUND(C74-D74,2))</x:f>
        <x:v>4439.68</x:v>
      </x:c>
      <x:c r="F74" s="18" t="n">
        <x:f>IF(B74="","",ROUND(F73-E74,2))</x:f>
        <x:v>3380801.26</x:v>
      </x:c>
      <x:c r="G74" s="2"/>
      <x:c r="H74" s="2"/>
      <x:c r="I74" s="2"/>
    </x:row>
    <x:row r="75" ht="24" customHeight="1">
      <x:c r="A75" s="1"/>
      <x:c r="B75" s="17" t="n">
        <x:f>IF(ROW()-ROW($B$9)&lt;=$I$16,MIN($I$14,EDATE($I$15,(ROW()-ROW($B$9)-1)*$I$13)),"")</x:f>
        <x:v>46805</x:v>
      </x:c>
      <x:c r="C75" s="18" t="n">
        <x:f>IF(B75="","",IF(ROW()-ROW($B$9)=$I$16,ROUND(F74+D75,2),MIN($I$18,ROUND(F74+D75,2))))</x:f>
        <x:v>26003.2</x:v>
      </x:c>
      <x:c r="D75" s="18" t="n">
        <x:f>IF(B75="","",ROUND(IF($I$19="Факт / 365",F74*$I$12*(B75-B74)/$I$20,F74*$I$17),2))</x:f>
        <x:v>21535.24</x:v>
      </x:c>
      <x:c r="E75" s="18" t="n">
        <x:f>IF(B75="","",ROUND(C75-D75,2))</x:f>
        <x:v>4467.96</x:v>
      </x:c>
      <x:c r="F75" s="18" t="n">
        <x:f>IF(B75="","",ROUND(F74-E75,2))</x:f>
        <x:v>3376333.3</x:v>
      </x:c>
      <x:c r="G75" s="2"/>
      <x:c r="H75" s="2"/>
      <x:c r="I75" s="2"/>
    </x:row>
    <x:row r="76" ht="24" customHeight="1">
      <x:c r="A76" s="1"/>
      <x:c r="B76" s="17" t="n">
        <x:f>IF(ROW()-ROW($B$9)&lt;=$I$16,MIN($I$14,EDATE($I$15,(ROW()-ROW($B$9)-1)*$I$13)),"")</x:f>
        <x:v>46834</x:v>
      </x:c>
      <x:c r="C76" s="18" t="n">
        <x:f>IF(B76="","",IF(ROW()-ROW($B$9)=$I$16,ROUND(F75+D76,2),MIN($I$18,ROUND(F75+D76,2))))</x:f>
        <x:v>26003.2</x:v>
      </x:c>
      <x:c r="D76" s="18" t="n">
        <x:f>IF(B76="","",ROUND(IF($I$19="Факт / 365",F75*$I$12*(B76-B75)/$I$20,F75*$I$17),2))</x:f>
        <x:v>20119.25</x:v>
      </x:c>
      <x:c r="E76" s="18" t="n">
        <x:f>IF(B76="","",ROUND(C76-D76,2))</x:f>
        <x:v>5883.95</x:v>
      </x:c>
      <x:c r="F76" s="18" t="n">
        <x:f>IF(B76="","",ROUND(F75-E76,2))</x:f>
        <x:v>3370449.35</x:v>
      </x:c>
      <x:c r="G76" s="2"/>
      <x:c r="H76" s="2"/>
      <x:c r="I76" s="2"/>
    </x:row>
    <x:row r="77" ht="24" customHeight="1">
      <x:c r="A77" s="1"/>
      <x:c r="B77" s="17" t="n">
        <x:f>IF(ROW()-ROW($B$9)&lt;=$I$16,MIN($I$14,EDATE($I$15,(ROW()-ROW($B$9)-1)*$I$13)),"")</x:f>
        <x:v>46865</x:v>
      </x:c>
      <x:c r="C77" s="18" t="n">
        <x:f>IF(B77="","",IF(ROW()-ROW($B$9)=$I$16,ROUND(F76+D77,2),MIN($I$18,ROUND(F76+D77,2))))</x:f>
        <x:v>26003.2</x:v>
      </x:c>
      <x:c r="D77" s="18" t="n">
        <x:f>IF(B77="","",ROUND(IF($I$19="Факт / 365",F76*$I$12*(B77-B76)/$I$20,F76*$I$17),2))</x:f>
        <x:v>21469.3</x:v>
      </x:c>
      <x:c r="E77" s="18" t="n">
        <x:f>IF(B77="","",ROUND(C77-D77,2))</x:f>
        <x:v>4533.9</x:v>
      </x:c>
      <x:c r="F77" s="18" t="n">
        <x:f>IF(B77="","",ROUND(F76-E77,2))</x:f>
        <x:v>3365915.45</x:v>
      </x:c>
      <x:c r="G77" s="2"/>
      <x:c r="H77" s="2"/>
      <x:c r="I77" s="2"/>
    </x:row>
    <x:row r="78" ht="24" customHeight="1">
      <x:c r="A78" s="1"/>
      <x:c r="B78" s="17" t="n">
        <x:f>IF(ROW()-ROW($B$9)&lt;=$I$16,MIN($I$14,EDATE($I$15,(ROW()-ROW($B$9)-1)*$I$13)),"")</x:f>
        <x:v>46895</x:v>
      </x:c>
      <x:c r="C78" s="18" t="n">
        <x:f>IF(B78="","",IF(ROW()-ROW($B$9)=$I$16,ROUND(F77+D78,2),MIN($I$18,ROUND(F77+D78,2))))</x:f>
        <x:v>26003.2</x:v>
      </x:c>
      <x:c r="D78" s="18" t="n">
        <x:f>IF(B78="","",ROUND(IF($I$19="Факт / 365",F77*$I$12*(B78-B77)/$I$20,F77*$I$17),2))</x:f>
        <x:v>20748.79</x:v>
      </x:c>
      <x:c r="E78" s="18" t="n">
        <x:f>IF(B78="","",ROUND(C78-D78,2))</x:f>
        <x:v>5254.41</x:v>
      </x:c>
      <x:c r="F78" s="18" t="n">
        <x:f>IF(B78="","",ROUND(F77-E78,2))</x:f>
        <x:v>3360661.04</x:v>
      </x:c>
      <x:c r="G78" s="2"/>
      <x:c r="H78" s="2"/>
      <x:c r="I78" s="2"/>
    </x:row>
    <x:row r="79" ht="24" customHeight="1">
      <x:c r="A79" s="1"/>
      <x:c r="B79" s="17" t="n">
        <x:f>IF(ROW()-ROW($B$9)&lt;=$I$16,MIN($I$14,EDATE($I$15,(ROW()-ROW($B$9)-1)*$I$13)),"")</x:f>
        <x:v>46926</x:v>
      </x:c>
      <x:c r="C79" s="18" t="n">
        <x:f>IF(B79="","",IF(ROW()-ROW($B$9)=$I$16,ROUND(F78+D79,2),MIN($I$18,ROUND(F78+D79,2))))</x:f>
        <x:v>26003.2</x:v>
      </x:c>
      <x:c r="D79" s="18" t="n">
        <x:f>IF(B79="","",ROUND(IF($I$19="Факт / 365",F78*$I$12*(B79-B78)/$I$20,F78*$I$17),2))</x:f>
        <x:v>21406.95</x:v>
      </x:c>
      <x:c r="E79" s="18" t="n">
        <x:f>IF(B79="","",ROUND(C79-D79,2))</x:f>
        <x:v>4596.25</x:v>
      </x:c>
      <x:c r="F79" s="18" t="n">
        <x:f>IF(B79="","",ROUND(F78-E79,2))</x:f>
        <x:v>3356064.79</x:v>
      </x:c>
      <x:c r="G79" s="2"/>
      <x:c r="H79" s="2"/>
      <x:c r="I79" s="2"/>
    </x:row>
    <x:row r="80" ht="24" customHeight="1">
      <x:c r="A80" s="1"/>
      <x:c r="B80" s="17" t="n">
        <x:f>IF(ROW()-ROW($B$9)&lt;=$I$16,MIN($I$14,EDATE($I$15,(ROW()-ROW($B$9)-1)*$I$13)),"")</x:f>
        <x:v>46956</x:v>
      </x:c>
      <x:c r="C80" s="18" t="n">
        <x:f>IF(B80="","",IF(ROW()-ROW($B$9)=$I$16,ROUND(F79+D80,2),MIN($I$18,ROUND(F79+D80,2))))</x:f>
        <x:v>26003.2</x:v>
      </x:c>
      <x:c r="D80" s="18" t="n">
        <x:f>IF(B80="","",ROUND(IF($I$19="Факт / 365",F79*$I$12*(B80-B79)/$I$20,F79*$I$17),2))</x:f>
        <x:v>20688.07</x:v>
      </x:c>
      <x:c r="E80" s="18" t="n">
        <x:f>IF(B80="","",ROUND(C80-D80,2))</x:f>
        <x:v>5315.13</x:v>
      </x:c>
      <x:c r="F80" s="18" t="n">
        <x:f>IF(B80="","",ROUND(F79-E80,2))</x:f>
        <x:v>3350749.66</x:v>
      </x:c>
      <x:c r="G80" s="2"/>
      <x:c r="H80" s="2"/>
      <x:c r="I80" s="2"/>
    </x:row>
    <x:row r="81" ht="24" customHeight="1">
      <x:c r="A81" s="1"/>
      <x:c r="B81" s="17" t="n">
        <x:f>IF(ROW()-ROW($B$9)&lt;=$I$16,MIN($I$14,EDATE($I$15,(ROW()-ROW($B$9)-1)*$I$13)),"")</x:f>
        <x:v>46987</x:v>
      </x:c>
      <x:c r="C81" s="18" t="n">
        <x:f>IF(B81="","",IF(ROW()-ROW($B$9)=$I$16,ROUND(F80+D81,2),MIN($I$18,ROUND(F80+D81,2))))</x:f>
        <x:v>26003.2</x:v>
      </x:c>
      <x:c r="D81" s="18" t="n">
        <x:f>IF(B81="","",ROUND(IF($I$19="Факт / 365",F80*$I$12*(B81-B80)/$I$20,F80*$I$17),2))</x:f>
        <x:v>21343.82</x:v>
      </x:c>
      <x:c r="E81" s="18" t="n">
        <x:f>IF(B81="","",ROUND(C81-D81,2))</x:f>
        <x:v>4659.38</x:v>
      </x:c>
      <x:c r="F81" s="18" t="n">
        <x:f>IF(B81="","",ROUND(F80-E81,2))</x:f>
        <x:v>3346090.28</x:v>
      </x:c>
      <x:c r="G81" s="2"/>
      <x:c r="H81" s="2"/>
      <x:c r="I81" s="2"/>
    </x:row>
    <x:row r="82" ht="24" customHeight="1">
      <x:c r="A82" s="1"/>
      <x:c r="B82" s="17" t="n">
        <x:f>IF(ROW()-ROW($B$9)&lt;=$I$16,MIN($I$14,EDATE($I$15,(ROW()-ROW($B$9)-1)*$I$13)),"")</x:f>
        <x:v>47018</x:v>
      </x:c>
      <x:c r="C82" s="18" t="n">
        <x:f>IF(B82="","",IF(ROW()-ROW($B$9)=$I$16,ROUND(F81+D82,2),MIN($I$18,ROUND(F81+D82,2))))</x:f>
        <x:v>26003.2</x:v>
      </x:c>
      <x:c r="D82" s="18" t="n">
        <x:f>IF(B82="","",ROUND(IF($I$19="Факт / 365",F81*$I$12*(B82-B81)/$I$20,F81*$I$17),2))</x:f>
        <x:v>21314.14</x:v>
      </x:c>
      <x:c r="E82" s="18" t="n">
        <x:f>IF(B82="","",ROUND(C82-D82,2))</x:f>
        <x:v>4689.06</x:v>
      </x:c>
      <x:c r="F82" s="18" t="n">
        <x:f>IF(B82="","",ROUND(F81-E82,2))</x:f>
        <x:v>3341401.22</x:v>
      </x:c>
      <x:c r="G82" s="2"/>
      <x:c r="H82" s="2"/>
      <x:c r="I82" s="2"/>
    </x:row>
    <x:row r="83" ht="24" customHeight="1">
      <x:c r="A83" s="1"/>
      <x:c r="B83" s="17" t="n">
        <x:f>IF(ROW()-ROW($B$9)&lt;=$I$16,MIN($I$14,EDATE($I$15,(ROW()-ROW($B$9)-1)*$I$13)),"")</x:f>
        <x:v>47048</x:v>
      </x:c>
      <x:c r="C83" s="18" t="n">
        <x:f>IF(B83="","",IF(ROW()-ROW($B$9)=$I$16,ROUND(F82+D83,2),MIN($I$18,ROUND(F82+D83,2))))</x:f>
        <x:v>26003.2</x:v>
      </x:c>
      <x:c r="D83" s="18" t="n">
        <x:f>IF(B83="","",ROUND(IF($I$19="Факт / 365",F82*$I$12*(B83-B82)/$I$20,F82*$I$17),2))</x:f>
        <x:v>20597.68</x:v>
      </x:c>
      <x:c r="E83" s="18" t="n">
        <x:f>IF(B83="","",ROUND(C83-D83,2))</x:f>
        <x:v>5405.52</x:v>
      </x:c>
      <x:c r="F83" s="18" t="n">
        <x:f>IF(B83="","",ROUND(F82-E83,2))</x:f>
        <x:v>3335995.7</x:v>
      </x:c>
      <x:c r="G83" s="2"/>
      <x:c r="H83" s="2"/>
      <x:c r="I83" s="2"/>
    </x:row>
    <x:row r="84" ht="24" customHeight="1">
      <x:c r="A84" s="1"/>
      <x:c r="B84" s="17" t="n">
        <x:f>IF(ROW()-ROW($B$9)&lt;=$I$16,MIN($I$14,EDATE($I$15,(ROW()-ROW($B$9)-1)*$I$13)),"")</x:f>
        <x:v>47079</x:v>
      </x:c>
      <x:c r="C84" s="18" t="n">
        <x:f>IF(B84="","",IF(ROW()-ROW($B$9)=$I$16,ROUND(F83+D84,2),MIN($I$18,ROUND(F83+D84,2))))</x:f>
        <x:v>26003.2</x:v>
      </x:c>
      <x:c r="D84" s="18" t="n">
        <x:f>IF(B84="","",ROUND(IF($I$19="Факт / 365",F83*$I$12*(B84-B83)/$I$20,F83*$I$17),2))</x:f>
        <x:v>21249.84</x:v>
      </x:c>
      <x:c r="E84" s="18" t="n">
        <x:f>IF(B84="","",ROUND(C84-D84,2))</x:f>
        <x:v>4753.36</x:v>
      </x:c>
      <x:c r="F84" s="18" t="n">
        <x:f>IF(B84="","",ROUND(F83-E84,2))</x:f>
        <x:v>3331242.34</x:v>
      </x:c>
      <x:c r="G84" s="2"/>
      <x:c r="H84" s="2"/>
      <x:c r="I84" s="2"/>
    </x:row>
    <x:row r="85" ht="24" customHeight="1">
      <x:c r="A85" s="1"/>
      <x:c r="B85" s="17" t="n">
        <x:f>IF(ROW()-ROW($B$9)&lt;=$I$16,MIN($I$14,EDATE($I$15,(ROW()-ROW($B$9)-1)*$I$13)),"")</x:f>
        <x:v>47109</x:v>
      </x:c>
      <x:c r="C85" s="18" t="n">
        <x:f>IF(B85="","",IF(ROW()-ROW($B$9)=$I$16,ROUND(F84+D85,2),MIN($I$18,ROUND(F84+D85,2))))</x:f>
        <x:v>26003.2</x:v>
      </x:c>
      <x:c r="D85" s="18" t="n">
        <x:f>IF(B85="","",ROUND(IF($I$19="Факт / 365",F84*$I$12*(B85-B84)/$I$20,F84*$I$17),2))</x:f>
        <x:v>20535.06</x:v>
      </x:c>
      <x:c r="E85" s="18" t="n">
        <x:f>IF(B85="","",ROUND(C85-D85,2))</x:f>
        <x:v>5468.14</x:v>
      </x:c>
      <x:c r="F85" s="18" t="n">
        <x:f>IF(B85="","",ROUND(F84-E85,2))</x:f>
        <x:v>3325774.2</x:v>
      </x:c>
      <x:c r="G85" s="2"/>
      <x:c r="H85" s="2"/>
      <x:c r="I85" s="2"/>
    </x:row>
    <x:row r="86" ht="24" customHeight="1">
      <x:c r="A86" s="1"/>
      <x:c r="B86" s="17" t="n">
        <x:f>IF(ROW()-ROW($B$9)&lt;=$I$16,MIN($I$14,EDATE($I$15,(ROW()-ROW($B$9)-1)*$I$13)),"")</x:f>
        <x:v>47140</x:v>
      </x:c>
      <x:c r="C86" s="18" t="n">
        <x:f>IF(B86="","",IF(ROW()-ROW($B$9)=$I$16,ROUND(F85+D86,2),MIN($I$18,ROUND(F85+D86,2))))</x:f>
        <x:v>26003.2</x:v>
      </x:c>
      <x:c r="D86" s="18" t="n">
        <x:f>IF(B86="","",ROUND(IF($I$19="Факт / 365",F85*$I$12*(B86-B85)/$I$20,F85*$I$17),2))</x:f>
        <x:v>21184.73</x:v>
      </x:c>
      <x:c r="E86" s="18" t="n">
        <x:f>IF(B86="","",ROUND(C86-D86,2))</x:f>
        <x:v>4818.47</x:v>
      </x:c>
      <x:c r="F86" s="18" t="n">
        <x:f>IF(B86="","",ROUND(F85-E86,2))</x:f>
        <x:v>3320955.73</x:v>
      </x:c>
      <x:c r="G86" s="2"/>
      <x:c r="H86" s="2"/>
      <x:c r="I86" s="2"/>
    </x:row>
    <x:row r="87" ht="24" customHeight="1">
      <x:c r="A87" s="1"/>
      <x:c r="B87" s="17" t="n">
        <x:f>IF(ROW()-ROW($B$9)&lt;=$I$16,MIN($I$14,EDATE($I$15,(ROW()-ROW($B$9)-1)*$I$13)),"")</x:f>
        <x:v>47171</x:v>
      </x:c>
      <x:c r="C87" s="18" t="n">
        <x:f>IF(B87="","",IF(ROW()-ROW($B$9)=$I$16,ROUND(F86+D87,2),MIN($I$18,ROUND(F86+D87,2))))</x:f>
        <x:v>26003.2</x:v>
      </x:c>
      <x:c r="D87" s="18" t="n">
        <x:f>IF(B87="","",ROUND(IF($I$19="Факт / 365",F86*$I$12*(B87-B86)/$I$20,F86*$I$17),2))</x:f>
        <x:v>21154.03</x:v>
      </x:c>
      <x:c r="E87" s="18" t="n">
        <x:f>IF(B87="","",ROUND(C87-D87,2))</x:f>
        <x:v>4849.17</x:v>
      </x:c>
      <x:c r="F87" s="18" t="n">
        <x:f>IF(B87="","",ROUND(F86-E87,2))</x:f>
        <x:v>3316106.56</x:v>
      </x:c>
      <x:c r="G87" s="2"/>
      <x:c r="H87" s="2"/>
      <x:c r="I87" s="2"/>
    </x:row>
    <x:row r="88" ht="24" customHeight="1">
      <x:c r="A88" s="1"/>
      <x:c r="B88" s="17" t="n">
        <x:f>IF(ROW()-ROW($B$9)&lt;=$I$16,MIN($I$14,EDATE($I$15,(ROW()-ROW($B$9)-1)*$I$13)),"")</x:f>
        <x:v>47199</x:v>
      </x:c>
      <x:c r="C88" s="18" t="n">
        <x:f>IF(B88="","",IF(ROW()-ROW($B$9)=$I$16,ROUND(F87+D88,2),MIN($I$18,ROUND(F87+D88,2))))</x:f>
        <x:v>26003.2</x:v>
      </x:c>
      <x:c r="D88" s="18" t="n">
        <x:f>IF(B88="","",ROUND(IF($I$19="Факт / 365",F87*$I$12*(B88-B87)/$I$20,F87*$I$17),2))</x:f>
        <x:v>19078.97</x:v>
      </x:c>
      <x:c r="E88" s="18" t="n">
        <x:f>IF(B88="","",ROUND(C88-D88,2))</x:f>
        <x:v>6924.23</x:v>
      </x:c>
      <x:c r="F88" s="18" t="n">
        <x:f>IF(B88="","",ROUND(F87-E88,2))</x:f>
        <x:v>3309182.33</x:v>
      </x:c>
      <x:c r="G88" s="2"/>
      <x:c r="H88" s="2"/>
      <x:c r="I88" s="2"/>
    </x:row>
    <x:row r="89" ht="24" customHeight="1">
      <x:c r="A89" s="1"/>
      <x:c r="B89" s="17" t="n">
        <x:f>IF(ROW()-ROW($B$9)&lt;=$I$16,MIN($I$14,EDATE($I$15,(ROW()-ROW($B$9)-1)*$I$13)),"")</x:f>
        <x:v>47230</x:v>
      </x:c>
      <x:c r="C89" s="18" t="n">
        <x:f>IF(B89="","",IF(ROW()-ROW($B$9)=$I$16,ROUND(F88+D89,2),MIN($I$18,ROUND(F88+D89,2))))</x:f>
        <x:v>26003.2</x:v>
      </x:c>
      <x:c r="D89" s="18" t="n">
        <x:f>IF(B89="","",ROUND(IF($I$19="Факт / 365",F88*$I$12*(B89-B88)/$I$20,F88*$I$17),2))</x:f>
        <x:v>21079.04</x:v>
      </x:c>
      <x:c r="E89" s="18" t="n">
        <x:f>IF(B89="","",ROUND(C89-D89,2))</x:f>
        <x:v>4924.16</x:v>
      </x:c>
      <x:c r="F89" s="18" t="n">
        <x:f>IF(B89="","",ROUND(F88-E89,2))</x:f>
        <x:v>3304258.17</x:v>
      </x:c>
      <x:c r="G89" s="2"/>
      <x:c r="H89" s="2"/>
      <x:c r="I89" s="2"/>
    </x:row>
    <x:row r="90" ht="24" customHeight="1">
      <x:c r="A90" s="1"/>
      <x:c r="B90" s="17" t="n">
        <x:f>IF(ROW()-ROW($B$9)&lt;=$I$16,MIN($I$14,EDATE($I$15,(ROW()-ROW($B$9)-1)*$I$13)),"")</x:f>
        <x:v>47260</x:v>
      </x:c>
      <x:c r="C90" s="18" t="n">
        <x:f>IF(B90="","",IF(ROW()-ROW($B$9)=$I$16,ROUND(F89+D90,2),MIN($I$18,ROUND(F89+D90,2))))</x:f>
        <x:v>26003.2</x:v>
      </x:c>
      <x:c r="D90" s="18" t="n">
        <x:f>IF(B90="","",ROUND(IF($I$19="Факт / 365",F89*$I$12*(B90-B89)/$I$20,F89*$I$17),2))</x:f>
        <x:v>20368.71</x:v>
      </x:c>
      <x:c r="E90" s="18" t="n">
        <x:f>IF(B90="","",ROUND(C90-D90,2))</x:f>
        <x:v>5634.49</x:v>
      </x:c>
      <x:c r="F90" s="18" t="n">
        <x:f>IF(B90="","",ROUND(F89-E90,2))</x:f>
        <x:v>3298623.68</x:v>
      </x:c>
      <x:c r="G90" s="2"/>
      <x:c r="H90" s="2"/>
      <x:c r="I90" s="2"/>
    </x:row>
    <x:row r="91" ht="24" customHeight="1">
      <x:c r="A91" s="1"/>
      <x:c r="B91" s="17" t="n">
        <x:f>IF(ROW()-ROW($B$9)&lt;=$I$16,MIN($I$14,EDATE($I$15,(ROW()-ROW($B$9)-1)*$I$13)),"")</x:f>
        <x:v>47291</x:v>
      </x:c>
      <x:c r="C91" s="18" t="n">
        <x:f>IF(B91="","",IF(ROW()-ROW($B$9)=$I$16,ROUND(F90+D91,2),MIN($I$18,ROUND(F90+D91,2))))</x:f>
        <x:v>26003.2</x:v>
      </x:c>
      <x:c r="D91" s="18" t="n">
        <x:f>IF(B91="","",ROUND(IF($I$19="Факт / 365",F90*$I$12*(B91-B90)/$I$20,F90*$I$17),2))</x:f>
        <x:v>21011.78</x:v>
      </x:c>
      <x:c r="E91" s="18" t="n">
        <x:f>IF(B91="","",ROUND(C91-D91,2))</x:f>
        <x:v>4991.42</x:v>
      </x:c>
      <x:c r="F91" s="18" t="n">
        <x:f>IF(B91="","",ROUND(F90-E91,2))</x:f>
        <x:v>3293632.26</x:v>
      </x:c>
      <x:c r="G91" s="2"/>
      <x:c r="H91" s="2"/>
      <x:c r="I91" s="2"/>
    </x:row>
    <x:row r="92" ht="24" customHeight="1">
      <x:c r="A92" s="1"/>
      <x:c r="B92" s="17" t="n">
        <x:f>IF(ROW()-ROW($B$9)&lt;=$I$16,MIN($I$14,EDATE($I$15,(ROW()-ROW($B$9)-1)*$I$13)),"")</x:f>
        <x:v>47321</x:v>
      </x:c>
      <x:c r="C92" s="18" t="n">
        <x:f>IF(B92="","",IF(ROW()-ROW($B$9)=$I$16,ROUND(F91+D92,2),MIN($I$18,ROUND(F91+D92,2))))</x:f>
        <x:v>26003.2</x:v>
      </x:c>
      <x:c r="D92" s="18" t="n">
        <x:f>IF(B92="","",ROUND(IF($I$19="Факт / 365",F91*$I$12*(B92-B91)/$I$20,F91*$I$17),2))</x:f>
        <x:v>20303.21</x:v>
      </x:c>
      <x:c r="E92" s="18" t="n">
        <x:f>IF(B92="","",ROUND(C92-D92,2))</x:f>
        <x:v>5699.99</x:v>
      </x:c>
      <x:c r="F92" s="18" t="n">
        <x:f>IF(B92="","",ROUND(F91-E92,2))</x:f>
        <x:v>3287932.27</x:v>
      </x:c>
      <x:c r="G92" s="2"/>
      <x:c r="H92" s="2"/>
      <x:c r="I92" s="2"/>
    </x:row>
    <x:row r="93" ht="24" customHeight="1">
      <x:c r="A93" s="1"/>
      <x:c r="B93" s="17" t="n">
        <x:f>IF(ROW()-ROW($B$9)&lt;=$I$16,MIN($I$14,EDATE($I$15,(ROW()-ROW($B$9)-1)*$I$13)),"")</x:f>
        <x:v>47352</x:v>
      </x:c>
      <x:c r="C93" s="18" t="n">
        <x:f>IF(B93="","",IF(ROW()-ROW($B$9)=$I$16,ROUND(F92+D93,2),MIN($I$18,ROUND(F92+D93,2))))</x:f>
        <x:v>26003.2</x:v>
      </x:c>
      <x:c r="D93" s="18" t="n">
        <x:f>IF(B93="","",ROUND(IF($I$19="Факт / 365",F92*$I$12*(B93-B92)/$I$20,F92*$I$17),2))</x:f>
        <x:v>20943.68</x:v>
      </x:c>
      <x:c r="E93" s="18" t="n">
        <x:f>IF(B93="","",ROUND(C93-D93,2))</x:f>
        <x:v>5059.52</x:v>
      </x:c>
      <x:c r="F93" s="18" t="n">
        <x:f>IF(B93="","",ROUND(F92-E93,2))</x:f>
        <x:v>3282872.75</x:v>
      </x:c>
      <x:c r="G93" s="2"/>
      <x:c r="H93" s="2"/>
      <x:c r="I93" s="2"/>
    </x:row>
    <x:row r="94" ht="24" customHeight="1">
      <x:c r="A94" s="1"/>
      <x:c r="B94" s="17" t="n">
        <x:f>IF(ROW()-ROW($B$9)&lt;=$I$16,MIN($I$14,EDATE($I$15,(ROW()-ROW($B$9)-1)*$I$13)),"")</x:f>
        <x:v>47383</x:v>
      </x:c>
      <x:c r="C94" s="18" t="n">
        <x:f>IF(B94="","",IF(ROW()-ROW($B$9)=$I$16,ROUND(F93+D94,2),MIN($I$18,ROUND(F93+D94,2))))</x:f>
        <x:v>26003.2</x:v>
      </x:c>
      <x:c r="D94" s="18" t="n">
        <x:f>IF(B94="","",ROUND(IF($I$19="Факт / 365",F93*$I$12*(B94-B93)/$I$20,F93*$I$17),2))</x:f>
        <x:v>20911.45</x:v>
      </x:c>
      <x:c r="E94" s="18" t="n">
        <x:f>IF(B94="","",ROUND(C94-D94,2))</x:f>
        <x:v>5091.75</x:v>
      </x:c>
      <x:c r="F94" s="18" t="n">
        <x:f>IF(B94="","",ROUND(F93-E94,2))</x:f>
        <x:v>3277781</x:v>
      </x:c>
      <x:c r="G94" s="2"/>
      <x:c r="H94" s="2"/>
      <x:c r="I94" s="2"/>
    </x:row>
    <x:row r="95" ht="24" customHeight="1">
      <x:c r="A95" s="1"/>
      <x:c r="B95" s="17" t="n">
        <x:f>IF(ROW()-ROW($B$9)&lt;=$I$16,MIN($I$14,EDATE($I$15,(ROW()-ROW($B$9)-1)*$I$13)),"")</x:f>
        <x:v>47413</x:v>
      </x:c>
      <x:c r="C95" s="18" t="n">
        <x:f>IF(B95="","",IF(ROW()-ROW($B$9)=$I$16,ROUND(F94+D95,2),MIN($I$18,ROUND(F94+D95,2))))</x:f>
        <x:v>26003.2</x:v>
      </x:c>
      <x:c r="D95" s="18" t="n">
        <x:f>IF(B95="","",ROUND(IF($I$19="Факт / 365",F94*$I$12*(B95-B94)/$I$20,F94*$I$17),2))</x:f>
        <x:v>20205.5</x:v>
      </x:c>
      <x:c r="E95" s="18" t="n">
        <x:f>IF(B95="","",ROUND(C95-D95,2))</x:f>
        <x:v>5797.7</x:v>
      </x:c>
      <x:c r="F95" s="18" t="n">
        <x:f>IF(B95="","",ROUND(F94-E95,2))</x:f>
        <x:v>3271983.3</x:v>
      </x:c>
      <x:c r="G95" s="2"/>
      <x:c r="H95" s="2"/>
      <x:c r="I95" s="2"/>
    </x:row>
    <x:row r="96" ht="24" customHeight="1">
      <x:c r="A96" s="1"/>
      <x:c r="B96" s="17" t="n">
        <x:f>IF(ROW()-ROW($B$9)&lt;=$I$16,MIN($I$14,EDATE($I$15,(ROW()-ROW($B$9)-1)*$I$13)),"")</x:f>
        <x:v>47444</x:v>
      </x:c>
      <x:c r="C96" s="18" t="n">
        <x:f>IF(B96="","",IF(ROW()-ROW($B$9)=$I$16,ROUND(F95+D96,2),MIN($I$18,ROUND(F95+D96,2))))</x:f>
        <x:v>26003.2</x:v>
      </x:c>
      <x:c r="D96" s="18" t="n">
        <x:f>IF(B96="","",ROUND(IF($I$19="Факт / 365",F95*$I$12*(B96-B95)/$I$20,F95*$I$17),2))</x:f>
        <x:v>20842.09</x:v>
      </x:c>
      <x:c r="E96" s="18" t="n">
        <x:f>IF(B96="","",ROUND(C96-D96,2))</x:f>
        <x:v>5161.11</x:v>
      </x:c>
      <x:c r="F96" s="18" t="n">
        <x:f>IF(B96="","",ROUND(F95-E96,2))</x:f>
        <x:v>3266822.19</x:v>
      </x:c>
      <x:c r="G96" s="2"/>
      <x:c r="H96" s="2"/>
      <x:c r="I96" s="2"/>
    </x:row>
    <x:row r="97" ht="24" customHeight="1">
      <x:c r="A97" s="1"/>
      <x:c r="B97" s="17" t="n">
        <x:f>IF(ROW()-ROW($B$9)&lt;=$I$16,MIN($I$14,EDATE($I$15,(ROW()-ROW($B$9)-1)*$I$13)),"")</x:f>
        <x:v>47474</x:v>
      </x:c>
      <x:c r="C97" s="18" t="n">
        <x:f>IF(B97="","",IF(ROW()-ROW($B$9)=$I$16,ROUND(F96+D97,2),MIN($I$18,ROUND(F96+D97,2))))</x:f>
        <x:v>26003.2</x:v>
      </x:c>
      <x:c r="D97" s="18" t="n">
        <x:f>IF(B97="","",ROUND(IF($I$19="Факт / 365",F96*$I$12*(B97-B96)/$I$20,F96*$I$17),2))</x:f>
        <x:v>20137.95</x:v>
      </x:c>
      <x:c r="E97" s="18" t="n">
        <x:f>IF(B97="","",ROUND(C97-D97,2))</x:f>
        <x:v>5865.25</x:v>
      </x:c>
      <x:c r="F97" s="18" t="n">
        <x:f>IF(B97="","",ROUND(F96-E97,2))</x:f>
        <x:v>3260956.94</x:v>
      </x:c>
      <x:c r="G97" s="2"/>
      <x:c r="H97" s="2"/>
      <x:c r="I97" s="2"/>
    </x:row>
    <x:row r="98" ht="24" customHeight="1">
      <x:c r="A98" s="1"/>
      <x:c r="B98" s="17" t="n">
        <x:f>IF(ROW()-ROW($B$9)&lt;=$I$16,MIN($I$14,EDATE($I$15,(ROW()-ROW($B$9)-1)*$I$13)),"")</x:f>
        <x:v>47505</x:v>
      </x:c>
      <x:c r="C98" s="18" t="n">
        <x:f>IF(B98="","",IF(ROW()-ROW($B$9)=$I$16,ROUND(F97+D98,2),MIN($I$18,ROUND(F97+D98,2))))</x:f>
        <x:v>26003.2</x:v>
      </x:c>
      <x:c r="D98" s="18" t="n">
        <x:f>IF(B98="","",ROUND(IF($I$19="Факт / 365",F97*$I$12*(B98-B97)/$I$20,F97*$I$17),2))</x:f>
        <x:v>20771.85</x:v>
      </x:c>
      <x:c r="E98" s="18" t="n">
        <x:f>IF(B98="","",ROUND(C98-D98,2))</x:f>
        <x:v>5231.35</x:v>
      </x:c>
      <x:c r="F98" s="18" t="n">
        <x:f>IF(B98="","",ROUND(F97-E98,2))</x:f>
        <x:v>3255725.59</x:v>
      </x:c>
      <x:c r="G98" s="2"/>
      <x:c r="H98" s="2"/>
      <x:c r="I98" s="2"/>
    </x:row>
    <x:row r="99" ht="24" customHeight="1">
      <x:c r="A99" s="1"/>
      <x:c r="B99" s="17" t="n">
        <x:f>IF(ROW()-ROW($B$9)&lt;=$I$16,MIN($I$14,EDATE($I$15,(ROW()-ROW($B$9)-1)*$I$13)),"")</x:f>
        <x:v>47536</x:v>
      </x:c>
      <x:c r="C99" s="18" t="n">
        <x:f>IF(B99="","",IF(ROW()-ROW($B$9)=$I$16,ROUND(F98+D99,2),MIN($I$18,ROUND(F98+D99,2))))</x:f>
        <x:v>26003.2</x:v>
      </x:c>
      <x:c r="D99" s="18" t="n">
        <x:f>IF(B99="","",ROUND(IF($I$19="Факт / 365",F98*$I$12*(B99-B98)/$I$20,F98*$I$17),2))</x:f>
        <x:v>20738.53</x:v>
      </x:c>
      <x:c r="E99" s="18" t="n">
        <x:f>IF(B99="","",ROUND(C99-D99,2))</x:f>
        <x:v>5264.67</x:v>
      </x:c>
      <x:c r="F99" s="18" t="n">
        <x:f>IF(B99="","",ROUND(F98-E99,2))</x:f>
        <x:v>3250460.92</x:v>
      </x:c>
      <x:c r="G99" s="2"/>
      <x:c r="H99" s="2"/>
      <x:c r="I99" s="2"/>
    </x:row>
    <x:row r="100" ht="24" customHeight="1">
      <x:c r="A100" s="1"/>
      <x:c r="B100" s="17" t="n">
        <x:f>IF(ROW()-ROW($B$9)&lt;=$I$16,MIN($I$14,EDATE($I$15,(ROW()-ROW($B$9)-1)*$I$13)),"")</x:f>
        <x:v>47564</x:v>
      </x:c>
      <x:c r="C100" s="18" t="n">
        <x:f>IF(B100="","",IF(ROW()-ROW($B$9)=$I$16,ROUND(F99+D100,2),MIN($I$18,ROUND(F99+D100,2))))</x:f>
        <x:v>26003.2</x:v>
      </x:c>
      <x:c r="D100" s="18" t="n">
        <x:f>IF(B100="","",ROUND(IF($I$19="Факт / 365",F99*$I$12*(B100-B99)/$I$20,F99*$I$17),2))</x:f>
        <x:v>18701.28</x:v>
      </x:c>
      <x:c r="E100" s="18" t="n">
        <x:f>IF(B100="","",ROUND(C100-D100,2))</x:f>
        <x:v>7301.92</x:v>
      </x:c>
      <x:c r="F100" s="18" t="n">
        <x:f>IF(B100="","",ROUND(F99-E100,2))</x:f>
        <x:v>3243159</x:v>
      </x:c>
      <x:c r="G100" s="2"/>
      <x:c r="H100" s="2"/>
      <x:c r="I100" s="2"/>
    </x:row>
    <x:row r="101" ht="24" customHeight="1">
      <x:c r="A101" s="1"/>
      <x:c r="B101" s="17" t="n">
        <x:f>IF(ROW()-ROW($B$9)&lt;=$I$16,MIN($I$14,EDATE($I$15,(ROW()-ROW($B$9)-1)*$I$13)),"")</x:f>
        <x:v>47595</x:v>
      </x:c>
      <x:c r="C101" s="18" t="n">
        <x:f>IF(B101="","",IF(ROW()-ROW($B$9)=$I$16,ROUND(F100+D101,2),MIN($I$18,ROUND(F100+D101,2))))</x:f>
        <x:v>26003.2</x:v>
      </x:c>
      <x:c r="D101" s="18" t="n">
        <x:f>IF(B101="","",ROUND(IF($I$19="Факт / 365",F100*$I$12*(B101-B100)/$I$20,F100*$I$17),2))</x:f>
        <x:v>20658.48</x:v>
      </x:c>
      <x:c r="E101" s="18" t="n">
        <x:f>IF(B101="","",ROUND(C101-D101,2))</x:f>
        <x:v>5344.72</x:v>
      </x:c>
      <x:c r="F101" s="18" t="n">
        <x:f>IF(B101="","",ROUND(F100-E101,2))</x:f>
        <x:v>3237814.28</x:v>
      </x:c>
      <x:c r="G101" s="2"/>
      <x:c r="H101" s="2"/>
      <x:c r="I101" s="2"/>
    </x:row>
    <x:row r="102" ht="24" customHeight="1">
      <x:c r="A102" s="1"/>
      <x:c r="B102" s="17" t="n">
        <x:f>IF(ROW()-ROW($B$9)&lt;=$I$16,MIN($I$14,EDATE($I$15,(ROW()-ROW($B$9)-1)*$I$13)),"")</x:f>
        <x:v>47625</x:v>
      </x:c>
      <x:c r="C102" s="18" t="n">
        <x:f>IF(B102="","",IF(ROW()-ROW($B$9)=$I$16,ROUND(F101+D102,2),MIN($I$18,ROUND(F101+D102,2))))</x:f>
        <x:v>26003.2</x:v>
      </x:c>
      <x:c r="D102" s="18" t="n">
        <x:f>IF(B102="","",ROUND(IF($I$19="Факт / 365",F101*$I$12*(B102-B101)/$I$20,F101*$I$17),2))</x:f>
        <x:v>19959.13</x:v>
      </x:c>
      <x:c r="E102" s="18" t="n">
        <x:f>IF(B102="","",ROUND(C102-D102,2))</x:f>
        <x:v>6044.07</x:v>
      </x:c>
      <x:c r="F102" s="18" t="n">
        <x:f>IF(B102="","",ROUND(F101-E102,2))</x:f>
        <x:v>3231770.21</x:v>
      </x:c>
      <x:c r="G102" s="2"/>
      <x:c r="H102" s="2"/>
      <x:c r="I102" s="2"/>
    </x:row>
    <x:row r="103" ht="24" customHeight="1">
      <x:c r="A103" s="1"/>
      <x:c r="B103" s="17" t="n">
        <x:f>IF(ROW()-ROW($B$9)&lt;=$I$16,MIN($I$14,EDATE($I$15,(ROW()-ROW($B$9)-1)*$I$13)),"")</x:f>
        <x:v>47656</x:v>
      </x:c>
      <x:c r="C103" s="18" t="n">
        <x:f>IF(B103="","",IF(ROW()-ROW($B$9)=$I$16,ROUND(F102+D103,2),MIN($I$18,ROUND(F102+D103,2))))</x:f>
        <x:v>26003.2</x:v>
      </x:c>
      <x:c r="D103" s="18" t="n">
        <x:f>IF(B103="","",ROUND(IF($I$19="Факт / 365",F102*$I$12*(B103-B102)/$I$20,F102*$I$17),2))</x:f>
        <x:v>20585.93</x:v>
      </x:c>
      <x:c r="E103" s="18" t="n">
        <x:f>IF(B103="","",ROUND(C103-D103,2))</x:f>
        <x:v>5417.27</x:v>
      </x:c>
      <x:c r="F103" s="18" t="n">
        <x:f>IF(B103="","",ROUND(F102-E103,2))</x:f>
        <x:v>3226352.94</x:v>
      </x:c>
      <x:c r="G103" s="2"/>
      <x:c r="H103" s="2"/>
      <x:c r="I103" s="2"/>
    </x:row>
    <x:row r="104" ht="24" customHeight="1">
      <x:c r="A104" s="1"/>
      <x:c r="B104" s="17" t="n">
        <x:f>IF(ROW()-ROW($B$9)&lt;=$I$16,MIN($I$14,EDATE($I$15,(ROW()-ROW($B$9)-1)*$I$13)),"")</x:f>
        <x:v>47686</x:v>
      </x:c>
      <x:c r="C104" s="18" t="n">
        <x:f>IF(B104="","",IF(ROW()-ROW($B$9)=$I$16,ROUND(F103+D104,2),MIN($I$18,ROUND(F103+D104,2))))</x:f>
        <x:v>26003.2</x:v>
      </x:c>
      <x:c r="D104" s="18" t="n">
        <x:f>IF(B104="","",ROUND(IF($I$19="Факт / 365",F103*$I$12*(B104-B103)/$I$20,F103*$I$17),2))</x:f>
        <x:v>19888.48</x:v>
      </x:c>
      <x:c r="E104" s="18" t="n">
        <x:f>IF(B104="","",ROUND(C104-D104,2))</x:f>
        <x:v>6114.72</x:v>
      </x:c>
      <x:c r="F104" s="18" t="n">
        <x:f>IF(B104="","",ROUND(F103-E104,2))</x:f>
        <x:v>3220238.22</x:v>
      </x:c>
      <x:c r="G104" s="2"/>
      <x:c r="H104" s="2"/>
      <x:c r="I104" s="2"/>
    </x:row>
    <x:row r="105" ht="24" customHeight="1">
      <x:c r="A105" s="1"/>
      <x:c r="B105" s="17" t="n">
        <x:f>IF(ROW()-ROW($B$9)&lt;=$I$16,MIN($I$14,EDATE($I$15,(ROW()-ROW($B$9)-1)*$I$13)),"")</x:f>
        <x:v>47717</x:v>
      </x:c>
      <x:c r="C105" s="18" t="n">
        <x:f>IF(B105="","",IF(ROW()-ROW($B$9)=$I$16,ROUND(F104+D105,2),MIN($I$18,ROUND(F104+D105,2))))</x:f>
        <x:v>26003.2</x:v>
      </x:c>
      <x:c r="D105" s="18" t="n">
        <x:f>IF(B105="","",ROUND(IF($I$19="Факт / 365",F104*$I$12*(B105-B104)/$I$20,F104*$I$17),2))</x:f>
        <x:v>20512.48</x:v>
      </x:c>
      <x:c r="E105" s="18" t="n">
        <x:f>IF(B105="","",ROUND(C105-D105,2))</x:f>
        <x:v>5490.72</x:v>
      </x:c>
      <x:c r="F105" s="18" t="n">
        <x:f>IF(B105="","",ROUND(F104-E105,2))</x:f>
        <x:v>3214747.5</x:v>
      </x:c>
      <x:c r="G105" s="2"/>
      <x:c r="H105" s="2"/>
      <x:c r="I105" s="2"/>
    </x:row>
    <x:row r="106" ht="24" customHeight="1">
      <x:c r="A106" s="1"/>
      <x:c r="B106" s="17" t="n">
        <x:f>IF(ROW()-ROW($B$9)&lt;=$I$16,MIN($I$14,EDATE($I$15,(ROW()-ROW($B$9)-1)*$I$13)),"")</x:f>
        <x:v>47748</x:v>
      </x:c>
      <x:c r="C106" s="18" t="n">
        <x:f>IF(B106="","",IF(ROW()-ROW($B$9)=$I$16,ROUND(F105+D106,2),MIN($I$18,ROUND(F105+D106,2))))</x:f>
        <x:v>26003.2</x:v>
      </x:c>
      <x:c r="D106" s="18" t="n">
        <x:f>IF(B106="","",ROUND(IF($I$19="Факт / 365",F105*$I$12*(B106-B105)/$I$20,F105*$I$17),2))</x:f>
        <x:v>20477.5</x:v>
      </x:c>
      <x:c r="E106" s="18" t="n">
        <x:f>IF(B106="","",ROUND(C106-D106,2))</x:f>
        <x:v>5525.7</x:v>
      </x:c>
      <x:c r="F106" s="18" t="n">
        <x:f>IF(B106="","",ROUND(F105-E106,2))</x:f>
        <x:v>3209221.8</x:v>
      </x:c>
      <x:c r="G106" s="2"/>
      <x:c r="H106" s="2"/>
      <x:c r="I106" s="2"/>
    </x:row>
    <x:row r="107" ht="24" customHeight="1">
      <x:c r="A107" s="1"/>
      <x:c r="B107" s="17" t="n">
        <x:f>IF(ROW()-ROW($B$9)&lt;=$I$16,MIN($I$14,EDATE($I$15,(ROW()-ROW($B$9)-1)*$I$13)),"")</x:f>
        <x:v>47778</x:v>
      </x:c>
      <x:c r="C107" s="18" t="n">
        <x:f>IF(B107="","",IF(ROW()-ROW($B$9)=$I$16,ROUND(F106+D107,2),MIN($I$18,ROUND(F106+D107,2))))</x:f>
        <x:v>26003.2</x:v>
      </x:c>
      <x:c r="D107" s="18" t="n">
        <x:f>IF(B107="","",ROUND(IF($I$19="Факт / 365",F106*$I$12*(B107-B106)/$I$20,F106*$I$17),2))</x:f>
        <x:v>19782.87</x:v>
      </x:c>
      <x:c r="E107" s="18" t="n">
        <x:f>IF(B107="","",ROUND(C107-D107,2))</x:f>
        <x:v>6220.33</x:v>
      </x:c>
      <x:c r="F107" s="18" t="n">
        <x:f>IF(B107="","",ROUND(F106-E107,2))</x:f>
        <x:v>3203001.47</x:v>
      </x:c>
      <x:c r="G107" s="2"/>
      <x:c r="H107" s="2"/>
      <x:c r="I107" s="2"/>
    </x:row>
    <x:row r="108" ht="24" customHeight="1">
      <x:c r="A108" s="1"/>
      <x:c r="B108" s="17" t="n">
        <x:f>IF(ROW()-ROW($B$9)&lt;=$I$16,MIN($I$14,EDATE($I$15,(ROW()-ROW($B$9)-1)*$I$13)),"")</x:f>
        <x:v>47809</x:v>
      </x:c>
      <x:c r="C108" s="18" t="n">
        <x:f>IF(B108="","",IF(ROW()-ROW($B$9)=$I$16,ROUND(F107+D108,2),MIN($I$18,ROUND(F107+D108,2))))</x:f>
        <x:v>26003.2</x:v>
      </x:c>
      <x:c r="D108" s="18" t="n">
        <x:f>IF(B108="","",ROUND(IF($I$19="Факт / 365",F107*$I$12*(B108-B107)/$I$20,F107*$I$17),2))</x:f>
        <x:v>20402.68</x:v>
      </x:c>
      <x:c r="E108" s="18" t="n">
        <x:f>IF(B108="","",ROUND(C108-D108,2))</x:f>
        <x:v>5600.52</x:v>
      </x:c>
      <x:c r="F108" s="18" t="n">
        <x:f>IF(B108="","",ROUND(F107-E108,2))</x:f>
        <x:v>3197400.95</x:v>
      </x:c>
      <x:c r="G108" s="2"/>
      <x:c r="H108" s="2"/>
      <x:c r="I108" s="2"/>
    </x:row>
    <x:row r="109" ht="24" customHeight="1">
      <x:c r="A109" s="1"/>
      <x:c r="B109" s="17" t="n">
        <x:f>IF(ROW()-ROW($B$9)&lt;=$I$16,MIN($I$14,EDATE($I$15,(ROW()-ROW($B$9)-1)*$I$13)),"")</x:f>
        <x:v>47839</x:v>
      </x:c>
      <x:c r="C109" s="18" t="n">
        <x:f>IF(B109="","",IF(ROW()-ROW($B$9)=$I$16,ROUND(F108+D109,2),MIN($I$18,ROUND(F108+D109,2))))</x:f>
        <x:v>26003.2</x:v>
      </x:c>
      <x:c r="D109" s="18" t="n">
        <x:f>IF(B109="","",ROUND(IF($I$19="Факт / 365",F108*$I$12*(B109-B108)/$I$20,F108*$I$17),2))</x:f>
        <x:v>19710.01</x:v>
      </x:c>
      <x:c r="E109" s="18" t="n">
        <x:f>IF(B109="","",ROUND(C109-D109,2))</x:f>
        <x:v>6293.19</x:v>
      </x:c>
      <x:c r="F109" s="18" t="n">
        <x:f>IF(B109="","",ROUND(F108-E109,2))</x:f>
        <x:v>3191107.76</x:v>
      </x:c>
      <x:c r="G109" s="2"/>
      <x:c r="H109" s="2"/>
      <x:c r="I109" s="2"/>
    </x:row>
    <x:row r="110" ht="24" customHeight="1">
      <x:c r="A110" s="1"/>
      <x:c r="B110" s="17" t="n">
        <x:f>IF(ROW()-ROW($B$9)&lt;=$I$16,MIN($I$14,EDATE($I$15,(ROW()-ROW($B$9)-1)*$I$13)),"")</x:f>
        <x:v>47870</x:v>
      </x:c>
      <x:c r="C110" s="18" t="n">
        <x:f>IF(B110="","",IF(ROW()-ROW($B$9)=$I$16,ROUND(F109+D110,2),MIN($I$18,ROUND(F109+D110,2))))</x:f>
        <x:v>26003.2</x:v>
      </x:c>
      <x:c r="D110" s="18" t="n">
        <x:f>IF(B110="","",ROUND(IF($I$19="Факт / 365",F109*$I$12*(B110-B109)/$I$20,F109*$I$17),2))</x:f>
        <x:v>20326.92</x:v>
      </x:c>
      <x:c r="E110" s="18" t="n">
        <x:f>IF(B110="","",ROUND(C110-D110,2))</x:f>
        <x:v>5676.28</x:v>
      </x:c>
      <x:c r="F110" s="18" t="n">
        <x:f>IF(B110="","",ROUND(F109-E110,2))</x:f>
        <x:v>3185431.48</x:v>
      </x:c>
      <x:c r="G110" s="2"/>
      <x:c r="H110" s="2"/>
      <x:c r="I110" s="2"/>
    </x:row>
    <x:row r="111" ht="24" customHeight="1">
      <x:c r="A111" s="1"/>
      <x:c r="B111" s="17" t="n">
        <x:f>IF(ROW()-ROW($B$9)&lt;=$I$16,MIN($I$14,EDATE($I$15,(ROW()-ROW($B$9)-1)*$I$13)),"")</x:f>
        <x:v>47901</x:v>
      </x:c>
      <x:c r="C111" s="18" t="n">
        <x:f>IF(B111="","",IF(ROW()-ROW($B$9)=$I$16,ROUND(F110+D111,2),MIN($I$18,ROUND(F110+D111,2))))</x:f>
        <x:v>26003.2</x:v>
      </x:c>
      <x:c r="D111" s="18" t="n">
        <x:f>IF(B111="","",ROUND(IF($I$19="Факт / 365",F110*$I$12*(B111-B110)/$I$20,F110*$I$17),2))</x:f>
        <x:v>20290.76</x:v>
      </x:c>
      <x:c r="E111" s="18" t="n">
        <x:f>IF(B111="","",ROUND(C111-D111,2))</x:f>
        <x:v>5712.44</x:v>
      </x:c>
      <x:c r="F111" s="18" t="n">
        <x:f>IF(B111="","",ROUND(F110-E111,2))</x:f>
        <x:v>3179719.04</x:v>
      </x:c>
      <x:c r="G111" s="2"/>
      <x:c r="H111" s="2"/>
      <x:c r="I111" s="2"/>
    </x:row>
    <x:row r="112" ht="24" customHeight="1">
      <x:c r="A112" s="1"/>
      <x:c r="B112" s="17" t="n">
        <x:f>IF(ROW()-ROW($B$9)&lt;=$I$16,MIN($I$14,EDATE($I$15,(ROW()-ROW($B$9)-1)*$I$13)),"")</x:f>
        <x:v>47929</x:v>
      </x:c>
      <x:c r="C112" s="18" t="n">
        <x:f>IF(B112="","",IF(ROW()-ROW($B$9)=$I$16,ROUND(F111+D112,2),MIN($I$18,ROUND(F111+D112,2))))</x:f>
        <x:v>26003.2</x:v>
      </x:c>
      <x:c r="D112" s="18" t="n">
        <x:f>IF(B112="","",ROUND(IF($I$19="Факт / 365",F111*$I$12*(B112-B111)/$I$20,F111*$I$17),2))</x:f>
        <x:v>18294.27</x:v>
      </x:c>
      <x:c r="E112" s="18" t="n">
        <x:f>IF(B112="","",ROUND(C112-D112,2))</x:f>
        <x:v>7708.93</x:v>
      </x:c>
      <x:c r="F112" s="18" t="n">
        <x:f>IF(B112="","",ROUND(F111-E112,2))</x:f>
        <x:v>3172010.11</x:v>
      </x:c>
      <x:c r="G112" s="2"/>
      <x:c r="H112" s="2"/>
      <x:c r="I112" s="2"/>
    </x:row>
    <x:row r="113" ht="24" customHeight="1">
      <x:c r="A113" s="1"/>
      <x:c r="B113" s="17" t="n">
        <x:f>IF(ROW()-ROW($B$9)&lt;=$I$16,MIN($I$14,EDATE($I$15,(ROW()-ROW($B$9)-1)*$I$13)),"")</x:f>
        <x:v>47960</x:v>
      </x:c>
      <x:c r="C113" s="18" t="n">
        <x:f>IF(B113="","",IF(ROW()-ROW($B$9)=$I$16,ROUND(F112+D113,2),MIN($I$18,ROUND(F112+D113,2))))</x:f>
        <x:v>26003.2</x:v>
      </x:c>
      <x:c r="D113" s="18" t="n">
        <x:f>IF(B113="","",ROUND(IF($I$19="Факт / 365",F112*$I$12*(B113-B112)/$I$20,F112*$I$17),2))</x:f>
        <x:v>20205.27</x:v>
      </x:c>
      <x:c r="E113" s="18" t="n">
        <x:f>IF(B113="","",ROUND(C113-D113,2))</x:f>
        <x:v>5797.93</x:v>
      </x:c>
      <x:c r="F113" s="18" t="n">
        <x:f>IF(B113="","",ROUND(F112-E113,2))</x:f>
        <x:v>3166212.18</x:v>
      </x:c>
      <x:c r="G113" s="2"/>
      <x:c r="H113" s="2"/>
      <x:c r="I113" s="2"/>
    </x:row>
    <x:row r="114" ht="24" customHeight="1">
      <x:c r="A114" s="1"/>
      <x:c r="B114" s="17" t="n">
        <x:f>IF(ROW()-ROW($B$9)&lt;=$I$16,MIN($I$14,EDATE($I$15,(ROW()-ROW($B$9)-1)*$I$13)),"")</x:f>
        <x:v>47990</x:v>
      </x:c>
      <x:c r="C114" s="18" t="n">
        <x:f>IF(B114="","",IF(ROW()-ROW($B$9)=$I$16,ROUND(F113+D114,2),MIN($I$18,ROUND(F113+D114,2))))</x:f>
        <x:v>26003.2</x:v>
      </x:c>
      <x:c r="D114" s="18" t="n">
        <x:f>IF(B114="","",ROUND(IF($I$19="Факт / 365",F113*$I$12*(B114-B113)/$I$20,F113*$I$17),2))</x:f>
        <x:v>19517.75</x:v>
      </x:c>
      <x:c r="E114" s="18" t="n">
        <x:f>IF(B114="","",ROUND(C114-D114,2))</x:f>
        <x:v>6485.45</x:v>
      </x:c>
      <x:c r="F114" s="18" t="n">
        <x:f>IF(B114="","",ROUND(F113-E114,2))</x:f>
        <x:v>3159726.73</x:v>
      </x:c>
      <x:c r="G114" s="2"/>
      <x:c r="H114" s="2"/>
      <x:c r="I114" s="2"/>
    </x:row>
    <x:row r="115" ht="24" customHeight="1">
      <x:c r="A115" s="1"/>
      <x:c r="B115" s="17" t="n">
        <x:f>IF(ROW()-ROW($B$9)&lt;=$I$16,MIN($I$14,EDATE($I$15,(ROW()-ROW($B$9)-1)*$I$13)),"")</x:f>
        <x:v>48021</x:v>
      </x:c>
      <x:c r="C115" s="18" t="n">
        <x:f>IF(B115="","",IF(ROW()-ROW($B$9)=$I$16,ROUND(F114+D115,2),MIN($I$18,ROUND(F114+D115,2))))</x:f>
        <x:v>26003.2</x:v>
      </x:c>
      <x:c r="D115" s="18" t="n">
        <x:f>IF(B115="","",ROUND(IF($I$19="Факт / 365",F114*$I$12*(B115-B114)/$I$20,F114*$I$17),2))</x:f>
        <x:v>20127.03</x:v>
      </x:c>
      <x:c r="E115" s="18" t="n">
        <x:f>IF(B115="","",ROUND(C115-D115,2))</x:f>
        <x:v>5876.17</x:v>
      </x:c>
      <x:c r="F115" s="18" t="n">
        <x:f>IF(B115="","",ROUND(F114-E115,2))</x:f>
        <x:v>3153850.56</x:v>
      </x:c>
      <x:c r="G115" s="2"/>
      <x:c r="H115" s="2"/>
      <x:c r="I115" s="2"/>
    </x:row>
    <x:row r="116" ht="24" customHeight="1">
      <x:c r="A116" s="1"/>
      <x:c r="B116" s="17" t="n">
        <x:f>IF(ROW()-ROW($B$9)&lt;=$I$16,MIN($I$14,EDATE($I$15,(ROW()-ROW($B$9)-1)*$I$13)),"")</x:f>
        <x:v>48051</x:v>
      </x:c>
      <x:c r="C116" s="18" t="n">
        <x:f>IF(B116="","",IF(ROW()-ROW($B$9)=$I$16,ROUND(F115+D116,2),MIN($I$18,ROUND(F115+D116,2))))</x:f>
        <x:v>26003.2</x:v>
      </x:c>
      <x:c r="D116" s="18" t="n">
        <x:f>IF(B116="","",ROUND(IF($I$19="Факт / 365",F115*$I$12*(B116-B115)/$I$20,F115*$I$17),2))</x:f>
        <x:v>19441.54</x:v>
      </x:c>
      <x:c r="E116" s="18" t="n">
        <x:f>IF(B116="","",ROUND(C116-D116,2))</x:f>
        <x:v>6561.66</x:v>
      </x:c>
      <x:c r="F116" s="18" t="n">
        <x:f>IF(B116="","",ROUND(F115-E116,2))</x:f>
        <x:v>3147288.9</x:v>
      </x:c>
      <x:c r="G116" s="2"/>
      <x:c r="H116" s="2"/>
      <x:c r="I116" s="2"/>
    </x:row>
    <x:row r="117" ht="24" customHeight="1">
      <x:c r="A117" s="1"/>
      <x:c r="B117" s="17" t="n">
        <x:f>IF(ROW()-ROW($B$9)&lt;=$I$16,MIN($I$14,EDATE($I$15,(ROW()-ROW($B$9)-1)*$I$13)),"")</x:f>
        <x:v>48082</x:v>
      </x:c>
      <x:c r="C117" s="18" t="n">
        <x:f>IF(B117="","",IF(ROW()-ROW($B$9)=$I$16,ROUND(F116+D117,2),MIN($I$18,ROUND(F116+D117,2))))</x:f>
        <x:v>26003.2</x:v>
      </x:c>
      <x:c r="D117" s="18" t="n">
        <x:f>IF(B117="","",ROUND(IF($I$19="Факт / 365",F116*$I$12*(B117-B116)/$I$20,F116*$I$17),2))</x:f>
        <x:v>20047.8</x:v>
      </x:c>
      <x:c r="E117" s="18" t="n">
        <x:f>IF(B117="","",ROUND(C117-D117,2))</x:f>
        <x:v>5955.4</x:v>
      </x:c>
      <x:c r="F117" s="18" t="n">
        <x:f>IF(B117="","",ROUND(F116-E117,2))</x:f>
        <x:v>3141333.5</x:v>
      </x:c>
      <x:c r="G117" s="2"/>
      <x:c r="H117" s="2"/>
      <x:c r="I117" s="2"/>
    </x:row>
    <x:row r="118" ht="24" customHeight="1">
      <x:c r="A118" s="1"/>
      <x:c r="B118" s="17" t="n">
        <x:f>IF(ROW()-ROW($B$9)&lt;=$I$16,MIN($I$14,EDATE($I$15,(ROW()-ROW($B$9)-1)*$I$13)),"")</x:f>
        <x:v>48113</x:v>
      </x:c>
      <x:c r="C118" s="18" t="n">
        <x:f>IF(B118="","",IF(ROW()-ROW($B$9)=$I$16,ROUND(F117+D118,2),MIN($I$18,ROUND(F117+D118,2))))</x:f>
        <x:v>26003.2</x:v>
      </x:c>
      <x:c r="D118" s="18" t="n">
        <x:f>IF(B118="","",ROUND(IF($I$19="Факт / 365",F117*$I$12*(B118-B117)/$I$20,F117*$I$17),2))</x:f>
        <x:v>20009.86</x:v>
      </x:c>
      <x:c r="E118" s="18" t="n">
        <x:f>IF(B118="","",ROUND(C118-D118,2))</x:f>
        <x:v>5993.34</x:v>
      </x:c>
      <x:c r="F118" s="18" t="n">
        <x:f>IF(B118="","",ROUND(F117-E118,2))</x:f>
        <x:v>3135340.16</x:v>
      </x:c>
      <x:c r="G118" s="2"/>
      <x:c r="H118" s="2"/>
      <x:c r="I118" s="2"/>
    </x:row>
    <x:row r="119" ht="24" customHeight="1">
      <x:c r="A119" s="1"/>
      <x:c r="B119" s="17" t="n">
        <x:f>IF(ROW()-ROW($B$9)&lt;=$I$16,MIN($I$14,EDATE($I$15,(ROW()-ROW($B$9)-1)*$I$13)),"")</x:f>
        <x:v>48143</x:v>
      </x:c>
      <x:c r="C119" s="18" t="n">
        <x:f>IF(B119="","",IF(ROW()-ROW($B$9)=$I$16,ROUND(F118+D119,2),MIN($I$18,ROUND(F118+D119,2))))</x:f>
        <x:v>26003.2</x:v>
      </x:c>
      <x:c r="D119" s="18" t="n">
        <x:f>IF(B119="","",ROUND(IF($I$19="Факт / 365",F118*$I$12*(B119-B118)/$I$20,F118*$I$17),2))</x:f>
        <x:v>19327.44</x:v>
      </x:c>
      <x:c r="E119" s="18" t="n">
        <x:f>IF(B119="","",ROUND(C119-D119,2))</x:f>
        <x:v>6675.76</x:v>
      </x:c>
      <x:c r="F119" s="18" t="n">
        <x:f>IF(B119="","",ROUND(F118-E119,2))</x:f>
        <x:v>3128664.4</x:v>
      </x:c>
      <x:c r="G119" s="2"/>
      <x:c r="H119" s="2"/>
      <x:c r="I119" s="2"/>
    </x:row>
    <x:row r="120" ht="24" customHeight="1">
      <x:c r="A120" s="1"/>
      <x:c r="B120" s="17" t="n">
        <x:f>IF(ROW()-ROW($B$9)&lt;=$I$16,MIN($I$14,EDATE($I$15,(ROW()-ROW($B$9)-1)*$I$13)),"")</x:f>
        <x:v>48174</x:v>
      </x:c>
      <x:c r="C120" s="18" t="n">
        <x:f>IF(B120="","",IF(ROW()-ROW($B$9)=$I$16,ROUND(F119+D120,2),MIN($I$18,ROUND(F119+D120,2))))</x:f>
        <x:v>26003.2</x:v>
      </x:c>
      <x:c r="D120" s="18" t="n">
        <x:f>IF(B120="","",ROUND(IF($I$19="Факт / 365",F119*$I$12*(B120-B119)/$I$20,F119*$I$17),2))</x:f>
        <x:v>19929.16</x:v>
      </x:c>
      <x:c r="E120" s="18" t="n">
        <x:f>IF(B120="","",ROUND(C120-D120,2))</x:f>
        <x:v>6074.04</x:v>
      </x:c>
      <x:c r="F120" s="18" t="n">
        <x:f>IF(B120="","",ROUND(F119-E120,2))</x:f>
        <x:v>3122590.36</x:v>
      </x:c>
      <x:c r="G120" s="2"/>
      <x:c r="H120" s="2"/>
      <x:c r="I120" s="2"/>
    </x:row>
    <x:row r="121" ht="24" customHeight="1">
      <x:c r="A121" s="1"/>
      <x:c r="B121" s="17" t="n">
        <x:f>IF(ROW()-ROW($B$9)&lt;=$I$16,MIN($I$14,EDATE($I$15,(ROW()-ROW($B$9)-1)*$I$13)),"")</x:f>
        <x:v>48204</x:v>
      </x:c>
      <x:c r="C121" s="18" t="n">
        <x:f>IF(B121="","",IF(ROW()-ROW($B$9)=$I$16,ROUND(F120+D121,2),MIN($I$18,ROUND(F120+D121,2))))</x:f>
        <x:v>26003.2</x:v>
      </x:c>
      <x:c r="D121" s="18" t="n">
        <x:f>IF(B121="","",ROUND(IF($I$19="Факт / 365",F120*$I$12*(B121-B120)/$I$20,F120*$I$17),2))</x:f>
        <x:v>19248.84</x:v>
      </x:c>
      <x:c r="E121" s="18" t="n">
        <x:f>IF(B121="","",ROUND(C121-D121,2))</x:f>
        <x:v>6754.36</x:v>
      </x:c>
      <x:c r="F121" s="18" t="n">
        <x:f>IF(B121="","",ROUND(F120-E121,2))</x:f>
        <x:v>3115836</x:v>
      </x:c>
      <x:c r="G121" s="2"/>
      <x:c r="H121" s="2"/>
      <x:c r="I121" s="2"/>
    </x:row>
    <x:row r="122" ht="24" customHeight="1">
      <x:c r="A122" s="1"/>
      <x:c r="B122" s="17" t="n">
        <x:f>IF(ROW()-ROW($B$9)&lt;=$I$16,MIN($I$14,EDATE($I$15,(ROW()-ROW($B$9)-1)*$I$13)),"")</x:f>
        <x:v>48235</x:v>
      </x:c>
      <x:c r="C122" s="18" t="n">
        <x:f>IF(B122="","",IF(ROW()-ROW($B$9)=$I$16,ROUND(F121+D122,2),MIN($I$18,ROUND(F121+D122,2))))</x:f>
        <x:v>26003.2</x:v>
      </x:c>
      <x:c r="D122" s="18" t="n">
        <x:f>IF(B122="","",ROUND(IF($I$19="Факт / 365",F121*$I$12*(B122-B121)/$I$20,F121*$I$17),2))</x:f>
        <x:v>19847.45</x:v>
      </x:c>
      <x:c r="E122" s="18" t="n">
        <x:f>IF(B122="","",ROUND(C122-D122,2))</x:f>
        <x:v>6155.75</x:v>
      </x:c>
      <x:c r="F122" s="18" t="n">
        <x:f>IF(B122="","",ROUND(F121-E122,2))</x:f>
        <x:v>3109680.25</x:v>
      </x:c>
      <x:c r="G122" s="2"/>
      <x:c r="H122" s="2"/>
      <x:c r="I122" s="2"/>
    </x:row>
    <x:row r="123" ht="24" customHeight="1">
      <x:c r="A123" s="1"/>
      <x:c r="B123" s="17" t="n">
        <x:f>IF(ROW()-ROW($B$9)&lt;=$I$16,MIN($I$14,EDATE($I$15,(ROW()-ROW($B$9)-1)*$I$13)),"")</x:f>
        <x:v>48266</x:v>
      </x:c>
      <x:c r="C123" s="18" t="n">
        <x:f>IF(B123="","",IF(ROW()-ROW($B$9)=$I$16,ROUND(F122+D123,2),MIN($I$18,ROUND(F122+D123,2))))</x:f>
        <x:v>26003.2</x:v>
      </x:c>
      <x:c r="D123" s="18" t="n">
        <x:f>IF(B123="","",ROUND(IF($I$19="Факт / 365",F122*$I$12*(B123-B122)/$I$20,F122*$I$17),2))</x:f>
        <x:v>19808.24</x:v>
      </x:c>
      <x:c r="E123" s="18" t="n">
        <x:f>IF(B123="","",ROUND(C123-D123,2))</x:f>
        <x:v>6194.96</x:v>
      </x:c>
      <x:c r="F123" s="18" t="n">
        <x:f>IF(B123="","",ROUND(F122-E123,2))</x:f>
        <x:v>3103485.29</x:v>
      </x:c>
      <x:c r="G123" s="2"/>
      <x:c r="H123" s="2"/>
      <x:c r="I123" s="2"/>
    </x:row>
    <x:row r="124" ht="24" customHeight="1">
      <x:c r="A124" s="1"/>
      <x:c r="B124" s="17" t="n">
        <x:f>IF(ROW()-ROW($B$9)&lt;=$I$16,MIN($I$14,EDATE($I$15,(ROW()-ROW($B$9)-1)*$I$13)),"")</x:f>
        <x:v>48295</x:v>
      </x:c>
      <x:c r="C124" s="18" t="n">
        <x:f>IF(B124="","",IF(ROW()-ROW($B$9)=$I$16,ROUND(F123+D124,2),MIN($I$18,ROUND(F123+D124,2))))</x:f>
        <x:v>26003.2</x:v>
      </x:c>
      <x:c r="D124" s="18" t="n">
        <x:f>IF(B124="","",ROUND(IF($I$19="Факт / 365",F123*$I$12*(B124-B123)/$I$20,F123*$I$17),2))</x:f>
        <x:v>18493.37</x:v>
      </x:c>
      <x:c r="E124" s="18" t="n">
        <x:f>IF(B124="","",ROUND(C124-D124,2))</x:f>
        <x:v>7509.83</x:v>
      </x:c>
      <x:c r="F124" s="18" t="n">
        <x:f>IF(B124="","",ROUND(F123-E124,2))</x:f>
        <x:v>3095975.46</x:v>
      </x:c>
      <x:c r="G124" s="2"/>
      <x:c r="H124" s="2"/>
      <x:c r="I124" s="2"/>
    </x:row>
    <x:row r="125" ht="24" customHeight="1">
      <x:c r="A125" s="1"/>
      <x:c r="B125" s="17" t="n">
        <x:f>IF(ROW()-ROW($B$9)&lt;=$I$16,MIN($I$14,EDATE($I$15,(ROW()-ROW($B$9)-1)*$I$13)),"")</x:f>
        <x:v>48326</x:v>
      </x:c>
      <x:c r="C125" s="18" t="n">
        <x:f>IF(B125="","",IF(ROW()-ROW($B$9)=$I$16,ROUND(F124+D125,2),MIN($I$18,ROUND(F124+D125,2))))</x:f>
        <x:v>26003.2</x:v>
      </x:c>
      <x:c r="D125" s="18" t="n">
        <x:f>IF(B125="","",ROUND(IF($I$19="Факт / 365",F124*$I$12*(B125-B124)/$I$20,F124*$I$17),2))</x:f>
        <x:v>19720.94</x:v>
      </x:c>
      <x:c r="E125" s="18" t="n">
        <x:f>IF(B125="","",ROUND(C125-D125,2))</x:f>
        <x:v>6282.26</x:v>
      </x:c>
      <x:c r="F125" s="18" t="n">
        <x:f>IF(B125="","",ROUND(F124-E125,2))</x:f>
        <x:v>3089693.2</x:v>
      </x:c>
      <x:c r="G125" s="2"/>
      <x:c r="H125" s="2"/>
      <x:c r="I125" s="2"/>
    </x:row>
    <x:row r="126" ht="24" customHeight="1">
      <x:c r="A126" s="1"/>
      <x:c r="B126" s="17" t="n">
        <x:f>IF(ROW()-ROW($B$9)&lt;=$I$16,MIN($I$14,EDATE($I$15,(ROW()-ROW($B$9)-1)*$I$13)),"")</x:f>
        <x:v>48356</x:v>
      </x:c>
      <x:c r="C126" s="18" t="n">
        <x:f>IF(B126="","",IF(ROW()-ROW($B$9)=$I$16,ROUND(F125+D126,2),MIN($I$18,ROUND(F125+D126,2))))</x:f>
        <x:v>26003.2</x:v>
      </x:c>
      <x:c r="D126" s="18" t="n">
        <x:f>IF(B126="","",ROUND(IF($I$19="Факт / 365",F125*$I$12*(B126-B125)/$I$20,F125*$I$17),2))</x:f>
        <x:v>19046.05</x:v>
      </x:c>
      <x:c r="E126" s="18" t="n">
        <x:f>IF(B126="","",ROUND(C126-D126,2))</x:f>
        <x:v>6957.15</x:v>
      </x:c>
      <x:c r="F126" s="18" t="n">
        <x:f>IF(B126="","",ROUND(F125-E126,2))</x:f>
        <x:v>3082736.05</x:v>
      </x:c>
      <x:c r="G126" s="2"/>
      <x:c r="H126" s="2"/>
      <x:c r="I126" s="2"/>
    </x:row>
    <x:row r="127" ht="24" customHeight="1">
      <x:c r="A127" s="1"/>
      <x:c r="B127" s="17" t="n">
        <x:f>IF(ROW()-ROW($B$9)&lt;=$I$16,MIN($I$14,EDATE($I$15,(ROW()-ROW($B$9)-1)*$I$13)),"")</x:f>
        <x:v>48387</x:v>
      </x:c>
      <x:c r="C127" s="18" t="n">
        <x:f>IF(B127="","",IF(ROW()-ROW($B$9)=$I$16,ROUND(F126+D127,2),MIN($I$18,ROUND(F126+D127,2))))</x:f>
        <x:v>26003.2</x:v>
      </x:c>
      <x:c r="D127" s="18" t="n">
        <x:f>IF(B127="","",ROUND(IF($I$19="Факт / 365",F126*$I$12*(B127-B126)/$I$20,F126*$I$17),2))</x:f>
        <x:v>19636.61</x:v>
      </x:c>
      <x:c r="E127" s="18" t="n">
        <x:f>IF(B127="","",ROUND(C127-D127,2))</x:f>
        <x:v>6366.59</x:v>
      </x:c>
      <x:c r="F127" s="18" t="n">
        <x:f>IF(B127="","",ROUND(F126-E127,2))</x:f>
        <x:v>3076369.46</x:v>
      </x:c>
      <x:c r="G127" s="2"/>
      <x:c r="H127" s="2"/>
      <x:c r="I127" s="2"/>
    </x:row>
    <x:row r="128" ht="24" customHeight="1">
      <x:c r="A128" s="1"/>
      <x:c r="B128" s="17" t="n">
        <x:f>IF(ROW()-ROW($B$9)&lt;=$I$16,MIN($I$14,EDATE($I$15,(ROW()-ROW($B$9)-1)*$I$13)),"")</x:f>
        <x:v>48417</x:v>
      </x:c>
      <x:c r="C128" s="18" t="n">
        <x:f>IF(B128="","",IF(ROW()-ROW($B$9)=$I$16,ROUND(F127+D128,2),MIN($I$18,ROUND(F127+D128,2))))</x:f>
        <x:v>26003.2</x:v>
      </x:c>
      <x:c r="D128" s="18" t="n">
        <x:f>IF(B128="","",ROUND(IF($I$19="Факт / 365",F127*$I$12*(B128-B127)/$I$20,F127*$I$17),2))</x:f>
        <x:v>18963.92</x:v>
      </x:c>
      <x:c r="E128" s="18" t="n">
        <x:f>IF(B128="","",ROUND(C128-D128,2))</x:f>
        <x:v>7039.28</x:v>
      </x:c>
      <x:c r="F128" s="18" t="n">
        <x:f>IF(B128="","",ROUND(F127-E128,2))</x:f>
        <x:v>3069330.18</x:v>
      </x:c>
      <x:c r="G128" s="2"/>
      <x:c r="H128" s="2"/>
      <x:c r="I128" s="2"/>
    </x:row>
    <x:row r="129" ht="24" customHeight="1">
      <x:c r="A129" s="1"/>
      <x:c r="B129" s="17" t="n">
        <x:f>IF(ROW()-ROW($B$9)&lt;=$I$16,MIN($I$14,EDATE($I$15,(ROW()-ROW($B$9)-1)*$I$13)),"")</x:f>
        <x:v>48448</x:v>
      </x:c>
      <x:c r="C129" s="18" t="n">
        <x:f>IF(B129="","",IF(ROW()-ROW($B$9)=$I$16,ROUND(F128+D129,2),MIN($I$18,ROUND(F128+D129,2))))</x:f>
        <x:v>26003.2</x:v>
      </x:c>
      <x:c r="D129" s="18" t="n">
        <x:f>IF(B129="","",ROUND(IF($I$19="Факт / 365",F128*$I$12*(B129-B128)/$I$20,F128*$I$17),2))</x:f>
        <x:v>19551.21</x:v>
      </x:c>
      <x:c r="E129" s="18" t="n">
        <x:f>IF(B129="","",ROUND(C129-D129,2))</x:f>
        <x:v>6451.99</x:v>
      </x:c>
      <x:c r="F129" s="18" t="n">
        <x:f>IF(B129="","",ROUND(F128-E129,2))</x:f>
        <x:v>3062878.19</x:v>
      </x:c>
      <x:c r="G129" s="2"/>
      <x:c r="H129" s="2"/>
      <x:c r="I129" s="2"/>
    </x:row>
    <x:row r="130" ht="24" customHeight="1">
      <x:c r="A130" s="1"/>
      <x:c r="B130" s="17" t="n">
        <x:f>IF(ROW()-ROW($B$9)&lt;=$I$16,MIN($I$14,EDATE($I$15,(ROW()-ROW($B$9)-1)*$I$13)),"")</x:f>
        <x:v>48479</x:v>
      </x:c>
      <x:c r="C130" s="18" t="n">
        <x:f>IF(B130="","",IF(ROW()-ROW($B$9)=$I$16,ROUND(F129+D130,2),MIN($I$18,ROUND(F129+D130,2))))</x:f>
        <x:v>26003.2</x:v>
      </x:c>
      <x:c r="D130" s="18" t="n">
        <x:f>IF(B130="","",ROUND(IF($I$19="Факт / 365",F129*$I$12*(B130-B129)/$I$20,F129*$I$17),2))</x:f>
        <x:v>19510.11</x:v>
      </x:c>
      <x:c r="E130" s="18" t="n">
        <x:f>IF(B130="","",ROUND(C130-D130,2))</x:f>
        <x:v>6493.09</x:v>
      </x:c>
      <x:c r="F130" s="18" t="n">
        <x:f>IF(B130="","",ROUND(F129-E130,2))</x:f>
        <x:v>3056385.1</x:v>
      </x:c>
      <x:c r="G130" s="2"/>
      <x:c r="H130" s="2"/>
      <x:c r="I130" s="2"/>
    </x:row>
    <x:row r="131" ht="24" customHeight="1">
      <x:c r="A131" s="1"/>
      <x:c r="B131" s="17" t="n">
        <x:f>IF(ROW()-ROW($B$9)&lt;=$I$16,MIN($I$14,EDATE($I$15,(ROW()-ROW($B$9)-1)*$I$13)),"")</x:f>
        <x:v>48509</x:v>
      </x:c>
      <x:c r="C131" s="18" t="n">
        <x:f>IF(B131="","",IF(ROW()-ROW($B$9)=$I$16,ROUND(F130+D131,2),MIN($I$18,ROUND(F130+D131,2))))</x:f>
        <x:v>26003.2</x:v>
      </x:c>
      <x:c r="D131" s="18" t="n">
        <x:f>IF(B131="","",ROUND(IF($I$19="Факт / 365",F130*$I$12*(B131-B130)/$I$20,F130*$I$17),2))</x:f>
        <x:v>18840.73</x:v>
      </x:c>
      <x:c r="E131" s="18" t="n">
        <x:f>IF(B131="","",ROUND(C131-D131,2))</x:f>
        <x:v>7162.47</x:v>
      </x:c>
      <x:c r="F131" s="18" t="n">
        <x:f>IF(B131="","",ROUND(F130-E131,2))</x:f>
        <x:v>3049222.63</x:v>
      </x:c>
      <x:c r="G131" s="2"/>
      <x:c r="H131" s="2"/>
      <x:c r="I131" s="2"/>
    </x:row>
    <x:row r="132" ht="24" customHeight="1">
      <x:c r="A132" s="1"/>
      <x:c r="B132" s="17" t="n">
        <x:f>IF(ROW()-ROW($B$9)&lt;=$I$16,MIN($I$14,EDATE($I$15,(ROW()-ROW($B$9)-1)*$I$13)),"")</x:f>
        <x:v>48540</x:v>
      </x:c>
      <x:c r="C132" s="18" t="n">
        <x:f>IF(B132="","",IF(ROW()-ROW($B$9)=$I$16,ROUND(F131+D132,2),MIN($I$18,ROUND(F131+D132,2))))</x:f>
        <x:v>26003.2</x:v>
      </x:c>
      <x:c r="D132" s="18" t="n">
        <x:f>IF(B132="","",ROUND(IF($I$19="Факт / 365",F131*$I$12*(B132-B131)/$I$20,F131*$I$17),2))</x:f>
        <x:v>19423.13</x:v>
      </x:c>
      <x:c r="E132" s="18" t="n">
        <x:f>IF(B132="","",ROUND(C132-D132,2))</x:f>
        <x:v>6580.07</x:v>
      </x:c>
      <x:c r="F132" s="18" t="n">
        <x:f>IF(B132="","",ROUND(F131-E132,2))</x:f>
        <x:v>3042642.56</x:v>
      </x:c>
      <x:c r="G132" s="2"/>
      <x:c r="H132" s="2"/>
      <x:c r="I132" s="2"/>
    </x:row>
    <x:row r="133" ht="24" customHeight="1">
      <x:c r="A133" s="1"/>
      <x:c r="B133" s="17" t="n">
        <x:f>IF(ROW()-ROW($B$9)&lt;=$I$16,MIN($I$14,EDATE($I$15,(ROW()-ROW($B$9)-1)*$I$13)),"")</x:f>
        <x:v>48570</x:v>
      </x:c>
      <x:c r="C133" s="18" t="n">
        <x:f>IF(B133="","",IF(ROW()-ROW($B$9)=$I$16,ROUND(F132+D133,2),MIN($I$18,ROUND(F132+D133,2))))</x:f>
        <x:v>26003.2</x:v>
      </x:c>
      <x:c r="D133" s="18" t="n">
        <x:f>IF(B133="","",ROUND(IF($I$19="Факт / 365",F132*$I$12*(B133-B132)/$I$20,F132*$I$17),2))</x:f>
        <x:v>18756.02</x:v>
      </x:c>
      <x:c r="E133" s="18" t="n">
        <x:f>IF(B133="","",ROUND(C133-D133,2))</x:f>
        <x:v>7247.18</x:v>
      </x:c>
      <x:c r="F133" s="18" t="n">
        <x:f>IF(B133="","",ROUND(F132-E133,2))</x:f>
        <x:v>3035395.38</x:v>
      </x:c>
      <x:c r="G133" s="2"/>
      <x:c r="H133" s="2"/>
      <x:c r="I133" s="2"/>
    </x:row>
    <x:row r="134" ht="24" customHeight="1">
      <x:c r="A134" s="1"/>
      <x:c r="B134" s="17" t="n">
        <x:f>IF(ROW()-ROW($B$9)&lt;=$I$16,MIN($I$14,EDATE($I$15,(ROW()-ROW($B$9)-1)*$I$13)),"")</x:f>
        <x:v>48601</x:v>
      </x:c>
      <x:c r="C134" s="18" t="n">
        <x:f>IF(B134="","",IF(ROW()-ROW($B$9)=$I$16,ROUND(F133+D134,2),MIN($I$18,ROUND(F133+D134,2))))</x:f>
        <x:v>26003.2</x:v>
      </x:c>
      <x:c r="D134" s="18" t="n">
        <x:f>IF(B134="","",ROUND(IF($I$19="Факт / 365",F133*$I$12*(B134-B133)/$I$20,F133*$I$17),2))</x:f>
        <x:v>19335.05</x:v>
      </x:c>
      <x:c r="E134" s="18" t="n">
        <x:f>IF(B134="","",ROUND(C134-D134,2))</x:f>
        <x:v>6668.15</x:v>
      </x:c>
      <x:c r="F134" s="18" t="n">
        <x:f>IF(B134="","",ROUND(F133-E134,2))</x:f>
        <x:v>3028727.23</x:v>
      </x:c>
      <x:c r="G134" s="2"/>
      <x:c r="H134" s="2"/>
      <x:c r="I134" s="2"/>
    </x:row>
    <x:row r="135" ht="24" customHeight="1">
      <x:c r="A135" s="1"/>
      <x:c r="B135" s="17" t="n">
        <x:f>IF(ROW()-ROW($B$9)&lt;=$I$16,MIN($I$14,EDATE($I$15,(ROW()-ROW($B$9)-1)*$I$13)),"")</x:f>
        <x:v>48632</x:v>
      </x:c>
      <x:c r="C135" s="18" t="n">
        <x:f>IF(B135="","",IF(ROW()-ROW($B$9)=$I$16,ROUND(F134+D135,2),MIN($I$18,ROUND(F134+D135,2))))</x:f>
        <x:v>26003.2</x:v>
      </x:c>
      <x:c r="D135" s="18" t="n">
        <x:f>IF(B135="","",ROUND(IF($I$19="Факт / 365",F134*$I$12*(B135-B134)/$I$20,F134*$I$17),2))</x:f>
        <x:v>19292.58</x:v>
      </x:c>
      <x:c r="E135" s="18" t="n">
        <x:f>IF(B135="","",ROUND(C135-D135,2))</x:f>
        <x:v>6710.62</x:v>
      </x:c>
      <x:c r="F135" s="18" t="n">
        <x:f>IF(B135="","",ROUND(F134-E135,2))</x:f>
        <x:v>3022016.61</x:v>
      </x:c>
      <x:c r="G135" s="2"/>
      <x:c r="H135" s="2"/>
      <x:c r="I135" s="2"/>
    </x:row>
    <x:row r="136" ht="24" customHeight="1">
      <x:c r="A136" s="1"/>
      <x:c r="B136" s="17" t="n">
        <x:f>IF(ROW()-ROW($B$9)&lt;=$I$16,MIN($I$14,EDATE($I$15,(ROW()-ROW($B$9)-1)*$I$13)),"")</x:f>
        <x:v>48660</x:v>
      </x:c>
      <x:c r="C136" s="18" t="n">
        <x:f>IF(B136="","",IF(ROW()-ROW($B$9)=$I$16,ROUND(F135+D136,2),MIN($I$18,ROUND(F135+D136,2))))</x:f>
        <x:v>26003.2</x:v>
      </x:c>
      <x:c r="D136" s="18" t="n">
        <x:f>IF(B136="","",ROUND(IF($I$19="Факт / 365",F135*$I$12*(B136-B135)/$I$20,F135*$I$17),2))</x:f>
        <x:v>17386.94</x:v>
      </x:c>
      <x:c r="E136" s="18" t="n">
        <x:f>IF(B136="","",ROUND(C136-D136,2))</x:f>
        <x:v>8616.26</x:v>
      </x:c>
      <x:c r="F136" s="18" t="n">
        <x:f>IF(B136="","",ROUND(F135-E136,2))</x:f>
        <x:v>3013400.35</x:v>
      </x:c>
      <x:c r="G136" s="2"/>
      <x:c r="H136" s="2"/>
      <x:c r="I136" s="2"/>
    </x:row>
    <x:row r="137" ht="24" customHeight="1">
      <x:c r="A137" s="1"/>
      <x:c r="B137" s="17" t="n">
        <x:f>IF(ROW()-ROW($B$9)&lt;=$I$16,MIN($I$14,EDATE($I$15,(ROW()-ROW($B$9)-1)*$I$13)),"")</x:f>
        <x:v>48691</x:v>
      </x:c>
      <x:c r="C137" s="18" t="n">
        <x:f>IF(B137="","",IF(ROW()-ROW($B$9)=$I$16,ROUND(F136+D137,2),MIN($I$18,ROUND(F136+D137,2))))</x:f>
        <x:v>26003.2</x:v>
      </x:c>
      <x:c r="D137" s="18" t="n">
        <x:f>IF(B137="","",ROUND(IF($I$19="Факт / 365",F136*$I$12*(B137-B136)/$I$20,F136*$I$17),2))</x:f>
        <x:v>19194.95</x:v>
      </x:c>
      <x:c r="E137" s="18" t="n">
        <x:f>IF(B137="","",ROUND(C137-D137,2))</x:f>
        <x:v>6808.25</x:v>
      </x:c>
      <x:c r="F137" s="18" t="n">
        <x:f>IF(B137="","",ROUND(F136-E137,2))</x:f>
        <x:v>3006592.1</x:v>
      </x:c>
      <x:c r="G137" s="2"/>
      <x:c r="H137" s="2"/>
      <x:c r="I137" s="2"/>
    </x:row>
    <x:row r="138" ht="24" customHeight="1">
      <x:c r="A138" s="1"/>
      <x:c r="B138" s="17" t="n">
        <x:f>IF(ROW()-ROW($B$9)&lt;=$I$16,MIN($I$14,EDATE($I$15,(ROW()-ROW($B$9)-1)*$I$13)),"")</x:f>
        <x:v>48721</x:v>
      </x:c>
      <x:c r="C138" s="18" t="n">
        <x:f>IF(B138="","",IF(ROW()-ROW($B$9)=$I$16,ROUND(F137+D138,2),MIN($I$18,ROUND(F137+D138,2))))</x:f>
        <x:v>26003.2</x:v>
      </x:c>
      <x:c r="D138" s="18" t="n">
        <x:f>IF(B138="","",ROUND(IF($I$19="Факт / 365",F137*$I$12*(B138-B137)/$I$20,F137*$I$17),2))</x:f>
        <x:v>18533.79</x:v>
      </x:c>
      <x:c r="E138" s="18" t="n">
        <x:f>IF(B138="","",ROUND(C138-D138,2))</x:f>
        <x:v>7469.41</x:v>
      </x:c>
      <x:c r="F138" s="18" t="n">
        <x:f>IF(B138="","",ROUND(F137-E138,2))</x:f>
        <x:v>2999122.69</x:v>
      </x:c>
      <x:c r="G138" s="2"/>
      <x:c r="H138" s="2"/>
      <x:c r="I138" s="2"/>
    </x:row>
    <x:row r="139" ht="24" customHeight="1">
      <x:c r="A139" s="1"/>
      <x:c r="B139" s="17" t="n">
        <x:f>IF(ROW()-ROW($B$9)&lt;=$I$16,MIN($I$14,EDATE($I$15,(ROW()-ROW($B$9)-1)*$I$13)),"")</x:f>
        <x:v>48752</x:v>
      </x:c>
      <x:c r="C139" s="18" t="n">
        <x:f>IF(B139="","",IF(ROW()-ROW($B$9)=$I$16,ROUND(F138+D139,2),MIN($I$18,ROUND(F138+D139,2))))</x:f>
        <x:v>26003.2</x:v>
      </x:c>
      <x:c r="D139" s="18" t="n">
        <x:f>IF(B139="","",ROUND(IF($I$19="Факт / 365",F138*$I$12*(B139-B138)/$I$20,F138*$I$17),2))</x:f>
        <x:v>19104</x:v>
      </x:c>
      <x:c r="E139" s="18" t="n">
        <x:f>IF(B139="","",ROUND(C139-D139,2))</x:f>
        <x:v>6899.2</x:v>
      </x:c>
      <x:c r="F139" s="18" t="n">
        <x:f>IF(B139="","",ROUND(F138-E139,2))</x:f>
        <x:v>2992223.49</x:v>
      </x:c>
      <x:c r="G139" s="2"/>
      <x:c r="H139" s="2"/>
      <x:c r="I139" s="2"/>
    </x:row>
    <x:row r="140" ht="24" customHeight="1">
      <x:c r="A140" s="1"/>
      <x:c r="B140" s="17" t="n">
        <x:f>IF(ROW()-ROW($B$9)&lt;=$I$16,MIN($I$14,EDATE($I$15,(ROW()-ROW($B$9)-1)*$I$13)),"")</x:f>
        <x:v>48782</x:v>
      </x:c>
      <x:c r="C140" s="18" t="n">
        <x:f>IF(B140="","",IF(ROW()-ROW($B$9)=$I$16,ROUND(F139+D140,2),MIN($I$18,ROUND(F139+D140,2))))</x:f>
        <x:v>26003.2</x:v>
      </x:c>
      <x:c r="D140" s="18" t="n">
        <x:f>IF(B140="","",ROUND(IF($I$19="Факт / 365",F139*$I$12*(B140-B139)/$I$20,F139*$I$17),2))</x:f>
        <x:v>18445.21</x:v>
      </x:c>
      <x:c r="E140" s="18" t="n">
        <x:f>IF(B140="","",ROUND(C140-D140,2))</x:f>
        <x:v>7557.99</x:v>
      </x:c>
      <x:c r="F140" s="18" t="n">
        <x:f>IF(B140="","",ROUND(F139-E140,2))</x:f>
        <x:v>2984665.5</x:v>
      </x:c>
      <x:c r="G140" s="2"/>
      <x:c r="H140" s="2"/>
      <x:c r="I140" s="2"/>
    </x:row>
    <x:row r="141" ht="24" customHeight="1">
      <x:c r="A141" s="1"/>
      <x:c r="B141" s="17" t="n">
        <x:f>IF(ROW()-ROW($B$9)&lt;=$I$16,MIN($I$14,EDATE($I$15,(ROW()-ROW($B$9)-1)*$I$13)),"")</x:f>
        <x:v>48813</x:v>
      </x:c>
      <x:c r="C141" s="18" t="n">
        <x:f>IF(B141="","",IF(ROW()-ROW($B$9)=$I$16,ROUND(F140+D141,2),MIN($I$18,ROUND(F140+D141,2))))</x:f>
        <x:v>26003.2</x:v>
      </x:c>
      <x:c r="D141" s="18" t="n">
        <x:f>IF(B141="","",ROUND(IF($I$19="Факт / 365",F140*$I$12*(B141-B140)/$I$20,F140*$I$17),2))</x:f>
        <x:v>19011.91</x:v>
      </x:c>
      <x:c r="E141" s="18" t="n">
        <x:f>IF(B141="","",ROUND(C141-D141,2))</x:f>
        <x:v>6991.29</x:v>
      </x:c>
      <x:c r="F141" s="18" t="n">
        <x:f>IF(B141="","",ROUND(F140-E141,2))</x:f>
        <x:v>2977674.21</x:v>
      </x:c>
      <x:c r="G141" s="2"/>
      <x:c r="H141" s="2"/>
      <x:c r="I141" s="2"/>
    </x:row>
    <x:row r="142" ht="24" customHeight="1">
      <x:c r="A142" s="1"/>
      <x:c r="B142" s="17" t="n">
        <x:f>IF(ROW()-ROW($B$9)&lt;=$I$16,MIN($I$14,EDATE($I$15,(ROW()-ROW($B$9)-1)*$I$13)),"")</x:f>
        <x:v>48844</x:v>
      </x:c>
      <x:c r="C142" s="18" t="n">
        <x:f>IF(B142="","",IF(ROW()-ROW($B$9)=$I$16,ROUND(F141+D142,2),MIN($I$18,ROUND(F141+D142,2))))</x:f>
        <x:v>26003.2</x:v>
      </x:c>
      <x:c r="D142" s="18" t="n">
        <x:f>IF(B142="","",ROUND(IF($I$19="Факт / 365",F141*$I$12*(B142-B141)/$I$20,F141*$I$17),2))</x:f>
        <x:v>18967.38</x:v>
      </x:c>
      <x:c r="E142" s="18" t="n">
        <x:f>IF(B142="","",ROUND(C142-D142,2))</x:f>
        <x:v>7035.82</x:v>
      </x:c>
      <x:c r="F142" s="18" t="n">
        <x:f>IF(B142="","",ROUND(F141-E142,2))</x:f>
        <x:v>2970638.39</x:v>
      </x:c>
      <x:c r="G142" s="2"/>
      <x:c r="H142" s="2"/>
      <x:c r="I142" s="2"/>
    </x:row>
    <x:row r="143" ht="24" customHeight="1">
      <x:c r="A143" s="1"/>
      <x:c r="B143" s="17" t="n">
        <x:f>IF(ROW()-ROW($B$9)&lt;=$I$16,MIN($I$14,EDATE($I$15,(ROW()-ROW($B$9)-1)*$I$13)),"")</x:f>
        <x:v>48874</x:v>
      </x:c>
      <x:c r="C143" s="18" t="n">
        <x:f>IF(B143="","",IF(ROW()-ROW($B$9)=$I$16,ROUND(F142+D143,2),MIN($I$18,ROUND(F142+D143,2))))</x:f>
        <x:v>26003.2</x:v>
      </x:c>
      <x:c r="D143" s="18" t="n">
        <x:f>IF(B143="","",ROUND(IF($I$19="Факт / 365",F142*$I$12*(B143-B142)/$I$20,F142*$I$17),2))</x:f>
        <x:v>18312.15</x:v>
      </x:c>
      <x:c r="E143" s="18" t="n">
        <x:f>IF(B143="","",ROUND(C143-D143,2))</x:f>
        <x:v>7691.05</x:v>
      </x:c>
      <x:c r="F143" s="18" t="n">
        <x:f>IF(B143="","",ROUND(F142-E143,2))</x:f>
        <x:v>2962947.34</x:v>
      </x:c>
      <x:c r="G143" s="2"/>
      <x:c r="H143" s="2"/>
      <x:c r="I143" s="2"/>
    </x:row>
    <x:row r="144" ht="24" customHeight="1">
      <x:c r="A144" s="1"/>
      <x:c r="B144" s="17" t="n">
        <x:f>IF(ROW()-ROW($B$9)&lt;=$I$16,MIN($I$14,EDATE($I$15,(ROW()-ROW($B$9)-1)*$I$13)),"")</x:f>
        <x:v>48905</x:v>
      </x:c>
      <x:c r="C144" s="18" t="n">
        <x:f>IF(B144="","",IF(ROW()-ROW($B$9)=$I$16,ROUND(F143+D144,2),MIN($I$18,ROUND(F143+D144,2))))</x:f>
        <x:v>26003.2</x:v>
      </x:c>
      <x:c r="D144" s="18" t="n">
        <x:f>IF(B144="","",ROUND(IF($I$19="Факт / 365",F143*$I$12*(B144-B143)/$I$20,F143*$I$17),2))</x:f>
        <x:v>18873.57</x:v>
      </x:c>
      <x:c r="E144" s="18" t="n">
        <x:f>IF(B144="","",ROUND(C144-D144,2))</x:f>
        <x:v>7129.63</x:v>
      </x:c>
      <x:c r="F144" s="18" t="n">
        <x:f>IF(B144="","",ROUND(F143-E144,2))</x:f>
        <x:v>2955817.71</x:v>
      </x:c>
      <x:c r="G144" s="2"/>
      <x:c r="H144" s="2"/>
      <x:c r="I144" s="2"/>
    </x:row>
    <x:row r="145" ht="24" customHeight="1">
      <x:c r="A145" s="1"/>
      <x:c r="B145" s="17" t="n">
        <x:f>IF(ROW()-ROW($B$9)&lt;=$I$16,MIN($I$14,EDATE($I$15,(ROW()-ROW($B$9)-1)*$I$13)),"")</x:f>
        <x:v>48935</x:v>
      </x:c>
      <x:c r="C145" s="18" t="n">
        <x:f>IF(B145="","",IF(ROW()-ROW($B$9)=$I$16,ROUND(F144+D145,2),MIN($I$18,ROUND(F144+D145,2))))</x:f>
        <x:v>26003.2</x:v>
      </x:c>
      <x:c r="D145" s="18" t="n">
        <x:f>IF(B145="","",ROUND(IF($I$19="Факт / 365",F144*$I$12*(B145-B144)/$I$20,F144*$I$17),2))</x:f>
        <x:v>18220.79</x:v>
      </x:c>
      <x:c r="E145" s="18" t="n">
        <x:f>IF(B145="","",ROUND(C145-D145,2))</x:f>
        <x:v>7782.41</x:v>
      </x:c>
      <x:c r="F145" s="18" t="n">
        <x:f>IF(B145="","",ROUND(F144-E145,2))</x:f>
        <x:v>2948035.3</x:v>
      </x:c>
      <x:c r="G145" s="2"/>
      <x:c r="H145" s="2"/>
      <x:c r="I145" s="2"/>
    </x:row>
    <x:row r="146" ht="24" customHeight="1">
      <x:c r="A146" s="1"/>
      <x:c r="B146" s="17" t="n">
        <x:f>IF(ROW()-ROW($B$9)&lt;=$I$16,MIN($I$14,EDATE($I$15,(ROW()-ROW($B$9)-1)*$I$13)),"")</x:f>
        <x:v>48966</x:v>
      </x:c>
      <x:c r="C146" s="18" t="n">
        <x:f>IF(B146="","",IF(ROW()-ROW($B$9)=$I$16,ROUND(F145+D146,2),MIN($I$18,ROUND(F145+D146,2))))</x:f>
        <x:v>26003.2</x:v>
      </x:c>
      <x:c r="D146" s="18" t="n">
        <x:f>IF(B146="","",ROUND(IF($I$19="Факт / 365",F145*$I$12*(B146-B145)/$I$20,F145*$I$17),2))</x:f>
        <x:v>18778.58</x:v>
      </x:c>
      <x:c r="E146" s="18" t="n">
        <x:f>IF(B146="","",ROUND(C146-D146,2))</x:f>
        <x:v>7224.62</x:v>
      </x:c>
      <x:c r="F146" s="18" t="n">
        <x:f>IF(B146="","",ROUND(F145-E146,2))</x:f>
        <x:v>2940810.68</x:v>
      </x:c>
      <x:c r="G146" s="2"/>
      <x:c r="H146" s="2"/>
      <x:c r="I146" s="2"/>
    </x:row>
    <x:row r="147" ht="24" customHeight="1">
      <x:c r="A147" s="1"/>
      <x:c r="B147" s="17" t="n">
        <x:f>IF(ROW()-ROW($B$9)&lt;=$I$16,MIN($I$14,EDATE($I$15,(ROW()-ROW($B$9)-1)*$I$13)),"")</x:f>
        <x:v>48997</x:v>
      </x:c>
      <x:c r="C147" s="18" t="n">
        <x:f>IF(B147="","",IF(ROW()-ROW($B$9)=$I$16,ROUND(F146+D147,2),MIN($I$18,ROUND(F146+D147,2))))</x:f>
        <x:v>26003.2</x:v>
      </x:c>
      <x:c r="D147" s="18" t="n">
        <x:f>IF(B147="","",ROUND(IF($I$19="Факт / 365",F146*$I$12*(B147-B146)/$I$20,F146*$I$17),2))</x:f>
        <x:v>18732.56</x:v>
      </x:c>
      <x:c r="E147" s="18" t="n">
        <x:f>IF(B147="","",ROUND(C147-D147,2))</x:f>
        <x:v>7270.64</x:v>
      </x:c>
      <x:c r="F147" s="18" t="n">
        <x:f>IF(B147="","",ROUND(F146-E147,2))</x:f>
        <x:v>2933540.04</x:v>
      </x:c>
      <x:c r="G147" s="2"/>
      <x:c r="H147" s="2"/>
      <x:c r="I147" s="2"/>
    </x:row>
    <x:row r="148" ht="24" customHeight="1">
      <x:c r="A148" s="1"/>
      <x:c r="B148" s="17" t="n">
        <x:f>IF(ROW()-ROW($B$9)&lt;=$I$16,MIN($I$14,EDATE($I$15,(ROW()-ROW($B$9)-1)*$I$13)),"")</x:f>
        <x:v>49025</x:v>
      </x:c>
      <x:c r="C148" s="18" t="n">
        <x:f>IF(B148="","",IF(ROW()-ROW($B$9)=$I$16,ROUND(F147+D148,2),MIN($I$18,ROUND(F147+D148,2))))</x:f>
        <x:v>26003.2</x:v>
      </x:c>
      <x:c r="D148" s="18" t="n">
        <x:f>IF(B148="","",ROUND(IF($I$19="Факт / 365",F147*$I$12*(B148-B147)/$I$20,F147*$I$17),2))</x:f>
        <x:v>16877.9</x:v>
      </x:c>
      <x:c r="E148" s="18" t="n">
        <x:f>IF(B148="","",ROUND(C148-D148,2))</x:f>
        <x:v>9125.3</x:v>
      </x:c>
      <x:c r="F148" s="18" t="n">
        <x:f>IF(B148="","",ROUND(F147-E148,2))</x:f>
        <x:v>2924414.74</x:v>
      </x:c>
      <x:c r="G148" s="2"/>
      <x:c r="H148" s="2"/>
      <x:c r="I148" s="2"/>
    </x:row>
    <x:row r="149" ht="24" customHeight="1">
      <x:c r="A149" s="1"/>
      <x:c r="B149" s="17" t="n">
        <x:f>IF(ROW()-ROW($B$9)&lt;=$I$16,MIN($I$14,EDATE($I$15,(ROW()-ROW($B$9)-1)*$I$13)),"")</x:f>
        <x:v>49056</x:v>
      </x:c>
      <x:c r="C149" s="18" t="n">
        <x:f>IF(B149="","",IF(ROW()-ROW($B$9)=$I$16,ROUND(F148+D149,2),MIN($I$18,ROUND(F148+D149,2))))</x:f>
        <x:v>26003.2</x:v>
      </x:c>
      <x:c r="D149" s="18" t="n">
        <x:f>IF(B149="","",ROUND(IF($I$19="Факт / 365",F148*$I$12*(B149-B148)/$I$20,F148*$I$17),2))</x:f>
        <x:v>18628.12</x:v>
      </x:c>
      <x:c r="E149" s="18" t="n">
        <x:f>IF(B149="","",ROUND(C149-D149,2))</x:f>
        <x:v>7375.08</x:v>
      </x:c>
      <x:c r="F149" s="18" t="n">
        <x:f>IF(B149="","",ROUND(F148-E149,2))</x:f>
        <x:v>2917039.66</x:v>
      </x:c>
      <x:c r="G149" s="2"/>
      <x:c r="H149" s="2"/>
      <x:c r="I149" s="2"/>
    </x:row>
    <x:row r="150" ht="24" customHeight="1">
      <x:c r="A150" s="1"/>
      <x:c r="B150" s="17" t="n">
        <x:f>IF(ROW()-ROW($B$9)&lt;=$I$16,MIN($I$14,EDATE($I$15,(ROW()-ROW($B$9)-1)*$I$13)),"")</x:f>
        <x:v>49086</x:v>
      </x:c>
      <x:c r="C150" s="18" t="n">
        <x:f>IF(B150="","",IF(ROW()-ROW($B$9)=$I$16,ROUND(F149+D150,2),MIN($I$18,ROUND(F149+D150,2))))</x:f>
        <x:v>26003.2</x:v>
      </x:c>
      <x:c r="D150" s="18" t="n">
        <x:f>IF(B150="","",ROUND(IF($I$19="Факт / 365",F149*$I$12*(B150-B149)/$I$20,F149*$I$17),2))</x:f>
        <x:v>17981.75</x:v>
      </x:c>
      <x:c r="E150" s="18" t="n">
        <x:f>IF(B150="","",ROUND(C150-D150,2))</x:f>
        <x:v>8021.45</x:v>
      </x:c>
      <x:c r="F150" s="18" t="n">
        <x:f>IF(B150="","",ROUND(F149-E150,2))</x:f>
        <x:v>2909018.21</x:v>
      </x:c>
      <x:c r="G150" s="2"/>
      <x:c r="H150" s="2"/>
      <x:c r="I150" s="2"/>
    </x:row>
    <x:row r="151" ht="24" customHeight="1">
      <x:c r="A151" s="1"/>
      <x:c r="B151" s="17" t="n">
        <x:f>IF(ROW()-ROW($B$9)&lt;=$I$16,MIN($I$14,EDATE($I$15,(ROW()-ROW($B$9)-1)*$I$13)),"")</x:f>
        <x:v>49117</x:v>
      </x:c>
      <x:c r="C151" s="18" t="n">
        <x:f>IF(B151="","",IF(ROW()-ROW($B$9)=$I$16,ROUND(F150+D151,2),MIN($I$18,ROUND(F150+D151,2))))</x:f>
        <x:v>26003.2</x:v>
      </x:c>
      <x:c r="D151" s="18" t="n">
        <x:f>IF(B151="","",ROUND(IF($I$19="Факт / 365",F150*$I$12*(B151-B150)/$I$20,F150*$I$17),2))</x:f>
        <x:v>18530.05</x:v>
      </x:c>
      <x:c r="E151" s="18" t="n">
        <x:f>IF(B151="","",ROUND(C151-D151,2))</x:f>
        <x:v>7473.15</x:v>
      </x:c>
      <x:c r="F151" s="18" t="n">
        <x:f>IF(B151="","",ROUND(F150-E151,2))</x:f>
        <x:v>2901545.06</x:v>
      </x:c>
      <x:c r="G151" s="2"/>
      <x:c r="H151" s="2"/>
      <x:c r="I151" s="2"/>
    </x:row>
    <x:row r="152" ht="24" customHeight="1">
      <x:c r="A152" s="1"/>
      <x:c r="B152" s="17" t="n">
        <x:f>IF(ROW()-ROW($B$9)&lt;=$I$16,MIN($I$14,EDATE($I$15,(ROW()-ROW($B$9)-1)*$I$13)),"")</x:f>
        <x:v>49147</x:v>
      </x:c>
      <x:c r="C152" s="18" t="n">
        <x:f>IF(B152="","",IF(ROW()-ROW($B$9)=$I$16,ROUND(F151+D152,2),MIN($I$18,ROUND(F151+D152,2))))</x:f>
        <x:v>26003.2</x:v>
      </x:c>
      <x:c r="D152" s="18" t="n">
        <x:f>IF(B152="","",ROUND(IF($I$19="Факт / 365",F151*$I$12*(B152-B151)/$I$20,F151*$I$17),2))</x:f>
        <x:v>17886.24</x:v>
      </x:c>
      <x:c r="E152" s="18" t="n">
        <x:f>IF(B152="","",ROUND(C152-D152,2))</x:f>
        <x:v>8116.96</x:v>
      </x:c>
      <x:c r="F152" s="18" t="n">
        <x:f>IF(B152="","",ROUND(F151-E152,2))</x:f>
        <x:v>2893428.1</x:v>
      </x:c>
      <x:c r="G152" s="2"/>
      <x:c r="H152" s="2"/>
      <x:c r="I152" s="2"/>
    </x:row>
    <x:row r="153" ht="24" customHeight="1">
      <x:c r="A153" s="1"/>
      <x:c r="B153" s="17" t="n">
        <x:f>IF(ROW()-ROW($B$9)&lt;=$I$16,MIN($I$14,EDATE($I$15,(ROW()-ROW($B$9)-1)*$I$13)),"")</x:f>
        <x:v>49178</x:v>
      </x:c>
      <x:c r="C153" s="18" t="n">
        <x:f>IF(B153="","",IF(ROW()-ROW($B$9)=$I$16,ROUND(F152+D153,2),MIN($I$18,ROUND(F152+D153,2))))</x:f>
        <x:v>26003.2</x:v>
      </x:c>
      <x:c r="D153" s="18" t="n">
        <x:f>IF(B153="","",ROUND(IF($I$19="Факт / 365",F152*$I$12*(B153-B152)/$I$20,F152*$I$17),2))</x:f>
        <x:v>18430.74</x:v>
      </x:c>
      <x:c r="E153" s="18" t="n">
        <x:f>IF(B153="","",ROUND(C153-D153,2))</x:f>
        <x:v>7572.46</x:v>
      </x:c>
      <x:c r="F153" s="18" t="n">
        <x:f>IF(B153="","",ROUND(F152-E153,2))</x:f>
        <x:v>2885855.64</x:v>
      </x:c>
      <x:c r="G153" s="2"/>
      <x:c r="H153" s="2"/>
      <x:c r="I153" s="2"/>
    </x:row>
    <x:row r="154" ht="24" customHeight="1">
      <x:c r="A154" s="1"/>
      <x:c r="B154" s="17" t="n">
        <x:f>IF(ROW()-ROW($B$9)&lt;=$I$16,MIN($I$14,EDATE($I$15,(ROW()-ROW($B$9)-1)*$I$13)),"")</x:f>
        <x:v>49209</x:v>
      </x:c>
      <x:c r="C154" s="18" t="n">
        <x:f>IF(B154="","",IF(ROW()-ROW($B$9)=$I$16,ROUND(F153+D154,2),MIN($I$18,ROUND(F153+D154,2))))</x:f>
        <x:v>26003.2</x:v>
      </x:c>
      <x:c r="D154" s="18" t="n">
        <x:f>IF(B154="","",ROUND(IF($I$19="Факт / 365",F153*$I$12*(B154-B153)/$I$20,F153*$I$17),2))</x:f>
        <x:v>18382.51</x:v>
      </x:c>
      <x:c r="E154" s="18" t="n">
        <x:f>IF(B154="","",ROUND(C154-D154,2))</x:f>
        <x:v>7620.69</x:v>
      </x:c>
      <x:c r="F154" s="18" t="n">
        <x:f>IF(B154="","",ROUND(F153-E154,2))</x:f>
        <x:v>2878234.95</x:v>
      </x:c>
      <x:c r="G154" s="2"/>
      <x:c r="H154" s="2"/>
      <x:c r="I154" s="2"/>
    </x:row>
    <x:row r="155" ht="24" customHeight="1">
      <x:c r="A155" s="1"/>
      <x:c r="B155" s="17" t="n">
        <x:f>IF(ROW()-ROW($B$9)&lt;=$I$16,MIN($I$14,EDATE($I$15,(ROW()-ROW($B$9)-1)*$I$13)),"")</x:f>
        <x:v>49239</x:v>
      </x:c>
      <x:c r="C155" s="18" t="n">
        <x:f>IF(B155="","",IF(ROW()-ROW($B$9)=$I$16,ROUND(F154+D155,2),MIN($I$18,ROUND(F154+D155,2))))</x:f>
        <x:v>26003.2</x:v>
      </x:c>
      <x:c r="D155" s="18" t="n">
        <x:f>IF(B155="","",ROUND(IF($I$19="Факт / 365",F154*$I$12*(B155-B154)/$I$20,F154*$I$17),2))</x:f>
        <x:v>17742.54</x:v>
      </x:c>
      <x:c r="E155" s="18" t="n">
        <x:f>IF(B155="","",ROUND(C155-D155,2))</x:f>
        <x:v>8260.66</x:v>
      </x:c>
      <x:c r="F155" s="18" t="n">
        <x:f>IF(B155="","",ROUND(F154-E155,2))</x:f>
        <x:v>2869974.29</x:v>
      </x:c>
      <x:c r="G155" s="2"/>
      <x:c r="H155" s="2"/>
      <x:c r="I155" s="2"/>
    </x:row>
    <x:row r="156" ht="24" customHeight="1">
      <x:c r="A156" s="1"/>
      <x:c r="B156" s="17" t="n">
        <x:f>IF(ROW()-ROW($B$9)&lt;=$I$16,MIN($I$14,EDATE($I$15,(ROW()-ROW($B$9)-1)*$I$13)),"")</x:f>
        <x:v>49270</x:v>
      </x:c>
      <x:c r="C156" s="18" t="n">
        <x:f>IF(B156="","",IF(ROW()-ROW($B$9)=$I$16,ROUND(F155+D156,2),MIN($I$18,ROUND(F155+D156,2))))</x:f>
        <x:v>26003.2</x:v>
      </x:c>
      <x:c r="D156" s="18" t="n">
        <x:f>IF(B156="","",ROUND(IF($I$19="Факт / 365",F155*$I$12*(B156-B155)/$I$20,F155*$I$17),2))</x:f>
        <x:v>18281.34</x:v>
      </x:c>
      <x:c r="E156" s="18" t="n">
        <x:f>IF(B156="","",ROUND(C156-D156,2))</x:f>
        <x:v>7721.86</x:v>
      </x:c>
      <x:c r="F156" s="18" t="n">
        <x:f>IF(B156="","",ROUND(F155-E156,2))</x:f>
        <x:v>2862252.43</x:v>
      </x:c>
      <x:c r="G156" s="2"/>
      <x:c r="H156" s="2"/>
      <x:c r="I156" s="2"/>
    </x:row>
    <x:row r="157" ht="24" customHeight="1">
      <x:c r="A157" s="1"/>
      <x:c r="B157" s="17" t="n">
        <x:f>IF(ROW()-ROW($B$9)&lt;=$I$16,MIN($I$14,EDATE($I$15,(ROW()-ROW($B$9)-1)*$I$13)),"")</x:f>
        <x:v>49300</x:v>
      </x:c>
      <x:c r="C157" s="18" t="n">
        <x:f>IF(B157="","",IF(ROW()-ROW($B$9)=$I$16,ROUND(F156+D157,2),MIN($I$18,ROUND(F156+D157,2))))</x:f>
        <x:v>26003.2</x:v>
      </x:c>
      <x:c r="D157" s="18" t="n">
        <x:f>IF(B157="","",ROUND(IF($I$19="Факт / 365",F156*$I$12*(B157-B156)/$I$20,F156*$I$17),2))</x:f>
        <x:v>17644.02</x:v>
      </x:c>
      <x:c r="E157" s="18" t="n">
        <x:f>IF(B157="","",ROUND(C157-D157,2))</x:f>
        <x:v>8359.18</x:v>
      </x:c>
      <x:c r="F157" s="18" t="n">
        <x:f>IF(B157="","",ROUND(F156-E157,2))</x:f>
        <x:v>2853893.25</x:v>
      </x:c>
      <x:c r="G157" s="2"/>
      <x:c r="H157" s="2"/>
      <x:c r="I157" s="2"/>
    </x:row>
    <x:row r="158" ht="24" customHeight="1">
      <x:c r="A158" s="1"/>
      <x:c r="B158" s="17" t="n">
        <x:f>IF(ROW()-ROW($B$9)&lt;=$I$16,MIN($I$14,EDATE($I$15,(ROW()-ROW($B$9)-1)*$I$13)),"")</x:f>
        <x:v>49331</x:v>
      </x:c>
      <x:c r="C158" s="18" t="n">
        <x:f>IF(B158="","",IF(ROW()-ROW($B$9)=$I$16,ROUND(F157+D158,2),MIN($I$18,ROUND(F157+D158,2))))</x:f>
        <x:v>26003.2</x:v>
      </x:c>
      <x:c r="D158" s="18" t="n">
        <x:f>IF(B158="","",ROUND(IF($I$19="Факт / 365",F157*$I$12*(B158-B157)/$I$20,F157*$I$17),2))</x:f>
        <x:v>18178.91</x:v>
      </x:c>
      <x:c r="E158" s="18" t="n">
        <x:f>IF(B158="","",ROUND(C158-D158,2))</x:f>
        <x:v>7824.29</x:v>
      </x:c>
      <x:c r="F158" s="18" t="n">
        <x:f>IF(B158="","",ROUND(F157-E158,2))</x:f>
        <x:v>2846068.96</x:v>
      </x:c>
      <x:c r="G158" s="2"/>
      <x:c r="H158" s="2"/>
      <x:c r="I158" s="2"/>
    </x:row>
    <x:row r="159" ht="24" customHeight="1">
      <x:c r="A159" s="1"/>
      <x:c r="B159" s="17" t="n">
        <x:f>IF(ROW()-ROW($B$9)&lt;=$I$16,MIN($I$14,EDATE($I$15,(ROW()-ROW($B$9)-1)*$I$13)),"")</x:f>
        <x:v>49362</x:v>
      </x:c>
      <x:c r="C159" s="18" t="n">
        <x:f>IF(B159="","",IF(ROW()-ROW($B$9)=$I$16,ROUND(F158+D159,2),MIN($I$18,ROUND(F158+D159,2))))</x:f>
        <x:v>26003.2</x:v>
      </x:c>
      <x:c r="D159" s="18" t="n">
        <x:f>IF(B159="","",ROUND(IF($I$19="Факт / 365",F158*$I$12*(B159-B158)/$I$20,F158*$I$17),2))</x:f>
        <x:v>18129.07</x:v>
      </x:c>
      <x:c r="E159" s="18" t="n">
        <x:f>IF(B159="","",ROUND(C159-D159,2))</x:f>
        <x:v>7874.13</x:v>
      </x:c>
      <x:c r="F159" s="18" t="n">
        <x:f>IF(B159="","",ROUND(F158-E159,2))</x:f>
        <x:v>2838194.83</x:v>
      </x:c>
      <x:c r="G159" s="2"/>
      <x:c r="H159" s="2"/>
      <x:c r="I159" s="2"/>
    </x:row>
    <x:row r="160" ht="24" customHeight="1">
      <x:c r="A160" s="1"/>
      <x:c r="B160" s="17" t="n">
        <x:f>IF(ROW()-ROW($B$9)&lt;=$I$16,MIN($I$14,EDATE($I$15,(ROW()-ROW($B$9)-1)*$I$13)),"")</x:f>
        <x:v>49390</x:v>
      </x:c>
      <x:c r="C160" s="18" t="n">
        <x:f>IF(B160="","",IF(ROW()-ROW($B$9)=$I$16,ROUND(F159+D160,2),MIN($I$18,ROUND(F159+D160,2))))</x:f>
        <x:v>26003.2</x:v>
      </x:c>
      <x:c r="D160" s="18" t="n">
        <x:f>IF(B160="","",ROUND(IF($I$19="Факт / 365",F159*$I$12*(B160-B159)/$I$20,F159*$I$17),2))</x:f>
        <x:v>16329.34</x:v>
      </x:c>
      <x:c r="E160" s="18" t="n">
        <x:f>IF(B160="","",ROUND(C160-D160,2))</x:f>
        <x:v>9673.86</x:v>
      </x:c>
      <x:c r="F160" s="18" t="n">
        <x:f>IF(B160="","",ROUND(F159-E160,2))</x:f>
        <x:v>2828520.97</x:v>
      </x:c>
      <x:c r="G160" s="2"/>
      <x:c r="H160" s="2"/>
      <x:c r="I160" s="2"/>
    </x:row>
    <x:row r="161" ht="24" customHeight="1">
      <x:c r="A161" s="1"/>
      <x:c r="B161" s="17" t="n">
        <x:f>IF(ROW()-ROW($B$9)&lt;=$I$16,MIN($I$14,EDATE($I$15,(ROW()-ROW($B$9)-1)*$I$13)),"")</x:f>
        <x:v>49421</x:v>
      </x:c>
      <x:c r="C161" s="18" t="n">
        <x:f>IF(B161="","",IF(ROW()-ROW($B$9)=$I$16,ROUND(F160+D161,2),MIN($I$18,ROUND(F160+D161,2))))</x:f>
        <x:v>26003.2</x:v>
      </x:c>
      <x:c r="D161" s="18" t="n">
        <x:f>IF(B161="","",ROUND(IF($I$19="Факт / 365",F160*$I$12*(B161-B160)/$I$20,F160*$I$17),2))</x:f>
        <x:v>18017.29</x:v>
      </x:c>
      <x:c r="E161" s="18" t="n">
        <x:f>IF(B161="","",ROUND(C161-D161,2))</x:f>
        <x:v>7985.91</x:v>
      </x:c>
      <x:c r="F161" s="18" t="n">
        <x:f>IF(B161="","",ROUND(F160-E161,2))</x:f>
        <x:v>2820535.06</x:v>
      </x:c>
      <x:c r="G161" s="2"/>
      <x:c r="H161" s="2"/>
      <x:c r="I161" s="2"/>
    </x:row>
    <x:row r="162" ht="24" customHeight="1">
      <x:c r="A162" s="1"/>
      <x:c r="B162" s="17" t="n">
        <x:f>IF(ROW()-ROW($B$9)&lt;=$I$16,MIN($I$14,EDATE($I$15,(ROW()-ROW($B$9)-1)*$I$13)),"")</x:f>
        <x:v>49451</x:v>
      </x:c>
      <x:c r="C162" s="18" t="n">
        <x:f>IF(B162="","",IF(ROW()-ROW($B$9)=$I$16,ROUND(F161+D162,2),MIN($I$18,ROUND(F161+D162,2))))</x:f>
        <x:v>26003.2</x:v>
      </x:c>
      <x:c r="D162" s="18" t="n">
        <x:f>IF(B162="","",ROUND(IF($I$19="Факт / 365",F161*$I$12*(B162-B161)/$I$20,F161*$I$17),2))</x:f>
        <x:v>17386.86</x:v>
      </x:c>
      <x:c r="E162" s="18" t="n">
        <x:f>IF(B162="","",ROUND(C162-D162,2))</x:f>
        <x:v>8616.34</x:v>
      </x:c>
      <x:c r="F162" s="18" t="n">
        <x:f>IF(B162="","",ROUND(F161-E162,2))</x:f>
        <x:v>2811918.72</x:v>
      </x:c>
      <x:c r="G162" s="2"/>
      <x:c r="H162" s="2"/>
      <x:c r="I162" s="2"/>
    </x:row>
    <x:row r="163" ht="24" customHeight="1">
      <x:c r="A163" s="1"/>
      <x:c r="B163" s="17" t="n">
        <x:f>IF(ROW()-ROW($B$9)&lt;=$I$16,MIN($I$14,EDATE($I$15,(ROW()-ROW($B$9)-1)*$I$13)),"")</x:f>
        <x:v>49482</x:v>
      </x:c>
      <x:c r="C163" s="18" t="n">
        <x:f>IF(B163="","",IF(ROW()-ROW($B$9)=$I$16,ROUND(F162+D163,2),MIN($I$18,ROUND(F162+D163,2))))</x:f>
        <x:v>26003.2</x:v>
      </x:c>
      <x:c r="D163" s="18" t="n">
        <x:f>IF(B163="","",ROUND(IF($I$19="Факт / 365",F162*$I$12*(B163-B162)/$I$20,F162*$I$17),2))</x:f>
        <x:v>17911.54</x:v>
      </x:c>
      <x:c r="E163" s="18" t="n">
        <x:f>IF(B163="","",ROUND(C163-D163,2))</x:f>
        <x:v>8091.66</x:v>
      </x:c>
      <x:c r="F163" s="18" t="n">
        <x:f>IF(B163="","",ROUND(F162-E163,2))</x:f>
        <x:v>2803827.06</x:v>
      </x:c>
      <x:c r="G163" s="2"/>
      <x:c r="H163" s="2"/>
      <x:c r="I163" s="2"/>
    </x:row>
    <x:row r="164" ht="24" customHeight="1">
      <x:c r="A164" s="1"/>
      <x:c r="B164" s="17" t="n">
        <x:f>IF(ROW()-ROW($B$9)&lt;=$I$16,MIN($I$14,EDATE($I$15,(ROW()-ROW($B$9)-1)*$I$13)),"")</x:f>
        <x:v>49512</x:v>
      </x:c>
      <x:c r="C164" s="18" t="n">
        <x:f>IF(B164="","",IF(ROW()-ROW($B$9)=$I$16,ROUND(F163+D164,2),MIN($I$18,ROUND(F163+D164,2))))</x:f>
        <x:v>26003.2</x:v>
      </x:c>
      <x:c r="D164" s="18" t="n">
        <x:f>IF(B164="","",ROUND(IF($I$19="Факт / 365",F163*$I$12*(B164-B163)/$I$20,F163*$I$17),2))</x:f>
        <x:v>17283.87</x:v>
      </x:c>
      <x:c r="E164" s="18" t="n">
        <x:f>IF(B164="","",ROUND(C164-D164,2))</x:f>
        <x:v>8719.33</x:v>
      </x:c>
      <x:c r="F164" s="18" t="n">
        <x:f>IF(B164="","",ROUND(F163-E164,2))</x:f>
        <x:v>2795107.73</x:v>
      </x:c>
      <x:c r="G164" s="2"/>
      <x:c r="H164" s="2"/>
      <x:c r="I164" s="2"/>
    </x:row>
    <x:row r="165" ht="24" customHeight="1">
      <x:c r="A165" s="1"/>
      <x:c r="B165" s="17" t="n">
        <x:f>IF(ROW()-ROW($B$9)&lt;=$I$16,MIN($I$14,EDATE($I$15,(ROW()-ROW($B$9)-1)*$I$13)),"")</x:f>
        <x:v>49543</x:v>
      </x:c>
      <x:c r="C165" s="18" t="n">
        <x:f>IF(B165="","",IF(ROW()-ROW($B$9)=$I$16,ROUND(F164+D165,2),MIN($I$18,ROUND(F164+D165,2))))</x:f>
        <x:v>26003.2</x:v>
      </x:c>
      <x:c r="D165" s="18" t="n">
        <x:f>IF(B165="","",ROUND(IF($I$19="Факт / 365",F164*$I$12*(B165-B164)/$I$20,F164*$I$17),2))</x:f>
        <x:v>17804.45</x:v>
      </x:c>
      <x:c r="E165" s="18" t="n">
        <x:f>IF(B165="","",ROUND(C165-D165,2))</x:f>
        <x:v>8198.75</x:v>
      </x:c>
      <x:c r="F165" s="18" t="n">
        <x:f>IF(B165="","",ROUND(F164-E165,2))</x:f>
        <x:v>2786908.98</x:v>
      </x:c>
      <x:c r="G165" s="2"/>
      <x:c r="H165" s="2"/>
      <x:c r="I165" s="2"/>
    </x:row>
    <x:row r="166" ht="24" customHeight="1">
      <x:c r="A166" s="1"/>
      <x:c r="B166" s="17" t="n">
        <x:f>IF(ROW()-ROW($B$9)&lt;=$I$16,MIN($I$14,EDATE($I$15,(ROW()-ROW($B$9)-1)*$I$13)),"")</x:f>
        <x:v>49574</x:v>
      </x:c>
      <x:c r="C166" s="18" t="n">
        <x:f>IF(B166="","",IF(ROW()-ROW($B$9)=$I$16,ROUND(F165+D166,2),MIN($I$18,ROUND(F165+D166,2))))</x:f>
        <x:v>26003.2</x:v>
      </x:c>
      <x:c r="D166" s="18" t="n">
        <x:f>IF(B166="","",ROUND(IF($I$19="Факт / 365",F165*$I$12*(B166-B165)/$I$20,F165*$I$17),2))</x:f>
        <x:v>17752.23</x:v>
      </x:c>
      <x:c r="E166" s="18" t="n">
        <x:f>IF(B166="","",ROUND(C166-D166,2))</x:f>
        <x:v>8250.97</x:v>
      </x:c>
      <x:c r="F166" s="18" t="n">
        <x:f>IF(B166="","",ROUND(F165-E166,2))</x:f>
        <x:v>2778658.01</x:v>
      </x:c>
      <x:c r="G166" s="2"/>
      <x:c r="H166" s="2"/>
      <x:c r="I166" s="2"/>
    </x:row>
    <x:row r="167" ht="24" customHeight="1">
      <x:c r="A167" s="1"/>
      <x:c r="B167" s="17" t="n">
        <x:f>IF(ROW()-ROW($B$9)&lt;=$I$16,MIN($I$14,EDATE($I$15,(ROW()-ROW($B$9)-1)*$I$13)),"")</x:f>
        <x:v>49604</x:v>
      </x:c>
      <x:c r="C167" s="18" t="n">
        <x:f>IF(B167="","",IF(ROW()-ROW($B$9)=$I$16,ROUND(F166+D167,2),MIN($I$18,ROUND(F166+D167,2))))</x:f>
        <x:v>26003.2</x:v>
      </x:c>
      <x:c r="D167" s="18" t="n">
        <x:f>IF(B167="","",ROUND(IF($I$19="Факт / 365",F166*$I$12*(B167-B166)/$I$20,F166*$I$17),2))</x:f>
        <x:v>17128.71</x:v>
      </x:c>
      <x:c r="E167" s="18" t="n">
        <x:f>IF(B167="","",ROUND(C167-D167,2))</x:f>
        <x:v>8874.49</x:v>
      </x:c>
      <x:c r="F167" s="18" t="n">
        <x:f>IF(B167="","",ROUND(F166-E167,2))</x:f>
        <x:v>2769783.52</x:v>
      </x:c>
      <x:c r="G167" s="2"/>
      <x:c r="H167" s="2"/>
      <x:c r="I167" s="2"/>
    </x:row>
    <x:row r="168" ht="24" customHeight="1">
      <x:c r="A168" s="1"/>
      <x:c r="B168" s="17" t="n">
        <x:f>IF(ROW()-ROW($B$9)&lt;=$I$16,MIN($I$14,EDATE($I$15,(ROW()-ROW($B$9)-1)*$I$13)),"")</x:f>
        <x:v>49635</x:v>
      </x:c>
      <x:c r="C168" s="18" t="n">
        <x:f>IF(B168="","",IF(ROW()-ROW($B$9)=$I$16,ROUND(F167+D168,2),MIN($I$18,ROUND(F167+D168,2))))</x:f>
        <x:v>26003.2</x:v>
      </x:c>
      <x:c r="D168" s="18" t="n">
        <x:f>IF(B168="","",ROUND(IF($I$19="Факт / 365",F167*$I$12*(B168-B167)/$I$20,F167*$I$17),2))</x:f>
        <x:v>17643.14</x:v>
      </x:c>
      <x:c r="E168" s="18" t="n">
        <x:f>IF(B168="","",ROUND(C168-D168,2))</x:f>
        <x:v>8360.06</x:v>
      </x:c>
      <x:c r="F168" s="18" t="n">
        <x:f>IF(B168="","",ROUND(F167-E168,2))</x:f>
        <x:v>2761423.46</x:v>
      </x:c>
      <x:c r="G168" s="2"/>
      <x:c r="H168" s="2"/>
      <x:c r="I168" s="2"/>
    </x:row>
    <x:row r="169" ht="24" customHeight="1">
      <x:c r="A169" s="1"/>
      <x:c r="B169" s="17" t="n">
        <x:f>IF(ROW()-ROW($B$9)&lt;=$I$16,MIN($I$14,EDATE($I$15,(ROW()-ROW($B$9)-1)*$I$13)),"")</x:f>
        <x:v>49665</x:v>
      </x:c>
      <x:c r="C169" s="18" t="n">
        <x:f>IF(B169="","",IF(ROW()-ROW($B$9)=$I$16,ROUND(F168+D169,2),MIN($I$18,ROUND(F168+D169,2))))</x:f>
        <x:v>26003.2</x:v>
      </x:c>
      <x:c r="D169" s="18" t="n">
        <x:f>IF(B169="","",ROUND(IF($I$19="Факт / 365",F168*$I$12*(B169-B168)/$I$20,F168*$I$17),2))</x:f>
        <x:v>17022.47</x:v>
      </x:c>
      <x:c r="E169" s="18" t="n">
        <x:f>IF(B169="","",ROUND(C169-D169,2))</x:f>
        <x:v>8980.73</x:v>
      </x:c>
      <x:c r="F169" s="18" t="n">
        <x:f>IF(B169="","",ROUND(F168-E169,2))</x:f>
        <x:v>2752442.73</x:v>
      </x:c>
      <x:c r="G169" s="2"/>
      <x:c r="H169" s="2"/>
      <x:c r="I169" s="2"/>
    </x:row>
    <x:row r="170" ht="24" customHeight="1">
      <x:c r="A170" s="1"/>
      <x:c r="B170" s="17" t="n">
        <x:f>IF(ROW()-ROW($B$9)&lt;=$I$16,MIN($I$14,EDATE($I$15,(ROW()-ROW($B$9)-1)*$I$13)),"")</x:f>
        <x:v>49696</x:v>
      </x:c>
      <x:c r="C170" s="18" t="n">
        <x:f>IF(B170="","",IF(ROW()-ROW($B$9)=$I$16,ROUND(F169+D170,2),MIN($I$18,ROUND(F169+D170,2))))</x:f>
        <x:v>26003.2</x:v>
      </x:c>
      <x:c r="D170" s="18" t="n">
        <x:f>IF(B170="","",ROUND(IF($I$19="Факт / 365",F169*$I$12*(B170-B169)/$I$20,F169*$I$17),2))</x:f>
        <x:v>17532.68</x:v>
      </x:c>
      <x:c r="E170" s="18" t="n">
        <x:f>IF(B170="","",ROUND(C170-D170,2))</x:f>
        <x:v>8470.52</x:v>
      </x:c>
      <x:c r="F170" s="18" t="n">
        <x:f>IF(B170="","",ROUND(F169-E170,2))</x:f>
        <x:v>2743972.21</x:v>
      </x:c>
      <x:c r="G170" s="2"/>
      <x:c r="H170" s="2"/>
      <x:c r="I170" s="2"/>
    </x:row>
    <x:row r="171" ht="24" customHeight="1">
      <x:c r="A171" s="1"/>
      <x:c r="B171" s="17" t="n">
        <x:f>IF(ROW()-ROW($B$9)&lt;=$I$16,MIN($I$14,EDATE($I$15,(ROW()-ROW($B$9)-1)*$I$13)),"")</x:f>
        <x:v>49727</x:v>
      </x:c>
      <x:c r="C171" s="18" t="n">
        <x:f>IF(B171="","",IF(ROW()-ROW($B$9)=$I$16,ROUND(F170+D171,2),MIN($I$18,ROUND(F170+D171,2))))</x:f>
        <x:v>26003.2</x:v>
      </x:c>
      <x:c r="D171" s="18" t="n">
        <x:f>IF(B171="","",ROUND(IF($I$19="Факт / 365",F170*$I$12*(B171-B170)/$I$20,F170*$I$17),2))</x:f>
        <x:v>17478.73</x:v>
      </x:c>
      <x:c r="E171" s="18" t="n">
        <x:f>IF(B171="","",ROUND(C171-D171,2))</x:f>
        <x:v>8524.47</x:v>
      </x:c>
      <x:c r="F171" s="18" t="n">
        <x:f>IF(B171="","",ROUND(F170-E171,2))</x:f>
        <x:v>2735447.74</x:v>
      </x:c>
      <x:c r="G171" s="2"/>
      <x:c r="H171" s="2"/>
      <x:c r="I171" s="2"/>
    </x:row>
    <x:row r="172" ht="24" customHeight="1">
      <x:c r="A172" s="1"/>
      <x:c r="B172" s="17" t="n">
        <x:f>IF(ROW()-ROW($B$9)&lt;=$I$16,MIN($I$14,EDATE($I$15,(ROW()-ROW($B$9)-1)*$I$13)),"")</x:f>
        <x:v>49756</x:v>
      </x:c>
      <x:c r="C172" s="18" t="n">
        <x:f>IF(B172="","",IF(ROW()-ROW($B$9)=$I$16,ROUND(F171+D172,2),MIN($I$18,ROUND(F171+D172,2))))</x:f>
        <x:v>26003.2</x:v>
      </x:c>
      <x:c r="D172" s="18" t="n">
        <x:f>IF(B172="","",ROUND(IF($I$19="Факт / 365",F171*$I$12*(B172-B171)/$I$20,F171*$I$17),2))</x:f>
        <x:v>16300.27</x:v>
      </x:c>
      <x:c r="E172" s="18" t="n">
        <x:f>IF(B172="","",ROUND(C172-D172,2))</x:f>
        <x:v>9702.93</x:v>
      </x:c>
      <x:c r="F172" s="18" t="n">
        <x:f>IF(B172="","",ROUND(F171-E172,2))</x:f>
        <x:v>2725744.81</x:v>
      </x:c>
      <x:c r="G172" s="2"/>
      <x:c r="H172" s="2"/>
      <x:c r="I172" s="2"/>
    </x:row>
    <x:row r="173" ht="24" customHeight="1">
      <x:c r="A173" s="1"/>
      <x:c r="B173" s="17" t="n">
        <x:f>IF(ROW()-ROW($B$9)&lt;=$I$16,MIN($I$14,EDATE($I$15,(ROW()-ROW($B$9)-1)*$I$13)),"")</x:f>
        <x:v>49787</x:v>
      </x:c>
      <x:c r="C173" s="18" t="n">
        <x:f>IF(B173="","",IF(ROW()-ROW($B$9)=$I$16,ROUND(F172+D173,2),MIN($I$18,ROUND(F172+D173,2))))</x:f>
        <x:v>26003.2</x:v>
      </x:c>
      <x:c r="D173" s="18" t="n">
        <x:f>IF(B173="","",ROUND(IF($I$19="Факт / 365",F172*$I$12*(B173-B172)/$I$20,F172*$I$17),2))</x:f>
        <x:v>17362.62</x:v>
      </x:c>
      <x:c r="E173" s="18" t="n">
        <x:f>IF(B173="","",ROUND(C173-D173,2))</x:f>
        <x:v>8640.58</x:v>
      </x:c>
      <x:c r="F173" s="18" t="n">
        <x:f>IF(B173="","",ROUND(F172-E173,2))</x:f>
        <x:v>2717104.23</x:v>
      </x:c>
      <x:c r="G173" s="2"/>
      <x:c r="H173" s="2"/>
      <x:c r="I173" s="2"/>
    </x:row>
    <x:row r="174" ht="24" customHeight="1">
      <x:c r="A174" s="1"/>
      <x:c r="B174" s="17" t="n">
        <x:f>IF(ROW()-ROW($B$9)&lt;=$I$16,MIN($I$14,EDATE($I$15,(ROW()-ROW($B$9)-1)*$I$13)),"")</x:f>
        <x:v>49817</x:v>
      </x:c>
      <x:c r="C174" s="18" t="n">
        <x:f>IF(B174="","",IF(ROW()-ROW($B$9)=$I$16,ROUND(F173+D174,2),MIN($I$18,ROUND(F173+D174,2))))</x:f>
        <x:v>26003.2</x:v>
      </x:c>
      <x:c r="D174" s="18" t="n">
        <x:f>IF(B174="","",ROUND(IF($I$19="Факт / 365",F173*$I$12*(B174-B173)/$I$20,F173*$I$17),2))</x:f>
        <x:v>16749.27</x:v>
      </x:c>
      <x:c r="E174" s="18" t="n">
        <x:f>IF(B174="","",ROUND(C174-D174,2))</x:f>
        <x:v>9253.93</x:v>
      </x:c>
      <x:c r="F174" s="18" t="n">
        <x:f>IF(B174="","",ROUND(F173-E174,2))</x:f>
        <x:v>2707850.3</x:v>
      </x:c>
      <x:c r="G174" s="2"/>
      <x:c r="H174" s="2"/>
      <x:c r="I174" s="2"/>
    </x:row>
    <x:row r="175" ht="24" customHeight="1">
      <x:c r="A175" s="1"/>
      <x:c r="B175" s="17" t="n">
        <x:f>IF(ROW()-ROW($B$9)&lt;=$I$16,MIN($I$14,EDATE($I$15,(ROW()-ROW($B$9)-1)*$I$13)),"")</x:f>
        <x:v>49848</x:v>
      </x:c>
      <x:c r="C175" s="18" t="n">
        <x:f>IF(B175="","",IF(ROW()-ROW($B$9)=$I$16,ROUND(F174+D175,2),MIN($I$18,ROUND(F174+D175,2))))</x:f>
        <x:v>26003.2</x:v>
      </x:c>
      <x:c r="D175" s="18" t="n">
        <x:f>IF(B175="","",ROUND(IF($I$19="Факт / 365",F174*$I$12*(B175-B174)/$I$20,F174*$I$17),2))</x:f>
        <x:v>17248.64</x:v>
      </x:c>
      <x:c r="E175" s="18" t="n">
        <x:f>IF(B175="","",ROUND(C175-D175,2))</x:f>
        <x:v>8754.56</x:v>
      </x:c>
      <x:c r="F175" s="18" t="n">
        <x:f>IF(B175="","",ROUND(F174-E175,2))</x:f>
        <x:v>2699095.74</x:v>
      </x:c>
      <x:c r="G175" s="2"/>
      <x:c r="H175" s="2"/>
      <x:c r="I175" s="2"/>
    </x:row>
    <x:row r="176" ht="24" customHeight="1">
      <x:c r="A176" s="1"/>
      <x:c r="B176" s="17" t="n">
        <x:f>IF(ROW()-ROW($B$9)&lt;=$I$16,MIN($I$14,EDATE($I$15,(ROW()-ROW($B$9)-1)*$I$13)),"")</x:f>
        <x:v>49878</x:v>
      </x:c>
      <x:c r="C176" s="18" t="n">
        <x:f>IF(B176="","",IF(ROW()-ROW($B$9)=$I$16,ROUND(F175+D176,2),MIN($I$18,ROUND(F175+D176,2))))</x:f>
        <x:v>26003.2</x:v>
      </x:c>
      <x:c r="D176" s="18" t="n">
        <x:f>IF(B176="","",ROUND(IF($I$19="Факт / 365",F175*$I$12*(B176-B175)/$I$20,F175*$I$17),2))</x:f>
        <x:v>16638.26</x:v>
      </x:c>
      <x:c r="E176" s="18" t="n">
        <x:f>IF(B176="","",ROUND(C176-D176,2))</x:f>
        <x:v>9364.94</x:v>
      </x:c>
      <x:c r="F176" s="18" t="n">
        <x:f>IF(B176="","",ROUND(F175-E176,2))</x:f>
        <x:v>2689730.8</x:v>
      </x:c>
      <x:c r="G176" s="2"/>
      <x:c r="H176" s="2"/>
      <x:c r="I176" s="2"/>
    </x:row>
    <x:row r="177" ht="24" customHeight="1">
      <x:c r="A177" s="1"/>
      <x:c r="B177" s="17" t="n">
        <x:f>IF(ROW()-ROW($B$9)&lt;=$I$16,MIN($I$14,EDATE($I$15,(ROW()-ROW($B$9)-1)*$I$13)),"")</x:f>
        <x:v>49909</x:v>
      </x:c>
      <x:c r="C177" s="18" t="n">
        <x:f>IF(B177="","",IF(ROW()-ROW($B$9)=$I$16,ROUND(F176+D177,2),MIN($I$18,ROUND(F176+D177,2))))</x:f>
        <x:v>26003.2</x:v>
      </x:c>
      <x:c r="D177" s="18" t="n">
        <x:f>IF(B177="","",ROUND(IF($I$19="Факт / 365",F176*$I$12*(B177-B176)/$I$20,F176*$I$17),2))</x:f>
        <x:v>17133.22</x:v>
      </x:c>
      <x:c r="E177" s="18" t="n">
        <x:f>IF(B177="","",ROUND(C177-D177,2))</x:f>
        <x:v>8869.98</x:v>
      </x:c>
      <x:c r="F177" s="18" t="n">
        <x:f>IF(B177="","",ROUND(F176-E177,2))</x:f>
        <x:v>2680860.82</x:v>
      </x:c>
      <x:c r="G177" s="2"/>
      <x:c r="H177" s="2"/>
      <x:c r="I177" s="2"/>
    </x:row>
    <x:row r="178" ht="24" customHeight="1">
      <x:c r="A178" s="1"/>
      <x:c r="B178" s="17" t="n">
        <x:f>IF(ROW()-ROW($B$9)&lt;=$I$16,MIN($I$14,EDATE($I$15,(ROW()-ROW($B$9)-1)*$I$13)),"")</x:f>
        <x:v>49940</x:v>
      </x:c>
      <x:c r="C178" s="18" t="n">
        <x:f>IF(B178="","",IF(ROW()-ROW($B$9)=$I$16,ROUND(F177+D178,2),MIN($I$18,ROUND(F177+D178,2))))</x:f>
        <x:v>26003.2</x:v>
      </x:c>
      <x:c r="D178" s="18" t="n">
        <x:f>IF(B178="","",ROUND(IF($I$19="Факт / 365",F177*$I$12*(B178-B177)/$I$20,F177*$I$17),2))</x:f>
        <x:v>17076.72</x:v>
      </x:c>
      <x:c r="E178" s="18" t="n">
        <x:f>IF(B178="","",ROUND(C178-D178,2))</x:f>
        <x:v>8926.48</x:v>
      </x:c>
      <x:c r="F178" s="18" t="n">
        <x:f>IF(B178="","",ROUND(F177-E178,2))</x:f>
        <x:v>2671934.34</x:v>
      </x:c>
      <x:c r="G178" s="2"/>
      <x:c r="H178" s="2"/>
      <x:c r="I178" s="2"/>
    </x:row>
    <x:row r="179" ht="24" customHeight="1">
      <x:c r="A179" s="1"/>
      <x:c r="B179" s="17" t="n">
        <x:f>IF(ROW()-ROW($B$9)&lt;=$I$16,MIN($I$14,EDATE($I$15,(ROW()-ROW($B$9)-1)*$I$13)),"")</x:f>
        <x:v>49970</x:v>
      </x:c>
      <x:c r="C179" s="18" t="n">
        <x:f>IF(B179="","",IF(ROW()-ROW($B$9)=$I$16,ROUND(F178+D179,2),MIN($I$18,ROUND(F178+D179,2))))</x:f>
        <x:v>26003.2</x:v>
      </x:c>
      <x:c r="D179" s="18" t="n">
        <x:f>IF(B179="","",ROUND(IF($I$19="Факт / 365",F178*$I$12*(B179-B178)/$I$20,F178*$I$17),2))</x:f>
        <x:v>16470.83</x:v>
      </x:c>
      <x:c r="E179" s="18" t="n">
        <x:f>IF(B179="","",ROUND(C179-D179,2))</x:f>
        <x:v>9532.37</x:v>
      </x:c>
      <x:c r="F179" s="18" t="n">
        <x:f>IF(B179="","",ROUND(F178-E179,2))</x:f>
        <x:v>2662401.97</x:v>
      </x:c>
      <x:c r="G179" s="2"/>
      <x:c r="H179" s="2"/>
      <x:c r="I179" s="2"/>
    </x:row>
    <x:row r="180" ht="24" customHeight="1">
      <x:c r="A180" s="1"/>
      <x:c r="B180" s="17" t="n">
        <x:f>IF(ROW()-ROW($B$9)&lt;=$I$16,MIN($I$14,EDATE($I$15,(ROW()-ROW($B$9)-1)*$I$13)),"")</x:f>
        <x:v>50001</x:v>
      </x:c>
      <x:c r="C180" s="18" t="n">
        <x:f>IF(B180="","",IF(ROW()-ROW($B$9)=$I$16,ROUND(F179+D180,2),MIN($I$18,ROUND(F179+D180,2))))</x:f>
        <x:v>26003.2</x:v>
      </x:c>
      <x:c r="D180" s="18" t="n">
        <x:f>IF(B180="","",ROUND(IF($I$19="Факт / 365",F179*$I$12*(B180-B179)/$I$20,F179*$I$17),2))</x:f>
        <x:v>16959.14</x:v>
      </x:c>
      <x:c r="E180" s="18" t="n">
        <x:f>IF(B180="","",ROUND(C180-D180,2))</x:f>
        <x:v>9044.06</x:v>
      </x:c>
      <x:c r="F180" s="18" t="n">
        <x:f>IF(B180="","",ROUND(F179-E180,2))</x:f>
        <x:v>2653357.91</x:v>
      </x:c>
      <x:c r="G180" s="2"/>
      <x:c r="H180" s="2"/>
      <x:c r="I180" s="2"/>
    </x:row>
    <x:row r="181" ht="24" customHeight="1">
      <x:c r="A181" s="1"/>
      <x:c r="B181" s="17" t="n">
        <x:f>IF(ROW()-ROW($B$9)&lt;=$I$16,MIN($I$14,EDATE($I$15,(ROW()-ROW($B$9)-1)*$I$13)),"")</x:f>
        <x:v>50031</x:v>
      </x:c>
      <x:c r="C181" s="18" t="n">
        <x:f>IF(B181="","",IF(ROW()-ROW($B$9)=$I$16,ROUND(F180+D181,2),MIN($I$18,ROUND(F180+D181,2))))</x:f>
        <x:v>26003.2</x:v>
      </x:c>
      <x:c r="D181" s="18" t="n">
        <x:f>IF(B181="","",ROUND(IF($I$19="Факт / 365",F180*$I$12*(B181-B180)/$I$20,F180*$I$17),2))</x:f>
        <x:v>16356.32</x:v>
      </x:c>
      <x:c r="E181" s="18" t="n">
        <x:f>IF(B181="","",ROUND(C181-D181,2))</x:f>
        <x:v>9646.88</x:v>
      </x:c>
      <x:c r="F181" s="18" t="n">
        <x:f>IF(B181="","",ROUND(F180-E181,2))</x:f>
        <x:v>2643711.03</x:v>
      </x:c>
      <x:c r="G181" s="2"/>
      <x:c r="H181" s="2"/>
      <x:c r="I181" s="2"/>
    </x:row>
    <x:row r="182" ht="24" customHeight="1">
      <x:c r="A182" s="1"/>
      <x:c r="B182" s="17" t="n">
        <x:f>IF(ROW()-ROW($B$9)&lt;=$I$16,MIN($I$14,EDATE($I$15,(ROW()-ROW($B$9)-1)*$I$13)),"")</x:f>
        <x:v>50062</x:v>
      </x:c>
      <x:c r="C182" s="18" t="n">
        <x:f>IF(B182="","",IF(ROW()-ROW($B$9)=$I$16,ROUND(F181+D182,2),MIN($I$18,ROUND(F181+D182,2))))</x:f>
        <x:v>26003.2</x:v>
      </x:c>
      <x:c r="D182" s="18" t="n">
        <x:f>IF(B182="","",ROUND(IF($I$19="Факт / 365",F181*$I$12*(B182-B181)/$I$20,F181*$I$17),2))</x:f>
        <x:v>16840.08</x:v>
      </x:c>
      <x:c r="E182" s="18" t="n">
        <x:f>IF(B182="","",ROUND(C182-D182,2))</x:f>
        <x:v>9163.12</x:v>
      </x:c>
      <x:c r="F182" s="18" t="n">
        <x:f>IF(B182="","",ROUND(F181-E182,2))</x:f>
        <x:v>2634547.91</x:v>
      </x:c>
      <x:c r="G182" s="2"/>
      <x:c r="H182" s="2"/>
      <x:c r="I182" s="2"/>
    </x:row>
    <x:row r="183" ht="24" customHeight="1">
      <x:c r="A183" s="1"/>
      <x:c r="B183" s="17" t="n">
        <x:f>IF(ROW()-ROW($B$9)&lt;=$I$16,MIN($I$14,EDATE($I$15,(ROW()-ROW($B$9)-1)*$I$13)),"")</x:f>
        <x:v>50093</x:v>
      </x:c>
      <x:c r="C183" s="18" t="n">
        <x:f>IF(B183="","",IF(ROW()-ROW($B$9)=$I$16,ROUND(F182+D183,2),MIN($I$18,ROUND(F182+D183,2))))</x:f>
        <x:v>26003.2</x:v>
      </x:c>
      <x:c r="D183" s="18" t="n">
        <x:f>IF(B183="","",ROUND(IF($I$19="Факт / 365",F182*$I$12*(B183-B182)/$I$20,F182*$I$17),2))</x:f>
        <x:v>16781.71</x:v>
      </x:c>
      <x:c r="E183" s="18" t="n">
        <x:f>IF(B183="","",ROUND(C183-D183,2))</x:f>
        <x:v>9221.49</x:v>
      </x:c>
      <x:c r="F183" s="18" t="n">
        <x:f>IF(B183="","",ROUND(F182-E183,2))</x:f>
        <x:v>2625326.42</x:v>
      </x:c>
      <x:c r="G183" s="2"/>
      <x:c r="H183" s="2"/>
      <x:c r="I183" s="2"/>
    </x:row>
    <x:row r="184" ht="24" customHeight="1">
      <x:c r="A184" s="1"/>
      <x:c r="B184" s="17" t="n">
        <x:f>IF(ROW()-ROW($B$9)&lt;=$I$16,MIN($I$14,EDATE($I$15,(ROW()-ROW($B$9)-1)*$I$13)),"")</x:f>
        <x:v>50121</x:v>
      </x:c>
      <x:c r="C184" s="18" t="n">
        <x:f>IF(B184="","",IF(ROW()-ROW($B$9)=$I$16,ROUND(F183+D184,2),MIN($I$18,ROUND(F183+D184,2))))</x:f>
        <x:v>26003.2</x:v>
      </x:c>
      <x:c r="D184" s="18" t="n">
        <x:f>IF(B184="","",ROUND(IF($I$19="Факт / 365",F183*$I$12*(B184-B183)/$I$20,F183*$I$17),2))</x:f>
        <x:v>15104.62</x:v>
      </x:c>
      <x:c r="E184" s="18" t="n">
        <x:f>IF(B184="","",ROUND(C184-D184,2))</x:f>
        <x:v>10898.58</x:v>
      </x:c>
      <x:c r="F184" s="18" t="n">
        <x:f>IF(B184="","",ROUND(F183-E184,2))</x:f>
        <x:v>2614427.84</x:v>
      </x:c>
      <x:c r="G184" s="2"/>
      <x:c r="H184" s="2"/>
      <x:c r="I184" s="2"/>
    </x:row>
    <x:row r="185" ht="24" customHeight="1">
      <x:c r="A185" s="1"/>
      <x:c r="B185" s="17" t="n">
        <x:f>IF(ROW()-ROW($B$9)&lt;=$I$16,MIN($I$14,EDATE($I$15,(ROW()-ROW($B$9)-1)*$I$13)),"")</x:f>
        <x:v>50152</x:v>
      </x:c>
      <x:c r="C185" s="18" t="n">
        <x:f>IF(B185="","",IF(ROW()-ROW($B$9)=$I$16,ROUND(F184+D185,2),MIN($I$18,ROUND(F184+D185,2))))</x:f>
        <x:v>26003.2</x:v>
      </x:c>
      <x:c r="D185" s="18" t="n">
        <x:f>IF(B185="","",ROUND(IF($I$19="Факт / 365",F184*$I$12*(B185-B184)/$I$20,F184*$I$17),2))</x:f>
        <x:v>16653.55</x:v>
      </x:c>
      <x:c r="E185" s="18" t="n">
        <x:f>IF(B185="","",ROUND(C185-D185,2))</x:f>
        <x:v>9349.65</x:v>
      </x:c>
      <x:c r="F185" s="18" t="n">
        <x:f>IF(B185="","",ROUND(F184-E185,2))</x:f>
        <x:v>2605078.19</x:v>
      </x:c>
      <x:c r="G185" s="2"/>
      <x:c r="H185" s="2"/>
      <x:c r="I185" s="2"/>
    </x:row>
    <x:row r="186" ht="24" customHeight="1">
      <x:c r="A186" s="1"/>
      <x:c r="B186" s="17" t="n">
        <x:f>IF(ROW()-ROW($B$9)&lt;=$I$16,MIN($I$14,EDATE($I$15,(ROW()-ROW($B$9)-1)*$I$13)),"")</x:f>
        <x:v>50182</x:v>
      </x:c>
      <x:c r="C186" s="18" t="n">
        <x:f>IF(B186="","",IF(ROW()-ROW($B$9)=$I$16,ROUND(F185+D186,2),MIN($I$18,ROUND(F185+D186,2))))</x:f>
        <x:v>26003.2</x:v>
      </x:c>
      <x:c r="D186" s="18" t="n">
        <x:f>IF(B186="","",ROUND(IF($I$19="Факт / 365",F185*$I$12*(B186-B185)/$I$20,F185*$I$17),2))</x:f>
        <x:v>16058.7</x:v>
      </x:c>
      <x:c r="E186" s="18" t="n">
        <x:f>IF(B186="","",ROUND(C186-D186,2))</x:f>
        <x:v>9944.5</x:v>
      </x:c>
      <x:c r="F186" s="18" t="n">
        <x:f>IF(B186="","",ROUND(F185-E186,2))</x:f>
        <x:v>2595133.69</x:v>
      </x:c>
      <x:c r="G186" s="2"/>
      <x:c r="H186" s="2"/>
      <x:c r="I186" s="2"/>
    </x:row>
    <x:row r="187" ht="24" customHeight="1">
      <x:c r="A187" s="1"/>
      <x:c r="B187" s="17" t="n">
        <x:f>IF(ROW()-ROW($B$9)&lt;=$I$16,MIN($I$14,EDATE($I$15,(ROW()-ROW($B$9)-1)*$I$13)),"")</x:f>
        <x:v>50213</x:v>
      </x:c>
      <x:c r="C187" s="18" t="n">
        <x:f>IF(B187="","",IF(ROW()-ROW($B$9)=$I$16,ROUND(F186+D187,2),MIN($I$18,ROUND(F186+D187,2))))</x:f>
        <x:v>26003.2</x:v>
      </x:c>
      <x:c r="D187" s="18" t="n">
        <x:f>IF(B187="","",ROUND(IF($I$19="Факт / 365",F186*$I$12*(B187-B186)/$I$20,F186*$I$17),2))</x:f>
        <x:v>16530.65</x:v>
      </x:c>
      <x:c r="E187" s="18" t="n">
        <x:f>IF(B187="","",ROUND(C187-D187,2))</x:f>
        <x:v>9472.55</x:v>
      </x:c>
      <x:c r="F187" s="18" t="n">
        <x:f>IF(B187="","",ROUND(F186-E187,2))</x:f>
        <x:v>2585661.14</x:v>
      </x:c>
      <x:c r="G187" s="2"/>
      <x:c r="H187" s="2"/>
      <x:c r="I187" s="2"/>
    </x:row>
    <x:row r="188" ht="24" customHeight="1">
      <x:c r="A188" s="1"/>
      <x:c r="B188" s="17" t="n">
        <x:f>IF(ROW()-ROW($B$9)&lt;=$I$16,MIN($I$14,EDATE($I$15,(ROW()-ROW($B$9)-1)*$I$13)),"")</x:f>
        <x:v>50243</x:v>
      </x:c>
      <x:c r="C188" s="18" t="n">
        <x:f>IF(B188="","",IF(ROW()-ROW($B$9)=$I$16,ROUND(F187+D188,2),MIN($I$18,ROUND(F187+D188,2))))</x:f>
        <x:v>26003.2</x:v>
      </x:c>
      <x:c r="D188" s="18" t="n">
        <x:f>IF(B188="","",ROUND(IF($I$19="Факт / 365",F187*$I$12*(B188-B187)/$I$20,F187*$I$17),2))</x:f>
        <x:v>15939.01</x:v>
      </x:c>
      <x:c r="E188" s="18" t="n">
        <x:f>IF(B188="","",ROUND(C188-D188,2))</x:f>
        <x:v>10064.19</x:v>
      </x:c>
      <x:c r="F188" s="18" t="n">
        <x:f>IF(B188="","",ROUND(F187-E188,2))</x:f>
        <x:v>2575596.95</x:v>
      </x:c>
      <x:c r="G188" s="2"/>
      <x:c r="H188" s="2"/>
      <x:c r="I188" s="2"/>
    </x:row>
    <x:row r="189" ht="24" customHeight="1">
      <x:c r="A189" s="1"/>
      <x:c r="B189" s="17" t="n">
        <x:f>IF(ROW()-ROW($B$9)&lt;=$I$16,MIN($I$14,EDATE($I$15,(ROW()-ROW($B$9)-1)*$I$13)),"")</x:f>
        <x:v>50274</x:v>
      </x:c>
      <x:c r="C189" s="18" t="n">
        <x:f>IF(B189="","",IF(ROW()-ROW($B$9)=$I$16,ROUND(F188+D189,2),MIN($I$18,ROUND(F188+D189,2))))</x:f>
        <x:v>26003.2</x:v>
      </x:c>
      <x:c r="D189" s="18" t="n">
        <x:f>IF(B189="","",ROUND(IF($I$19="Факт / 365",F188*$I$12*(B189-B188)/$I$20,F188*$I$17),2))</x:f>
        <x:v>16406.2</x:v>
      </x:c>
      <x:c r="E189" s="18" t="n">
        <x:f>IF(B189="","",ROUND(C189-D189,2))</x:f>
        <x:v>9597</x:v>
      </x:c>
      <x:c r="F189" s="18" t="n">
        <x:f>IF(B189="","",ROUND(F188-E189,2))</x:f>
        <x:v>2565999.95</x:v>
      </x:c>
      <x:c r="G189" s="2"/>
      <x:c r="H189" s="2"/>
      <x:c r="I189" s="2"/>
    </x:row>
    <x:row r="190" ht="24" customHeight="1">
      <x:c r="A190" s="1"/>
      <x:c r="B190" s="17" t="n">
        <x:f>IF(ROW()-ROW($B$9)&lt;=$I$16,MIN($I$14,EDATE($I$15,(ROW()-ROW($B$9)-1)*$I$13)),"")</x:f>
        <x:v>50305</x:v>
      </x:c>
      <x:c r="C190" s="18" t="n">
        <x:f>IF(B190="","",IF(ROW()-ROW($B$9)=$I$16,ROUND(F189+D190,2),MIN($I$18,ROUND(F189+D190,2))))</x:f>
        <x:v>26003.2</x:v>
      </x:c>
      <x:c r="D190" s="18" t="n">
        <x:f>IF(B190="","",ROUND(IF($I$19="Факт / 365",F189*$I$12*(B190-B189)/$I$20,F189*$I$17),2))</x:f>
        <x:v>16345.07</x:v>
      </x:c>
      <x:c r="E190" s="18" t="n">
        <x:f>IF(B190="","",ROUND(C190-D190,2))</x:f>
        <x:v>9658.13</x:v>
      </x:c>
      <x:c r="F190" s="18" t="n">
        <x:f>IF(B190="","",ROUND(F189-E190,2))</x:f>
        <x:v>2556341.82</x:v>
      </x:c>
      <x:c r="G190" s="2"/>
      <x:c r="H190" s="2"/>
      <x:c r="I190" s="2"/>
    </x:row>
    <x:row r="191" ht="24" customHeight="1">
      <x:c r="A191" s="1"/>
      <x:c r="B191" s="17" t="n">
        <x:f>IF(ROW()-ROW($B$9)&lt;=$I$16,MIN($I$14,EDATE($I$15,(ROW()-ROW($B$9)-1)*$I$13)),"")</x:f>
        <x:v>50335</x:v>
      </x:c>
      <x:c r="C191" s="18" t="n">
        <x:f>IF(B191="","",IF(ROW()-ROW($B$9)=$I$16,ROUND(F190+D191,2),MIN($I$18,ROUND(F190+D191,2))))</x:f>
        <x:v>26003.2</x:v>
      </x:c>
      <x:c r="D191" s="18" t="n">
        <x:f>IF(B191="","",ROUND(IF($I$19="Факт / 365",F190*$I$12*(B191-B190)/$I$20,F190*$I$17),2))</x:f>
        <x:v>15758.27</x:v>
      </x:c>
      <x:c r="E191" s="18" t="n">
        <x:f>IF(B191="","",ROUND(C191-D191,2))</x:f>
        <x:v>10244.93</x:v>
      </x:c>
      <x:c r="F191" s="18" t="n">
        <x:f>IF(B191="","",ROUND(F190-E191,2))</x:f>
        <x:v>2546096.89</x:v>
      </x:c>
      <x:c r="G191" s="2"/>
      <x:c r="H191" s="2"/>
      <x:c r="I191" s="2"/>
    </x:row>
    <x:row r="192" ht="24" customHeight="1">
      <x:c r="A192" s="1"/>
      <x:c r="B192" s="17" t="n">
        <x:f>IF(ROW()-ROW($B$9)&lt;=$I$16,MIN($I$14,EDATE($I$15,(ROW()-ROW($B$9)-1)*$I$13)),"")</x:f>
        <x:v>50366</x:v>
      </x:c>
      <x:c r="C192" s="18" t="n">
        <x:f>IF(B192="","",IF(ROW()-ROW($B$9)=$I$16,ROUND(F191+D192,2),MIN($I$18,ROUND(F191+D192,2))))</x:f>
        <x:v>26003.2</x:v>
      </x:c>
      <x:c r="D192" s="18" t="n">
        <x:f>IF(B192="","",ROUND(IF($I$19="Факт / 365",F191*$I$12*(B192-B191)/$I$20,F191*$I$17),2))</x:f>
        <x:v>16218.29</x:v>
      </x:c>
      <x:c r="E192" s="18" t="n">
        <x:f>IF(B192="","",ROUND(C192-D192,2))</x:f>
        <x:v>9784.91</x:v>
      </x:c>
      <x:c r="F192" s="18" t="n">
        <x:f>IF(B192="","",ROUND(F191-E192,2))</x:f>
        <x:v>2536311.98</x:v>
      </x:c>
      <x:c r="G192" s="2"/>
      <x:c r="H192" s="2"/>
      <x:c r="I192" s="2"/>
    </x:row>
    <x:row r="193" ht="24" customHeight="1">
      <x:c r="A193" s="1"/>
      <x:c r="B193" s="17" t="n">
        <x:f>IF(ROW()-ROW($B$9)&lt;=$I$16,MIN($I$14,EDATE($I$15,(ROW()-ROW($B$9)-1)*$I$13)),"")</x:f>
        <x:v>50396</x:v>
      </x:c>
      <x:c r="C193" s="18" t="n">
        <x:f>IF(B193="","",IF(ROW()-ROW($B$9)=$I$16,ROUND(F192+D193,2),MIN($I$18,ROUND(F192+D193,2))))</x:f>
        <x:v>26003.2</x:v>
      </x:c>
      <x:c r="D193" s="18" t="n">
        <x:f>IF(B193="","",ROUND(IF($I$19="Факт / 365",F192*$I$12*(B193-B192)/$I$20,F192*$I$17),2))</x:f>
        <x:v>15634.8</x:v>
      </x:c>
      <x:c r="E193" s="18" t="n">
        <x:f>IF(B193="","",ROUND(C193-D193,2))</x:f>
        <x:v>10368.4</x:v>
      </x:c>
      <x:c r="F193" s="18" t="n">
        <x:f>IF(B193="","",ROUND(F192-E193,2))</x:f>
        <x:v>2525943.58</x:v>
      </x:c>
      <x:c r="G193" s="2"/>
      <x:c r="H193" s="2"/>
      <x:c r="I193" s="2"/>
    </x:row>
    <x:row r="194" ht="24" customHeight="1">
      <x:c r="A194" s="1"/>
      <x:c r="B194" s="17" t="n">
        <x:f>IF(ROW()-ROW($B$9)&lt;=$I$16,MIN($I$14,EDATE($I$15,(ROW()-ROW($B$9)-1)*$I$13)),"")</x:f>
        <x:v>50427</x:v>
      </x:c>
      <x:c r="C194" s="18" t="n">
        <x:f>IF(B194="","",IF(ROW()-ROW($B$9)=$I$16,ROUND(F193+D194,2),MIN($I$18,ROUND(F193+D194,2))))</x:f>
        <x:v>26003.2</x:v>
      </x:c>
      <x:c r="D194" s="18" t="n">
        <x:f>IF(B194="","",ROUND(IF($I$19="Факт / 365",F193*$I$12*(B194-B193)/$I$20,F193*$I$17),2))</x:f>
        <x:v>16089.91</x:v>
      </x:c>
      <x:c r="E194" s="18" t="n">
        <x:f>IF(B194="","",ROUND(C194-D194,2))</x:f>
        <x:v>9913.29</x:v>
      </x:c>
      <x:c r="F194" s="18" t="n">
        <x:f>IF(B194="","",ROUND(F193-E194,2))</x:f>
        <x:v>2516030.29</x:v>
      </x:c>
      <x:c r="G194" s="2"/>
      <x:c r="H194" s="2"/>
      <x:c r="I194" s="2"/>
    </x:row>
    <x:row r="195" ht="24" customHeight="1">
      <x:c r="A195" s="1"/>
      <x:c r="B195" s="17" t="n">
        <x:f>IF(ROW()-ROW($B$9)&lt;=$I$16,MIN($I$14,EDATE($I$15,(ROW()-ROW($B$9)-1)*$I$13)),"")</x:f>
        <x:v>50458</x:v>
      </x:c>
      <x:c r="C195" s="18" t="n">
        <x:f>IF(B195="","",IF(ROW()-ROW($B$9)=$I$16,ROUND(F194+D195,2),MIN($I$18,ROUND(F194+D195,2))))</x:f>
        <x:v>26003.2</x:v>
      </x:c>
      <x:c r="D195" s="18" t="n">
        <x:f>IF(B195="","",ROUND(IF($I$19="Факт / 365",F194*$I$12*(B195-B194)/$I$20,F194*$I$17),2))</x:f>
        <x:v>16026.77</x:v>
      </x:c>
      <x:c r="E195" s="18" t="n">
        <x:f>IF(B195="","",ROUND(C195-D195,2))</x:f>
        <x:v>9976.43</x:v>
      </x:c>
      <x:c r="F195" s="18" t="n">
        <x:f>IF(B195="","",ROUND(F194-E195,2))</x:f>
        <x:v>2506053.86</x:v>
      </x:c>
      <x:c r="G195" s="2"/>
      <x:c r="H195" s="2"/>
      <x:c r="I195" s="2"/>
    </x:row>
    <x:row r="196" ht="24" customHeight="1">
      <x:c r="A196" s="1"/>
      <x:c r="B196" s="17" t="n">
        <x:f>IF(ROW()-ROW($B$9)&lt;=$I$16,MIN($I$14,EDATE($I$15,(ROW()-ROW($B$9)-1)*$I$13)),"")</x:f>
        <x:v>50486</x:v>
      </x:c>
      <x:c r="C196" s="18" t="n">
        <x:f>IF(B196="","",IF(ROW()-ROW($B$9)=$I$16,ROUND(F195+D196,2),MIN($I$18,ROUND(F195+D196,2))))</x:f>
        <x:v>26003.2</x:v>
      </x:c>
      <x:c r="D196" s="18" t="n">
        <x:f>IF(B196="","",ROUND(IF($I$19="Факт / 365",F195*$I$12*(B196-B195)/$I$20,F195*$I$17),2))</x:f>
        <x:v>14418.39</x:v>
      </x:c>
      <x:c r="E196" s="18" t="n">
        <x:f>IF(B196="","",ROUND(C196-D196,2))</x:f>
        <x:v>11584.81</x:v>
      </x:c>
      <x:c r="F196" s="18" t="n">
        <x:f>IF(B196="","",ROUND(F195-E196,2))</x:f>
        <x:v>2494469.05</x:v>
      </x:c>
      <x:c r="G196" s="2"/>
      <x:c r="H196" s="2"/>
      <x:c r="I196" s="2"/>
    </x:row>
    <x:row r="197" ht="24" customHeight="1">
      <x:c r="A197" s="1"/>
      <x:c r="B197" s="17" t="n">
        <x:f>IF(ROW()-ROW($B$9)&lt;=$I$16,MIN($I$14,EDATE($I$15,(ROW()-ROW($B$9)-1)*$I$13)),"")</x:f>
        <x:v>50517</x:v>
      </x:c>
      <x:c r="C197" s="18" t="n">
        <x:f>IF(B197="","",IF(ROW()-ROW($B$9)=$I$16,ROUND(F196+D197,2),MIN($I$18,ROUND(F196+D197,2))))</x:f>
        <x:v>26003.2</x:v>
      </x:c>
      <x:c r="D197" s="18" t="n">
        <x:f>IF(B197="","",ROUND(IF($I$19="Факт / 365",F196*$I$12*(B197-B196)/$I$20,F196*$I$17),2))</x:f>
        <x:v>15889.43</x:v>
      </x:c>
      <x:c r="E197" s="18" t="n">
        <x:f>IF(B197="","",ROUND(C197-D197,2))</x:f>
        <x:v>10113.77</x:v>
      </x:c>
      <x:c r="F197" s="18" t="n">
        <x:f>IF(B197="","",ROUND(F196-E197,2))</x:f>
        <x:v>2484355.28</x:v>
      </x:c>
      <x:c r="G197" s="2"/>
      <x:c r="H197" s="2"/>
      <x:c r="I197" s="2"/>
    </x:row>
    <x:row r="198" ht="24" customHeight="1">
      <x:c r="A198" s="1"/>
      <x:c r="B198" s="17" t="n">
        <x:f>IF(ROW()-ROW($B$9)&lt;=$I$16,MIN($I$14,EDATE($I$15,(ROW()-ROW($B$9)-1)*$I$13)),"")</x:f>
        <x:v>50547</x:v>
      </x:c>
      <x:c r="C198" s="18" t="n">
        <x:f>IF(B198="","",IF(ROW()-ROW($B$9)=$I$16,ROUND(F197+D198,2),MIN($I$18,ROUND(F197+D198,2))))</x:f>
        <x:v>26003.2</x:v>
      </x:c>
      <x:c r="D198" s="18" t="n">
        <x:f>IF(B198="","",ROUND(IF($I$19="Факт / 365",F197*$I$12*(B198-B197)/$I$20,F197*$I$17),2))</x:f>
        <x:v>15314.52</x:v>
      </x:c>
      <x:c r="E198" s="18" t="n">
        <x:f>IF(B198="","",ROUND(C198-D198,2))</x:f>
        <x:v>10688.68</x:v>
      </x:c>
      <x:c r="F198" s="18" t="n">
        <x:f>IF(B198="","",ROUND(F197-E198,2))</x:f>
        <x:v>2473666.6</x:v>
      </x:c>
      <x:c r="G198" s="2"/>
      <x:c r="H198" s="2"/>
      <x:c r="I198" s="2"/>
    </x:row>
    <x:row r="199" ht="24" customHeight="1">
      <x:c r="A199" s="1"/>
      <x:c r="B199" s="17" t="n">
        <x:f>IF(ROW()-ROW($B$9)&lt;=$I$16,MIN($I$14,EDATE($I$15,(ROW()-ROW($B$9)-1)*$I$13)),"")</x:f>
        <x:v>50578</x:v>
      </x:c>
      <x:c r="C199" s="18" t="n">
        <x:f>IF(B199="","",IF(ROW()-ROW($B$9)=$I$16,ROUND(F198+D199,2),MIN($I$18,ROUND(F198+D199,2))))</x:f>
        <x:v>26003.2</x:v>
      </x:c>
      <x:c r="D199" s="18" t="n">
        <x:f>IF(B199="","",ROUND(IF($I$19="Факт / 365",F198*$I$12*(B199-B198)/$I$20,F198*$I$17),2))</x:f>
        <x:v>15756.92</x:v>
      </x:c>
      <x:c r="E199" s="18" t="n">
        <x:f>IF(B199="","",ROUND(C199-D199,2))</x:f>
        <x:v>10246.28</x:v>
      </x:c>
      <x:c r="F199" s="18" t="n">
        <x:f>IF(B199="","",ROUND(F198-E199,2))</x:f>
        <x:v>2463420.32</x:v>
      </x:c>
      <x:c r="G199" s="2"/>
      <x:c r="H199" s="2"/>
      <x:c r="I199" s="2"/>
    </x:row>
    <x:row r="200" ht="24" customHeight="1">
      <x:c r="A200" s="1"/>
      <x:c r="B200" s="17" t="n">
        <x:f>IF(ROW()-ROW($B$9)&lt;=$I$16,MIN($I$14,EDATE($I$15,(ROW()-ROW($B$9)-1)*$I$13)),"")</x:f>
        <x:v>50608</x:v>
      </x:c>
      <x:c r="C200" s="18" t="n">
        <x:f>IF(B200="","",IF(ROW()-ROW($B$9)=$I$16,ROUND(F199+D200,2),MIN($I$18,ROUND(F199+D200,2))))</x:f>
        <x:v>26003.2</x:v>
      </x:c>
      <x:c r="D200" s="18" t="n">
        <x:f>IF(B200="","",ROUND(IF($I$19="Факт / 365",F199*$I$12*(B200-B199)/$I$20,F199*$I$17),2))</x:f>
        <x:v>15185.47</x:v>
      </x:c>
      <x:c r="E200" s="18" t="n">
        <x:f>IF(B200="","",ROUND(C200-D200,2))</x:f>
        <x:v>10817.73</x:v>
      </x:c>
      <x:c r="F200" s="18" t="n">
        <x:f>IF(B200="","",ROUND(F199-E200,2))</x:f>
        <x:v>2452602.59</x:v>
      </x:c>
      <x:c r="G200" s="2"/>
      <x:c r="H200" s="2"/>
      <x:c r="I200" s="2"/>
    </x:row>
    <x:row r="201" ht="24" customHeight="1">
      <x:c r="A201" s="1"/>
      <x:c r="B201" s="17" t="n">
        <x:f>IF(ROW()-ROW($B$9)&lt;=$I$16,MIN($I$14,EDATE($I$15,(ROW()-ROW($B$9)-1)*$I$13)),"")</x:f>
        <x:v>50639</x:v>
      </x:c>
      <x:c r="C201" s="18" t="n">
        <x:f>IF(B201="","",IF(ROW()-ROW($B$9)=$I$16,ROUND(F200+D201,2),MIN($I$18,ROUND(F200+D201,2))))</x:f>
        <x:v>26003.2</x:v>
      </x:c>
      <x:c r="D201" s="18" t="n">
        <x:f>IF(B201="","",ROUND(IF($I$19="Факт / 365",F200*$I$12*(B201-B200)/$I$20,F200*$I$17),2))</x:f>
        <x:v>15622.74</x:v>
      </x:c>
      <x:c r="E201" s="18" t="n">
        <x:f>IF(B201="","",ROUND(C201-D201,2))</x:f>
        <x:v>10380.46</x:v>
      </x:c>
      <x:c r="F201" s="18" t="n">
        <x:f>IF(B201="","",ROUND(F200-E201,2))</x:f>
        <x:v>2442222.13</x:v>
      </x:c>
      <x:c r="G201" s="2"/>
      <x:c r="H201" s="2"/>
      <x:c r="I201" s="2"/>
    </x:row>
    <x:row r="202" ht="24" customHeight="1">
      <x:c r="A202" s="1"/>
      <x:c r="B202" s="17" t="n">
        <x:f>IF(ROW()-ROW($B$9)&lt;=$I$16,MIN($I$14,EDATE($I$15,(ROW()-ROW($B$9)-1)*$I$13)),"")</x:f>
        <x:v>50670</x:v>
      </x:c>
      <x:c r="C202" s="18" t="n">
        <x:f>IF(B202="","",IF(ROW()-ROW($B$9)=$I$16,ROUND(F201+D202,2),MIN($I$18,ROUND(F201+D202,2))))</x:f>
        <x:v>26003.2</x:v>
      </x:c>
      <x:c r="D202" s="18" t="n">
        <x:f>IF(B202="","",ROUND(IF($I$19="Факт / 365",F201*$I$12*(B202-B201)/$I$20,F201*$I$17),2))</x:f>
        <x:v>15556.62</x:v>
      </x:c>
      <x:c r="E202" s="18" t="n">
        <x:f>IF(B202="","",ROUND(C202-D202,2))</x:f>
        <x:v>10446.58</x:v>
      </x:c>
      <x:c r="F202" s="18" t="n">
        <x:f>IF(B202="","",ROUND(F201-E202,2))</x:f>
        <x:v>2431775.55</x:v>
      </x:c>
      <x:c r="G202" s="2"/>
      <x:c r="H202" s="2"/>
      <x:c r="I202" s="2"/>
    </x:row>
    <x:row r="203" ht="24" customHeight="1">
      <x:c r="A203" s="1"/>
      <x:c r="B203" s="17" t="n">
        <x:f>IF(ROW()-ROW($B$9)&lt;=$I$16,MIN($I$14,EDATE($I$15,(ROW()-ROW($B$9)-1)*$I$13)),"")</x:f>
        <x:v>50700</x:v>
      </x:c>
      <x:c r="C203" s="18" t="n">
        <x:f>IF(B203="","",IF(ROW()-ROW($B$9)=$I$16,ROUND(F202+D203,2),MIN($I$18,ROUND(F202+D203,2))))</x:f>
        <x:v>26003.2</x:v>
      </x:c>
      <x:c r="D203" s="18" t="n">
        <x:f>IF(B203="","",ROUND(IF($I$19="Факт / 365",F202*$I$12*(B203-B202)/$I$20,F202*$I$17),2))</x:f>
        <x:v>14990.4</x:v>
      </x:c>
      <x:c r="E203" s="18" t="n">
        <x:f>IF(B203="","",ROUND(C203-D203,2))</x:f>
        <x:v>11012.8</x:v>
      </x:c>
      <x:c r="F203" s="18" t="n">
        <x:f>IF(B203="","",ROUND(F202-E203,2))</x:f>
        <x:v>2420762.75</x:v>
      </x:c>
      <x:c r="G203" s="2"/>
      <x:c r="H203" s="2"/>
      <x:c r="I203" s="2"/>
    </x:row>
    <x:row r="204" ht="24" customHeight="1">
      <x:c r="A204" s="1"/>
      <x:c r="B204" s="17" t="n">
        <x:f>IF(ROW()-ROW($B$9)&lt;=$I$16,MIN($I$14,EDATE($I$15,(ROW()-ROW($B$9)-1)*$I$13)),"")</x:f>
        <x:v>50731</x:v>
      </x:c>
      <x:c r="C204" s="18" t="n">
        <x:f>IF(B204="","",IF(ROW()-ROW($B$9)=$I$16,ROUND(F203+D204,2),MIN($I$18,ROUND(F203+D204,2))))</x:f>
        <x:v>26003.2</x:v>
      </x:c>
      <x:c r="D204" s="18" t="n">
        <x:f>IF(B204="","",ROUND(IF($I$19="Факт / 365",F203*$I$12*(B204-B203)/$I$20,F203*$I$17),2))</x:f>
        <x:v>15419.93</x:v>
      </x:c>
      <x:c r="E204" s="18" t="n">
        <x:f>IF(B204="","",ROUND(C204-D204,2))</x:f>
        <x:v>10583.27</x:v>
      </x:c>
      <x:c r="F204" s="18" t="n">
        <x:f>IF(B204="","",ROUND(F203-E204,2))</x:f>
        <x:v>2410179.48</x:v>
      </x:c>
      <x:c r="G204" s="2"/>
      <x:c r="H204" s="2"/>
      <x:c r="I204" s="2"/>
    </x:row>
    <x:row r="205" ht="24" customHeight="1">
      <x:c r="A205" s="1"/>
      <x:c r="B205" s="17" t="n">
        <x:f>IF(ROW()-ROW($B$9)&lt;=$I$16,MIN($I$14,EDATE($I$15,(ROW()-ROW($B$9)-1)*$I$13)),"")</x:f>
        <x:v>50761</x:v>
      </x:c>
      <x:c r="C205" s="18" t="n">
        <x:f>IF(B205="","",IF(ROW()-ROW($B$9)=$I$16,ROUND(F204+D205,2),MIN($I$18,ROUND(F204+D205,2))))</x:f>
        <x:v>26003.2</x:v>
      </x:c>
      <x:c r="D205" s="18" t="n">
        <x:f>IF(B205="","",ROUND(IF($I$19="Факт / 365",F204*$I$12*(B205-B204)/$I$20,F204*$I$17),2))</x:f>
        <x:v>14857.27</x:v>
      </x:c>
      <x:c r="E205" s="18" t="n">
        <x:f>IF(B205="","",ROUND(C205-D205,2))</x:f>
        <x:v>11145.93</x:v>
      </x:c>
      <x:c r="F205" s="18" t="n">
        <x:f>IF(B205="","",ROUND(F204-E205,2))</x:f>
        <x:v>2399033.55</x:v>
      </x:c>
      <x:c r="G205" s="2"/>
      <x:c r="H205" s="2"/>
      <x:c r="I205" s="2"/>
    </x:row>
    <x:row r="206" ht="24" customHeight="1">
      <x:c r="A206" s="1"/>
      <x:c r="B206" s="17" t="n">
        <x:f>IF(ROW()-ROW($B$9)&lt;=$I$16,MIN($I$14,EDATE($I$15,(ROW()-ROW($B$9)-1)*$I$13)),"")</x:f>
        <x:v>50792</x:v>
      </x:c>
      <x:c r="C206" s="18" t="n">
        <x:f>IF(B206="","",IF(ROW()-ROW($B$9)=$I$16,ROUND(F205+D206,2),MIN($I$18,ROUND(F205+D206,2))))</x:f>
        <x:v>26003.2</x:v>
      </x:c>
      <x:c r="D206" s="18" t="n">
        <x:f>IF(B206="","",ROUND(IF($I$19="Факт / 365",F205*$I$12*(B206-B205)/$I$20,F205*$I$17),2))</x:f>
        <x:v>15281.52</x:v>
      </x:c>
      <x:c r="E206" s="18" t="n">
        <x:f>IF(B206="","",ROUND(C206-D206,2))</x:f>
        <x:v>10721.68</x:v>
      </x:c>
      <x:c r="F206" s="18" t="n">
        <x:f>IF(B206="","",ROUND(F205-E206,2))</x:f>
        <x:v>2388311.87</x:v>
      </x:c>
      <x:c r="G206" s="2"/>
      <x:c r="H206" s="2"/>
      <x:c r="I206" s="2"/>
    </x:row>
    <x:row r="207" ht="24" customHeight="1">
      <x:c r="A207" s="1"/>
      <x:c r="B207" s="17" t="n">
        <x:f>IF(ROW()-ROW($B$9)&lt;=$I$16,MIN($I$14,EDATE($I$15,(ROW()-ROW($B$9)-1)*$I$13)),"")</x:f>
        <x:v>50823</x:v>
      </x:c>
      <x:c r="C207" s="18" t="n">
        <x:f>IF(B207="","",IF(ROW()-ROW($B$9)=$I$16,ROUND(F206+D207,2),MIN($I$18,ROUND(F206+D207,2))))</x:f>
        <x:v>26003.2</x:v>
      </x:c>
      <x:c r="D207" s="18" t="n">
        <x:f>IF(B207="","",ROUND(IF($I$19="Факт / 365",F206*$I$12*(B207-B206)/$I$20,F206*$I$17),2))</x:f>
        <x:v>15213.22</x:v>
      </x:c>
      <x:c r="E207" s="18" t="n">
        <x:f>IF(B207="","",ROUND(C207-D207,2))</x:f>
        <x:v>10789.98</x:v>
      </x:c>
      <x:c r="F207" s="18" t="n">
        <x:f>IF(B207="","",ROUND(F206-E207,2))</x:f>
        <x:v>2377521.89</x:v>
      </x:c>
      <x:c r="G207" s="2"/>
      <x:c r="H207" s="2"/>
      <x:c r="I207" s="2"/>
    </x:row>
    <x:row r="208" ht="24" customHeight="1">
      <x:c r="A208" s="1"/>
      <x:c r="B208" s="17" t="n">
        <x:f>IF(ROW()-ROW($B$9)&lt;=$I$16,MIN($I$14,EDATE($I$15,(ROW()-ROW($B$9)-1)*$I$13)),"")</x:f>
        <x:v>50851</x:v>
      </x:c>
      <x:c r="C208" s="18" t="n">
        <x:f>IF(B208="","",IF(ROW()-ROW($B$9)=$I$16,ROUND(F207+D208,2),MIN($I$18,ROUND(F207+D208,2))))</x:f>
        <x:v>26003.2</x:v>
      </x:c>
      <x:c r="D208" s="18" t="n">
        <x:f>IF(B208="","",ROUND(IF($I$19="Факт / 365",F207*$I$12*(B208-B207)/$I$20,F207*$I$17),2))</x:f>
        <x:v>13678.89</x:v>
      </x:c>
      <x:c r="E208" s="18" t="n">
        <x:f>IF(B208="","",ROUND(C208-D208,2))</x:f>
        <x:v>12324.31</x:v>
      </x:c>
      <x:c r="F208" s="18" t="n">
        <x:f>IF(B208="","",ROUND(F207-E208,2))</x:f>
        <x:v>2365197.58</x:v>
      </x:c>
      <x:c r="G208" s="2"/>
      <x:c r="H208" s="2"/>
      <x:c r="I208" s="2"/>
    </x:row>
    <x:row r="209" ht="24" customHeight="1">
      <x:c r="A209" s="1"/>
      <x:c r="B209" s="17" t="n">
        <x:f>IF(ROW()-ROW($B$9)&lt;=$I$16,MIN($I$14,EDATE($I$15,(ROW()-ROW($B$9)-1)*$I$13)),"")</x:f>
        <x:v>50882</x:v>
      </x:c>
      <x:c r="C209" s="18" t="n">
        <x:f>IF(B209="","",IF(ROW()-ROW($B$9)=$I$16,ROUND(F208+D209,2),MIN($I$18,ROUND(F208+D209,2))))</x:f>
        <x:v>26003.2</x:v>
      </x:c>
      <x:c r="D209" s="18" t="n">
        <x:f>IF(B209="","",ROUND(IF($I$19="Факт / 365",F208*$I$12*(B209-B208)/$I$20,F208*$I$17),2))</x:f>
        <x:v>15065.98</x:v>
      </x:c>
      <x:c r="E209" s="18" t="n">
        <x:f>IF(B209="","",ROUND(C209-D209,2))</x:f>
        <x:v>10937.22</x:v>
      </x:c>
      <x:c r="F209" s="18" t="n">
        <x:f>IF(B209="","",ROUND(F208-E209,2))</x:f>
        <x:v>2354260.36</x:v>
      </x:c>
      <x:c r="G209" s="2"/>
      <x:c r="H209" s="2"/>
      <x:c r="I209" s="2"/>
    </x:row>
    <x:row r="210" ht="24" customHeight="1">
      <x:c r="A210" s="1"/>
      <x:c r="B210" s="17" t="n">
        <x:f>IF(ROW()-ROW($B$9)&lt;=$I$16,MIN($I$14,EDATE($I$15,(ROW()-ROW($B$9)-1)*$I$13)),"")</x:f>
        <x:v>50912</x:v>
      </x:c>
      <x:c r="C210" s="18" t="n">
        <x:f>IF(B210="","",IF(ROW()-ROW($B$9)=$I$16,ROUND(F209+D210,2),MIN($I$18,ROUND(F209+D210,2))))</x:f>
        <x:v>26003.2</x:v>
      </x:c>
      <x:c r="D210" s="18" t="n">
        <x:f>IF(B210="","",ROUND(IF($I$19="Факт / 365",F209*$I$12*(B210-B209)/$I$20,F209*$I$17),2))</x:f>
        <x:v>14512.56</x:v>
      </x:c>
      <x:c r="E210" s="18" t="n">
        <x:f>IF(B210="","",ROUND(C210-D210,2))</x:f>
        <x:v>11490.64</x:v>
      </x:c>
      <x:c r="F210" s="18" t="n">
        <x:f>IF(B210="","",ROUND(F209-E210,2))</x:f>
        <x:v>2342769.72</x:v>
      </x:c>
      <x:c r="G210" s="2"/>
      <x:c r="H210" s="2"/>
      <x:c r="I210" s="2"/>
    </x:row>
    <x:row r="211" ht="24" customHeight="1">
      <x:c r="A211" s="1"/>
      <x:c r="B211" s="17" t="n">
        <x:f>IF(ROW()-ROW($B$9)&lt;=$I$16,MIN($I$14,EDATE($I$15,(ROW()-ROW($B$9)-1)*$I$13)),"")</x:f>
        <x:v>50943</x:v>
      </x:c>
      <x:c r="C211" s="18" t="n">
        <x:f>IF(B211="","",IF(ROW()-ROW($B$9)=$I$16,ROUND(F210+D211,2),MIN($I$18,ROUND(F210+D211,2))))</x:f>
        <x:v>26003.2</x:v>
      </x:c>
      <x:c r="D211" s="18" t="n">
        <x:f>IF(B211="","",ROUND(IF($I$19="Факт / 365",F210*$I$12*(B211-B210)/$I$20,F210*$I$17),2))</x:f>
        <x:v>14923.12</x:v>
      </x:c>
      <x:c r="E211" s="18" t="n">
        <x:f>IF(B211="","",ROUND(C211-D211,2))</x:f>
        <x:v>11080.08</x:v>
      </x:c>
      <x:c r="F211" s="18" t="n">
        <x:f>IF(B211="","",ROUND(F210-E211,2))</x:f>
        <x:v>2331689.64</x:v>
      </x:c>
      <x:c r="G211" s="2"/>
      <x:c r="H211" s="2"/>
      <x:c r="I211" s="2"/>
    </x:row>
    <x:row r="212" ht="24" customHeight="1">
      <x:c r="A212" s="1"/>
      <x:c r="B212" s="17" t="n">
        <x:f>IF(ROW()-ROW($B$9)&lt;=$I$16,MIN($I$14,EDATE($I$15,(ROW()-ROW($B$9)-1)*$I$13)),"")</x:f>
        <x:v>50973</x:v>
      </x:c>
      <x:c r="C212" s="18" t="n">
        <x:f>IF(B212="","",IF(ROW()-ROW($B$9)=$I$16,ROUND(F211+D212,2),MIN($I$18,ROUND(F211+D212,2))))</x:f>
        <x:v>26003.2</x:v>
      </x:c>
      <x:c r="D212" s="18" t="n">
        <x:f>IF(B212="","",ROUND(IF($I$19="Факт / 365",F211*$I$12*(B212-B211)/$I$20,F211*$I$17),2))</x:f>
        <x:v>14373.43</x:v>
      </x:c>
      <x:c r="E212" s="18" t="n">
        <x:f>IF(B212="","",ROUND(C212-D212,2))</x:f>
        <x:v>11629.77</x:v>
      </x:c>
      <x:c r="F212" s="18" t="n">
        <x:f>IF(B212="","",ROUND(F211-E212,2))</x:f>
        <x:v>2320059.87</x:v>
      </x:c>
      <x:c r="G212" s="2"/>
      <x:c r="H212" s="2"/>
      <x:c r="I212" s="2"/>
    </x:row>
    <x:row r="213" ht="24" customHeight="1">
      <x:c r="A213" s="1"/>
      <x:c r="B213" s="17" t="n">
        <x:f>IF(ROW()-ROW($B$9)&lt;=$I$16,MIN($I$14,EDATE($I$15,(ROW()-ROW($B$9)-1)*$I$13)),"")</x:f>
        <x:v>51004</x:v>
      </x:c>
      <x:c r="C213" s="18" t="n">
        <x:f>IF(B213="","",IF(ROW()-ROW($B$9)=$I$16,ROUND(F212+D213,2),MIN($I$18,ROUND(F212+D213,2))))</x:f>
        <x:v>26003.2</x:v>
      </x:c>
      <x:c r="D213" s="18" t="n">
        <x:f>IF(B213="","",ROUND(IF($I$19="Факт / 365",F212*$I$12*(B213-B212)/$I$20,F212*$I$17),2))</x:f>
        <x:v>14778.46</x:v>
      </x:c>
      <x:c r="E213" s="18" t="n">
        <x:f>IF(B213="","",ROUND(C213-D213,2))</x:f>
        <x:v>11224.74</x:v>
      </x:c>
      <x:c r="F213" s="18" t="n">
        <x:f>IF(B213="","",ROUND(F212-E213,2))</x:f>
        <x:v>2308835.13</x:v>
      </x:c>
      <x:c r="G213" s="2"/>
      <x:c r="H213" s="2"/>
      <x:c r="I213" s="2"/>
    </x:row>
    <x:row r="214" ht="24" customHeight="1">
      <x:c r="A214" s="1"/>
      <x:c r="B214" s="17" t="n">
        <x:f>IF(ROW()-ROW($B$9)&lt;=$I$16,MIN($I$14,EDATE($I$15,(ROW()-ROW($B$9)-1)*$I$13)),"")</x:f>
        <x:v>51035</x:v>
      </x:c>
      <x:c r="C214" s="18" t="n">
        <x:f>IF(B214="","",IF(ROW()-ROW($B$9)=$I$16,ROUND(F213+D214,2),MIN($I$18,ROUND(F213+D214,2))))</x:f>
        <x:v>26003.2</x:v>
      </x:c>
      <x:c r="D214" s="18" t="n">
        <x:f>IF(B214="","",ROUND(IF($I$19="Факт / 365",F213*$I$12*(B214-B213)/$I$20,F213*$I$17),2))</x:f>
        <x:v>14706.96</x:v>
      </x:c>
      <x:c r="E214" s="18" t="n">
        <x:f>IF(B214="","",ROUND(C214-D214,2))</x:f>
        <x:v>11296.24</x:v>
      </x:c>
      <x:c r="F214" s="18" t="n">
        <x:f>IF(B214="","",ROUND(F213-E214,2))</x:f>
        <x:v>2297538.89</x:v>
      </x:c>
      <x:c r="G214" s="2"/>
      <x:c r="H214" s="2"/>
      <x:c r="I214" s="2"/>
    </x:row>
    <x:row r="215" ht="24" customHeight="1">
      <x:c r="A215" s="1"/>
      <x:c r="B215" s="17" t="n">
        <x:f>IF(ROW()-ROW($B$9)&lt;=$I$16,MIN($I$14,EDATE($I$15,(ROW()-ROW($B$9)-1)*$I$13)),"")</x:f>
        <x:v>51065</x:v>
      </x:c>
      <x:c r="C215" s="18" t="n">
        <x:f>IF(B215="","",IF(ROW()-ROW($B$9)=$I$16,ROUND(F214+D215,2),MIN($I$18,ROUND(F214+D215,2))))</x:f>
        <x:v>26003.2</x:v>
      </x:c>
      <x:c r="D215" s="18" t="n">
        <x:f>IF(B215="","",ROUND(IF($I$19="Факт / 365",F214*$I$12*(B215-B214)/$I$20,F214*$I$17),2))</x:f>
        <x:v>14162.91</x:v>
      </x:c>
      <x:c r="E215" s="18" t="n">
        <x:f>IF(B215="","",ROUND(C215-D215,2))</x:f>
        <x:v>11840.29</x:v>
      </x:c>
      <x:c r="F215" s="18" t="n">
        <x:f>IF(B215="","",ROUND(F214-E215,2))</x:f>
        <x:v>2285698.6</x:v>
      </x:c>
      <x:c r="G215" s="2"/>
      <x:c r="H215" s="2"/>
      <x:c r="I215" s="2"/>
    </x:row>
    <x:row r="216" ht="24" customHeight="1">
      <x:c r="A216" s="1"/>
      <x:c r="B216" s="17" t="n">
        <x:f>IF(ROW()-ROW($B$9)&lt;=$I$16,MIN($I$14,EDATE($I$15,(ROW()-ROW($B$9)-1)*$I$13)),"")</x:f>
        <x:v>51096</x:v>
      </x:c>
      <x:c r="C216" s="18" t="n">
        <x:f>IF(B216="","",IF(ROW()-ROW($B$9)=$I$16,ROUND(F215+D216,2),MIN($I$18,ROUND(F215+D216,2))))</x:f>
        <x:v>26003.2</x:v>
      </x:c>
      <x:c r="D216" s="18" t="n">
        <x:f>IF(B216="","",ROUND(IF($I$19="Факт / 365",F215*$I$12*(B216-B215)/$I$20,F215*$I$17),2))</x:f>
        <x:v>14559.59</x:v>
      </x:c>
      <x:c r="E216" s="18" t="n">
        <x:f>IF(B216="","",ROUND(C216-D216,2))</x:f>
        <x:v>11443.61</x:v>
      </x:c>
      <x:c r="F216" s="18" t="n">
        <x:f>IF(B216="","",ROUND(F215-E216,2))</x:f>
        <x:v>2274254.99</x:v>
      </x:c>
      <x:c r="G216" s="2"/>
      <x:c r="H216" s="2"/>
      <x:c r="I216" s="2"/>
    </x:row>
    <x:row r="217" ht="24" customHeight="1">
      <x:c r="A217" s="1"/>
      <x:c r="B217" s="17" t="n">
        <x:f>IF(ROW()-ROW($B$9)&lt;=$I$16,MIN($I$14,EDATE($I$15,(ROW()-ROW($B$9)-1)*$I$13)),"")</x:f>
        <x:v>51126</x:v>
      </x:c>
      <x:c r="C217" s="18" t="n">
        <x:f>IF(B217="","",IF(ROW()-ROW($B$9)=$I$16,ROUND(F216+D217,2),MIN($I$18,ROUND(F216+D217,2))))</x:f>
        <x:v>26003.2</x:v>
      </x:c>
      <x:c r="D217" s="18" t="n">
        <x:f>IF(B217="","",ROUND(IF($I$19="Факт / 365",F216*$I$12*(B217-B216)/$I$20,F216*$I$17),2))</x:f>
        <x:v>14019.38</x:v>
      </x:c>
      <x:c r="E217" s="18" t="n">
        <x:f>IF(B217="","",ROUND(C217-D217,2))</x:f>
        <x:v>11983.82</x:v>
      </x:c>
      <x:c r="F217" s="18" t="n">
        <x:f>IF(B217="","",ROUND(F216-E217,2))</x:f>
        <x:v>2262271.17</x:v>
      </x:c>
      <x:c r="G217" s="2"/>
      <x:c r="H217" s="2"/>
      <x:c r="I217" s="2"/>
    </x:row>
    <x:row r="218" ht="24" customHeight="1">
      <x:c r="A218" s="1"/>
      <x:c r="B218" s="17" t="n">
        <x:f>IF(ROW()-ROW($B$9)&lt;=$I$16,MIN($I$14,EDATE($I$15,(ROW()-ROW($B$9)-1)*$I$13)),"")</x:f>
        <x:v>51157</x:v>
      </x:c>
      <x:c r="C218" s="18" t="n">
        <x:f>IF(B218="","",IF(ROW()-ROW($B$9)=$I$16,ROUND(F217+D218,2),MIN($I$18,ROUND(F217+D218,2))))</x:f>
        <x:v>26003.2</x:v>
      </x:c>
      <x:c r="D218" s="18" t="n">
        <x:f>IF(B218="","",ROUND(IF($I$19="Факт / 365",F217*$I$12*(B218-B217)/$I$20,F217*$I$17),2))</x:f>
        <x:v>14410.36</x:v>
      </x:c>
      <x:c r="E218" s="18" t="n">
        <x:f>IF(B218="","",ROUND(C218-D218,2))</x:f>
        <x:v>11592.84</x:v>
      </x:c>
      <x:c r="F218" s="18" t="n">
        <x:f>IF(B218="","",ROUND(F217-E218,2))</x:f>
        <x:v>2250678.33</x:v>
      </x:c>
      <x:c r="G218" s="2"/>
      <x:c r="H218" s="2"/>
      <x:c r="I218" s="2"/>
    </x:row>
    <x:row r="219" ht="24" customHeight="1">
      <x:c r="A219" s="1"/>
      <x:c r="B219" s="17" t="n">
        <x:f>IF(ROW()-ROW($B$9)&lt;=$I$16,MIN($I$14,EDATE($I$15,(ROW()-ROW($B$9)-1)*$I$13)),"")</x:f>
        <x:v>51188</x:v>
      </x:c>
      <x:c r="C219" s="18" t="n">
        <x:f>IF(B219="","",IF(ROW()-ROW($B$9)=$I$16,ROUND(F218+D219,2),MIN($I$18,ROUND(F218+D219,2))))</x:f>
        <x:v>26003.2</x:v>
      </x:c>
      <x:c r="D219" s="18" t="n">
        <x:f>IF(B219="","",ROUND(IF($I$19="Факт / 365",F218*$I$12*(B219-B218)/$I$20,F218*$I$17),2))</x:f>
        <x:v>14336.51</x:v>
      </x:c>
      <x:c r="E219" s="18" t="n">
        <x:f>IF(B219="","",ROUND(C219-D219,2))</x:f>
        <x:v>11666.69</x:v>
      </x:c>
      <x:c r="F219" s="18" t="n">
        <x:f>IF(B219="","",ROUND(F218-E219,2))</x:f>
        <x:v>2239011.64</x:v>
      </x:c>
      <x:c r="G219" s="2"/>
      <x:c r="H219" s="2"/>
      <x:c r="I219" s="2"/>
    </x:row>
    <x:row r="220" ht="24" customHeight="1">
      <x:c r="A220" s="1"/>
      <x:c r="B220" s="17" t="n">
        <x:f>IF(ROW()-ROW($B$9)&lt;=$I$16,MIN($I$14,EDATE($I$15,(ROW()-ROW($B$9)-1)*$I$13)),"")</x:f>
        <x:v>51217</x:v>
      </x:c>
      <x:c r="C220" s="18" t="n">
        <x:f>IF(B220="","",IF(ROW()-ROW($B$9)=$I$16,ROUND(F219+D220,2),MIN($I$18,ROUND(F219+D220,2))))</x:f>
        <x:v>26003.2</x:v>
      </x:c>
      <x:c r="D220" s="18" t="n">
        <x:f>IF(B220="","",ROUND(IF($I$19="Факт / 365",F219*$I$12*(B220-B219)/$I$20,F219*$I$17),2))</x:f>
        <x:v>13342.06</x:v>
      </x:c>
      <x:c r="E220" s="18" t="n">
        <x:f>IF(B220="","",ROUND(C220-D220,2))</x:f>
        <x:v>12661.14</x:v>
      </x:c>
      <x:c r="F220" s="18" t="n">
        <x:f>IF(B220="","",ROUND(F219-E220,2))</x:f>
        <x:v>2226350.5</x:v>
      </x:c>
      <x:c r="G220" s="2"/>
      <x:c r="H220" s="2"/>
      <x:c r="I220" s="2"/>
    </x:row>
    <x:row r="221" ht="24" customHeight="1">
      <x:c r="A221" s="1"/>
      <x:c r="B221" s="17" t="n">
        <x:f>IF(ROW()-ROW($B$9)&lt;=$I$16,MIN($I$14,EDATE($I$15,(ROW()-ROW($B$9)-1)*$I$13)),"")</x:f>
        <x:v>51248</x:v>
      </x:c>
      <x:c r="C221" s="18" t="n">
        <x:f>IF(B221="","",IF(ROW()-ROW($B$9)=$I$16,ROUND(F220+D221,2),MIN($I$18,ROUND(F220+D221,2))))</x:f>
        <x:v>26003.2</x:v>
      </x:c>
      <x:c r="D221" s="18" t="n">
        <x:f>IF(B221="","",ROUND(IF($I$19="Факт / 365",F220*$I$12*(B221-B220)/$I$20,F220*$I$17),2))</x:f>
        <x:v>14181.55</x:v>
      </x:c>
      <x:c r="E221" s="18" t="n">
        <x:f>IF(B221="","",ROUND(C221-D221,2))</x:f>
        <x:v>11821.65</x:v>
      </x:c>
      <x:c r="F221" s="18" t="n">
        <x:f>IF(B221="","",ROUND(F220-E221,2))</x:f>
        <x:v>2214528.85</x:v>
      </x:c>
      <x:c r="G221" s="2"/>
      <x:c r="H221" s="2"/>
      <x:c r="I221" s="2"/>
    </x:row>
    <x:row r="222" ht="24" customHeight="1">
      <x:c r="A222" s="1"/>
      <x:c r="B222" s="17" t="n">
        <x:f>IF(ROW()-ROW($B$9)&lt;=$I$16,MIN($I$14,EDATE($I$15,(ROW()-ROW($B$9)-1)*$I$13)),"")</x:f>
        <x:v>51278</x:v>
      </x:c>
      <x:c r="C222" s="18" t="n">
        <x:f>IF(B222="","",IF(ROW()-ROW($B$9)=$I$16,ROUND(F221+D222,2),MIN($I$18,ROUND(F221+D222,2))))</x:f>
        <x:v>26003.2</x:v>
      </x:c>
      <x:c r="D222" s="18" t="n">
        <x:f>IF(B222="","",ROUND(IF($I$19="Факт / 365",F221*$I$12*(B222-B221)/$I$20,F221*$I$17),2))</x:f>
        <x:v>13651.21</x:v>
      </x:c>
      <x:c r="E222" s="18" t="n">
        <x:f>IF(B222="","",ROUND(C222-D222,2))</x:f>
        <x:v>12351.99</x:v>
      </x:c>
      <x:c r="F222" s="18" t="n">
        <x:f>IF(B222="","",ROUND(F221-E222,2))</x:f>
        <x:v>2202176.86</x:v>
      </x:c>
      <x:c r="G222" s="2"/>
      <x:c r="H222" s="2"/>
      <x:c r="I222" s="2"/>
    </x:row>
    <x:row r="223" ht="24" customHeight="1">
      <x:c r="A223" s="1"/>
      <x:c r="B223" s="17" t="n">
        <x:f>IF(ROW()-ROW($B$9)&lt;=$I$16,MIN($I$14,EDATE($I$15,(ROW()-ROW($B$9)-1)*$I$13)),"")</x:f>
        <x:v>51309</x:v>
      </x:c>
      <x:c r="C223" s="18" t="n">
        <x:f>IF(B223="","",IF(ROW()-ROW($B$9)=$I$16,ROUND(F222+D223,2),MIN($I$18,ROUND(F222+D223,2))))</x:f>
        <x:v>26003.2</x:v>
      </x:c>
      <x:c r="D223" s="18" t="n">
        <x:f>IF(B223="","",ROUND(IF($I$19="Факт / 365",F222*$I$12*(B223-B222)/$I$20,F222*$I$17),2))</x:f>
        <x:v>14027.56</x:v>
      </x:c>
      <x:c r="E223" s="18" t="n">
        <x:f>IF(B223="","",ROUND(C223-D223,2))</x:f>
        <x:v>11975.64</x:v>
      </x:c>
      <x:c r="F223" s="18" t="n">
        <x:f>IF(B223="","",ROUND(F222-E223,2))</x:f>
        <x:v>2190201.22</x:v>
      </x:c>
      <x:c r="G223" s="2"/>
      <x:c r="H223" s="2"/>
      <x:c r="I223" s="2"/>
    </x:row>
    <x:row r="224" ht="24" customHeight="1">
      <x:c r="A224" s="1"/>
      <x:c r="B224" s="17" t="n">
        <x:f>IF(ROW()-ROW($B$9)&lt;=$I$16,MIN($I$14,EDATE($I$15,(ROW()-ROW($B$9)-1)*$I$13)),"")</x:f>
        <x:v>51339</x:v>
      </x:c>
      <x:c r="C224" s="18" t="n">
        <x:f>IF(B224="","",IF(ROW()-ROW($B$9)=$I$16,ROUND(F223+D224,2),MIN($I$18,ROUND(F223+D224,2))))</x:f>
        <x:v>26003.2</x:v>
      </x:c>
      <x:c r="D224" s="18" t="n">
        <x:f>IF(B224="","",ROUND(IF($I$19="Факт / 365",F223*$I$12*(B224-B223)/$I$20,F223*$I$17),2))</x:f>
        <x:v>13501.24</x:v>
      </x:c>
      <x:c r="E224" s="18" t="n">
        <x:f>IF(B224="","",ROUND(C224-D224,2))</x:f>
        <x:v>12501.96</x:v>
      </x:c>
      <x:c r="F224" s="18" t="n">
        <x:f>IF(B224="","",ROUND(F223-E224,2))</x:f>
        <x:v>2177699.26</x:v>
      </x:c>
      <x:c r="G224" s="2"/>
      <x:c r="H224" s="2"/>
      <x:c r="I224" s="2"/>
    </x:row>
    <x:row r="225" ht="24" customHeight="1">
      <x:c r="A225" s="1"/>
      <x:c r="B225" s="17" t="n">
        <x:f>IF(ROW()-ROW($B$9)&lt;=$I$16,MIN($I$14,EDATE($I$15,(ROW()-ROW($B$9)-1)*$I$13)),"")</x:f>
        <x:v>51370</x:v>
      </x:c>
      <x:c r="C225" s="18" t="n">
        <x:f>IF(B225="","",IF(ROW()-ROW($B$9)=$I$16,ROUND(F224+D225,2),MIN($I$18,ROUND(F224+D225,2))))</x:f>
        <x:v>26003.2</x:v>
      </x:c>
      <x:c r="D225" s="18" t="n">
        <x:f>IF(B225="","",ROUND(IF($I$19="Факт / 365",F224*$I$12*(B225-B224)/$I$20,F224*$I$17),2))</x:f>
        <x:v>13871.65</x:v>
      </x:c>
      <x:c r="E225" s="18" t="n">
        <x:f>IF(B225="","",ROUND(C225-D225,2))</x:f>
        <x:v>12131.55</x:v>
      </x:c>
      <x:c r="F225" s="18" t="n">
        <x:f>IF(B225="","",ROUND(F224-E225,2))</x:f>
        <x:v>2165567.71</x:v>
      </x:c>
      <x:c r="G225" s="2"/>
      <x:c r="H225" s="2"/>
      <x:c r="I225" s="2"/>
    </x:row>
    <x:row r="226" ht="24" customHeight="1">
      <x:c r="A226" s="1"/>
      <x:c r="B226" s="17" t="n">
        <x:f>IF(ROW()-ROW($B$9)&lt;=$I$16,MIN($I$14,EDATE($I$15,(ROW()-ROW($B$9)-1)*$I$13)),"")</x:f>
        <x:v>51401</x:v>
      </x:c>
      <x:c r="C226" s="18" t="n">
        <x:f>IF(B226="","",IF(ROW()-ROW($B$9)=$I$16,ROUND(F225+D226,2),MIN($I$18,ROUND(F225+D226,2))))</x:f>
        <x:v>26003.2</x:v>
      </x:c>
      <x:c r="D226" s="18" t="n">
        <x:f>IF(B226="","",ROUND(IF($I$19="Факт / 365",F225*$I$12*(B226-B225)/$I$20,F225*$I$17),2))</x:f>
        <x:v>13794.37</x:v>
      </x:c>
      <x:c r="E226" s="18" t="n">
        <x:f>IF(B226="","",ROUND(C226-D226,2))</x:f>
        <x:v>12208.83</x:v>
      </x:c>
      <x:c r="F226" s="18" t="n">
        <x:f>IF(B226="","",ROUND(F225-E226,2))</x:f>
        <x:v>2153358.88</x:v>
      </x:c>
      <x:c r="G226" s="2"/>
      <x:c r="H226" s="2"/>
      <x:c r="I226" s="2"/>
    </x:row>
    <x:row r="227" ht="24" customHeight="1">
      <x:c r="A227" s="1"/>
      <x:c r="B227" s="17" t="n">
        <x:f>IF(ROW()-ROW($B$9)&lt;=$I$16,MIN($I$14,EDATE($I$15,(ROW()-ROW($B$9)-1)*$I$13)),"")</x:f>
        <x:v>51431</x:v>
      </x:c>
      <x:c r="C227" s="18" t="n">
        <x:f>IF(B227="","",IF(ROW()-ROW($B$9)=$I$16,ROUND(F226+D227,2),MIN($I$18,ROUND(F226+D227,2))))</x:f>
        <x:v>26003.2</x:v>
      </x:c>
      <x:c r="D227" s="18" t="n">
        <x:f>IF(B227="","",ROUND(IF($I$19="Факт / 365",F226*$I$12*(B227-B226)/$I$20,F226*$I$17),2))</x:f>
        <x:v>13274.13</x:v>
      </x:c>
      <x:c r="E227" s="18" t="n">
        <x:f>IF(B227="","",ROUND(C227-D227,2))</x:f>
        <x:v>12729.07</x:v>
      </x:c>
      <x:c r="F227" s="18" t="n">
        <x:f>IF(B227="","",ROUND(F226-E227,2))</x:f>
        <x:v>2140629.81</x:v>
      </x:c>
      <x:c r="G227" s="2"/>
      <x:c r="H227" s="2"/>
      <x:c r="I227" s="2"/>
    </x:row>
    <x:row r="228" ht="24" customHeight="1">
      <x:c r="A228" s="1"/>
      <x:c r="B228" s="17" t="n">
        <x:f>IF(ROW()-ROW($B$9)&lt;=$I$16,MIN($I$14,EDATE($I$15,(ROW()-ROW($B$9)-1)*$I$13)),"")</x:f>
        <x:v>51462</x:v>
      </x:c>
      <x:c r="C228" s="18" t="n">
        <x:f>IF(B228="","",IF(ROW()-ROW($B$9)=$I$16,ROUND(F227+D228,2),MIN($I$18,ROUND(F227+D228,2))))</x:f>
        <x:v>26003.2</x:v>
      </x:c>
      <x:c r="D228" s="18" t="n">
        <x:f>IF(B228="","",ROUND(IF($I$19="Факт / 365",F227*$I$12*(B228-B227)/$I$20,F227*$I$17),2))</x:f>
        <x:v>13635.52</x:v>
      </x:c>
      <x:c r="E228" s="18" t="n">
        <x:f>IF(B228="","",ROUND(C228-D228,2))</x:f>
        <x:v>12367.68</x:v>
      </x:c>
      <x:c r="F228" s="18" t="n">
        <x:f>IF(B228="","",ROUND(F227-E228,2))</x:f>
        <x:v>2128262.13</x:v>
      </x:c>
      <x:c r="G228" s="2"/>
      <x:c r="H228" s="2"/>
      <x:c r="I228" s="2"/>
    </x:row>
    <x:row r="229" ht="24" customHeight="1">
      <x:c r="A229" s="1"/>
      <x:c r="B229" s="17" t="n">
        <x:f>IF(ROW()-ROW($B$9)&lt;=$I$16,MIN($I$14,EDATE($I$15,(ROW()-ROW($B$9)-1)*$I$13)),"")</x:f>
        <x:v>51492</x:v>
      </x:c>
      <x:c r="C229" s="18" t="n">
        <x:f>IF(B229="","",IF(ROW()-ROW($B$9)=$I$16,ROUND(F228+D229,2),MIN($I$18,ROUND(F228+D229,2))))</x:f>
        <x:v>26003.2</x:v>
      </x:c>
      <x:c r="D229" s="18" t="n">
        <x:f>IF(B229="","",ROUND(IF($I$19="Факт / 365",F228*$I$12*(B229-B228)/$I$20,F228*$I$17),2))</x:f>
        <x:v>13119.42</x:v>
      </x:c>
      <x:c r="E229" s="18" t="n">
        <x:f>IF(B229="","",ROUND(C229-D229,2))</x:f>
        <x:v>12883.78</x:v>
      </x:c>
      <x:c r="F229" s="18" t="n">
        <x:f>IF(B229="","",ROUND(F228-E229,2))</x:f>
        <x:v>2115378.35</x:v>
      </x:c>
      <x:c r="G229" s="2"/>
      <x:c r="H229" s="2"/>
      <x:c r="I229" s="2"/>
    </x:row>
    <x:row r="230" ht="24" customHeight="1">
      <x:c r="A230" s="1"/>
      <x:c r="B230" s="17" t="n">
        <x:f>IF(ROW()-ROW($B$9)&lt;=$I$16,MIN($I$14,EDATE($I$15,(ROW()-ROW($B$9)-1)*$I$13)),"")</x:f>
        <x:v>51523</x:v>
      </x:c>
      <x:c r="C230" s="18" t="n">
        <x:f>IF(B230="","",IF(ROW()-ROW($B$9)=$I$16,ROUND(F229+D230,2),MIN($I$18,ROUND(F229+D230,2))))</x:f>
        <x:v>26003.2</x:v>
      </x:c>
      <x:c r="D230" s="18" t="n">
        <x:f>IF(B230="","",ROUND(IF($I$19="Факт / 365",F229*$I$12*(B230-B229)/$I$20,F229*$I$17),2))</x:f>
        <x:v>13474.67</x:v>
      </x:c>
      <x:c r="E230" s="18" t="n">
        <x:f>IF(B230="","",ROUND(C230-D230,2))</x:f>
        <x:v>12528.53</x:v>
      </x:c>
      <x:c r="F230" s="18" t="n">
        <x:f>IF(B230="","",ROUND(F229-E230,2))</x:f>
        <x:v>2102849.82</x:v>
      </x:c>
      <x:c r="G230" s="2"/>
      <x:c r="H230" s="2"/>
      <x:c r="I230" s="2"/>
    </x:row>
    <x:row r="231" ht="24" customHeight="1">
      <x:c r="A231" s="1"/>
      <x:c r="B231" s="17" t="n">
        <x:f>IF(ROW()-ROW($B$9)&lt;=$I$16,MIN($I$14,EDATE($I$15,(ROW()-ROW($B$9)-1)*$I$13)),"")</x:f>
        <x:v>51554</x:v>
      </x:c>
      <x:c r="C231" s="18" t="n">
        <x:f>IF(B231="","",IF(ROW()-ROW($B$9)=$I$16,ROUND(F230+D231,2),MIN($I$18,ROUND(F230+D231,2))))</x:f>
        <x:v>26003.2</x:v>
      </x:c>
      <x:c r="D231" s="18" t="n">
        <x:f>IF(B231="","",ROUND(IF($I$19="Факт / 365",F230*$I$12*(B231-B230)/$I$20,F230*$I$17),2))</x:f>
        <x:v>13394.87</x:v>
      </x:c>
      <x:c r="E231" s="18" t="n">
        <x:f>IF(B231="","",ROUND(C231-D231,2))</x:f>
        <x:v>12608.33</x:v>
      </x:c>
      <x:c r="F231" s="18" t="n">
        <x:f>IF(B231="","",ROUND(F230-E231,2))</x:f>
        <x:v>2090241.49</x:v>
      </x:c>
      <x:c r="G231" s="2"/>
      <x:c r="H231" s="2"/>
      <x:c r="I231" s="2"/>
    </x:row>
    <x:row r="232" ht="24" customHeight="1">
      <x:c r="A232" s="1"/>
      <x:c r="B232" s="17" t="n">
        <x:f>IF(ROW()-ROW($B$9)&lt;=$I$16,MIN($I$14,EDATE($I$15,(ROW()-ROW($B$9)-1)*$I$13)),"")</x:f>
        <x:v>51582</x:v>
      </x:c>
      <x:c r="C232" s="18" t="n">
        <x:f>IF(B232="","",IF(ROW()-ROW($B$9)=$I$16,ROUND(F231+D232,2),MIN($I$18,ROUND(F231+D232,2))))</x:f>
        <x:v>26003.2</x:v>
      </x:c>
      <x:c r="D232" s="18" t="n">
        <x:f>IF(B232="","",ROUND(IF($I$19="Факт / 365",F231*$I$12*(B232-B231)/$I$20,F231*$I$17),2))</x:f>
        <x:v>12026.05</x:v>
      </x:c>
      <x:c r="E232" s="18" t="n">
        <x:f>IF(B232="","",ROUND(C232-D232,2))</x:f>
        <x:v>13977.15</x:v>
      </x:c>
      <x:c r="F232" s="18" t="n">
        <x:f>IF(B232="","",ROUND(F231-E232,2))</x:f>
        <x:v>2076264.34</x:v>
      </x:c>
      <x:c r="G232" s="2"/>
      <x:c r="H232" s="2"/>
      <x:c r="I232" s="2"/>
    </x:row>
    <x:row r="233" ht="24" customHeight="1">
      <x:c r="A233" s="1"/>
      <x:c r="B233" s="17" t="n">
        <x:f>IF(ROW()-ROW($B$9)&lt;=$I$16,MIN($I$14,EDATE($I$15,(ROW()-ROW($B$9)-1)*$I$13)),"")</x:f>
        <x:v>51613</x:v>
      </x:c>
      <x:c r="C233" s="18" t="n">
        <x:f>IF(B233="","",IF(ROW()-ROW($B$9)=$I$16,ROUND(F232+D233,2),MIN($I$18,ROUND(F232+D233,2))))</x:f>
        <x:v>26003.2</x:v>
      </x:c>
      <x:c r="D233" s="18" t="n">
        <x:f>IF(B233="","",ROUND(IF($I$19="Факт / 365",F232*$I$12*(B233-B232)/$I$20,F232*$I$17),2))</x:f>
        <x:v>13225.52</x:v>
      </x:c>
      <x:c r="E233" s="18" t="n">
        <x:f>IF(B233="","",ROUND(C233-D233,2))</x:f>
        <x:v>12777.68</x:v>
      </x:c>
      <x:c r="F233" s="18" t="n">
        <x:f>IF(B233="","",ROUND(F232-E233,2))</x:f>
        <x:v>2063486.66</x:v>
      </x:c>
      <x:c r="G233" s="2"/>
      <x:c r="H233" s="2"/>
      <x:c r="I233" s="2"/>
    </x:row>
    <x:row r="234" ht="24" customHeight="1">
      <x:c r="A234" s="1"/>
      <x:c r="B234" s="17" t="n">
        <x:f>IF(ROW()-ROW($B$9)&lt;=$I$16,MIN($I$14,EDATE($I$15,(ROW()-ROW($B$9)-1)*$I$13)),"")</x:f>
        <x:v>51643</x:v>
      </x:c>
      <x:c r="C234" s="18" t="n">
        <x:f>IF(B234="","",IF(ROW()-ROW($B$9)=$I$16,ROUND(F233+D234,2),MIN($I$18,ROUND(F233+D234,2))))</x:f>
        <x:v>26003.2</x:v>
      </x:c>
      <x:c r="D234" s="18" t="n">
        <x:f>IF(B234="","",ROUND(IF($I$19="Факт / 365",F233*$I$12*(B234-B233)/$I$20,F233*$I$17),2))</x:f>
        <x:v>12720.12</x:v>
      </x:c>
      <x:c r="E234" s="18" t="n">
        <x:f>IF(B234="","",ROUND(C234-D234,2))</x:f>
        <x:v>13283.08</x:v>
      </x:c>
      <x:c r="F234" s="18" t="n">
        <x:f>IF(B234="","",ROUND(F233-E234,2))</x:f>
        <x:v>2050203.58</x:v>
      </x:c>
      <x:c r="G234" s="2"/>
      <x:c r="H234" s="2"/>
      <x:c r="I234" s="2"/>
    </x:row>
    <x:row r="235" ht="24" customHeight="1">
      <x:c r="A235" s="1"/>
      <x:c r="B235" s="17" t="n">
        <x:f>IF(ROW()-ROW($B$9)&lt;=$I$16,MIN($I$14,EDATE($I$15,(ROW()-ROW($B$9)-1)*$I$13)),"")</x:f>
        <x:v>51674</x:v>
      </x:c>
      <x:c r="C235" s="18" t="n">
        <x:f>IF(B235="","",IF(ROW()-ROW($B$9)=$I$16,ROUND(F234+D235,2),MIN($I$18,ROUND(F234+D235,2))))</x:f>
        <x:v>26003.2</x:v>
      </x:c>
      <x:c r="D235" s="18" t="n">
        <x:f>IF(B235="","",ROUND(IF($I$19="Факт / 365",F234*$I$12*(B235-B234)/$I$20,F234*$I$17),2))</x:f>
        <x:v>13059.52</x:v>
      </x:c>
      <x:c r="E235" s="18" t="n">
        <x:f>IF(B235="","",ROUND(C235-D235,2))</x:f>
        <x:v>12943.68</x:v>
      </x:c>
      <x:c r="F235" s="18" t="n">
        <x:f>IF(B235="","",ROUND(F234-E235,2))</x:f>
        <x:v>2037259.9</x:v>
      </x:c>
      <x:c r="G235" s="2"/>
      <x:c r="H235" s="2"/>
      <x:c r="I235" s="2"/>
    </x:row>
    <x:row r="236" ht="24" customHeight="1">
      <x:c r="A236" s="1"/>
      <x:c r="B236" s="17" t="n">
        <x:f>IF(ROW()-ROW($B$9)&lt;=$I$16,MIN($I$14,EDATE($I$15,(ROW()-ROW($B$9)-1)*$I$13)),"")</x:f>
        <x:v>51704</x:v>
      </x:c>
      <x:c r="C236" s="18" t="n">
        <x:f>IF(B236="","",IF(ROW()-ROW($B$9)=$I$16,ROUND(F235+D236,2),MIN($I$18,ROUND(F235+D236,2))))</x:f>
        <x:v>26003.2</x:v>
      </x:c>
      <x:c r="D236" s="18" t="n">
        <x:f>IF(B236="","",ROUND(IF($I$19="Факт / 365",F235*$I$12*(B236-B235)/$I$20,F235*$I$17),2))</x:f>
        <x:v>12558.45</x:v>
      </x:c>
      <x:c r="E236" s="18" t="n">
        <x:f>IF(B236="","",ROUND(C236-D236,2))</x:f>
        <x:v>13444.75</x:v>
      </x:c>
      <x:c r="F236" s="18" t="n">
        <x:f>IF(B236="","",ROUND(F235-E236,2))</x:f>
        <x:v>2023815.15</x:v>
      </x:c>
      <x:c r="G236" s="2"/>
      <x:c r="H236" s="2"/>
      <x:c r="I236" s="2"/>
    </x:row>
    <x:row r="237" ht="24" customHeight="1">
      <x:c r="A237" s="1"/>
      <x:c r="B237" s="17" t="n">
        <x:f>IF(ROW()-ROW($B$9)&lt;=$I$16,MIN($I$14,EDATE($I$15,(ROW()-ROW($B$9)-1)*$I$13)),"")</x:f>
        <x:v>51735</x:v>
      </x:c>
      <x:c r="C237" s="18" t="n">
        <x:f>IF(B237="","",IF(ROW()-ROW($B$9)=$I$16,ROUND(F236+D237,2),MIN($I$18,ROUND(F236+D237,2))))</x:f>
        <x:v>26003.2</x:v>
      </x:c>
      <x:c r="D237" s="18" t="n">
        <x:f>IF(B237="","",ROUND(IF($I$19="Факт / 365",F236*$I$12*(B237-B236)/$I$20,F236*$I$17),2))</x:f>
        <x:v>12891.43</x:v>
      </x:c>
      <x:c r="E237" s="18" t="n">
        <x:f>IF(B237="","",ROUND(C237-D237,2))</x:f>
        <x:v>13111.77</x:v>
      </x:c>
      <x:c r="F237" s="18" t="n">
        <x:f>IF(B237="","",ROUND(F236-E237,2))</x:f>
        <x:v>2010703.38</x:v>
      </x:c>
      <x:c r="G237" s="2"/>
      <x:c r="H237" s="2"/>
      <x:c r="I237" s="2"/>
    </x:row>
    <x:row r="238" ht="24" customHeight="1">
      <x:c r="A238" s="1"/>
      <x:c r="B238" s="17" t="n">
        <x:f>IF(ROW()-ROW($B$9)&lt;=$I$16,MIN($I$14,EDATE($I$15,(ROW()-ROW($B$9)-1)*$I$13)),"")</x:f>
        <x:v>51766</x:v>
      </x:c>
      <x:c r="C238" s="18" t="n">
        <x:f>IF(B238="","",IF(ROW()-ROW($B$9)=$I$16,ROUND(F237+D238,2),MIN($I$18,ROUND(F237+D238,2))))</x:f>
        <x:v>26003.2</x:v>
      </x:c>
      <x:c r="D238" s="18" t="n">
        <x:f>IF(B238="","",ROUND(IF($I$19="Факт / 365",F237*$I$12*(B238-B237)/$I$20,F237*$I$17),2))</x:f>
        <x:v>12807.91</x:v>
      </x:c>
      <x:c r="E238" s="18" t="n">
        <x:f>IF(B238="","",ROUND(C238-D238,2))</x:f>
        <x:v>13195.29</x:v>
      </x:c>
      <x:c r="F238" s="18" t="n">
        <x:f>IF(B238="","",ROUND(F237-E238,2))</x:f>
        <x:v>1997508.09</x:v>
      </x:c>
      <x:c r="G238" s="2"/>
      <x:c r="H238" s="2"/>
      <x:c r="I238" s="2"/>
    </x:row>
    <x:row r="239" ht="24" customHeight="1">
      <x:c r="A239" s="1"/>
      <x:c r="B239" s="17" t="n">
        <x:f>IF(ROW()-ROW($B$9)&lt;=$I$16,MIN($I$14,EDATE($I$15,(ROW()-ROW($B$9)-1)*$I$13)),"")</x:f>
        <x:v>51796</x:v>
      </x:c>
      <x:c r="C239" s="18" t="n">
        <x:f>IF(B239="","",IF(ROW()-ROW($B$9)=$I$16,ROUND(F238+D239,2),MIN($I$18,ROUND(F238+D239,2))))</x:f>
        <x:v>26003.2</x:v>
      </x:c>
      <x:c r="D239" s="18" t="n">
        <x:f>IF(B239="","",ROUND(IF($I$19="Факт / 365",F238*$I$12*(B239-B238)/$I$20,F238*$I$17),2))</x:f>
        <x:v>12313.41</x:v>
      </x:c>
      <x:c r="E239" s="18" t="n">
        <x:f>IF(B239="","",ROUND(C239-D239,2))</x:f>
        <x:v>13689.79</x:v>
      </x:c>
      <x:c r="F239" s="18" t="n">
        <x:f>IF(B239="","",ROUND(F238-E239,2))</x:f>
        <x:v>1983818.3</x:v>
      </x:c>
      <x:c r="G239" s="2"/>
      <x:c r="H239" s="2"/>
      <x:c r="I239" s="2"/>
    </x:row>
    <x:row r="240" ht="24" customHeight="1">
      <x:c r="A240" s="1"/>
      <x:c r="B240" s="17" t="n">
        <x:f>IF(ROW()-ROW($B$9)&lt;=$I$16,MIN($I$14,EDATE($I$15,(ROW()-ROW($B$9)-1)*$I$13)),"")</x:f>
        <x:v>51827</x:v>
      </x:c>
      <x:c r="C240" s="18" t="n">
        <x:f>IF(B240="","",IF(ROW()-ROW($B$9)=$I$16,ROUND(F239+D240,2),MIN($I$18,ROUND(F239+D240,2))))</x:f>
        <x:v>26003.2</x:v>
      </x:c>
      <x:c r="D240" s="18" t="n">
        <x:f>IF(B240="","",ROUND(IF($I$19="Факт / 365",F239*$I$12*(B240-B239)/$I$20,F239*$I$17),2))</x:f>
        <x:v>12636.65</x:v>
      </x:c>
      <x:c r="E240" s="18" t="n">
        <x:f>IF(B240="","",ROUND(C240-D240,2))</x:f>
        <x:v>13366.55</x:v>
      </x:c>
      <x:c r="F240" s="18" t="n">
        <x:f>IF(B240="","",ROUND(F239-E240,2))</x:f>
        <x:v>1970451.75</x:v>
      </x:c>
      <x:c r="G240" s="2"/>
      <x:c r="H240" s="2"/>
      <x:c r="I240" s="2"/>
    </x:row>
    <x:row r="241" ht="24" customHeight="1">
      <x:c r="A241" s="1"/>
      <x:c r="B241" s="17" t="n">
        <x:f>IF(ROW()-ROW($B$9)&lt;=$I$16,MIN($I$14,EDATE($I$15,(ROW()-ROW($B$9)-1)*$I$13)),"")</x:f>
        <x:v>51857</x:v>
      </x:c>
      <x:c r="C241" s="18" t="n">
        <x:f>IF(B241="","",IF(ROW()-ROW($B$9)=$I$16,ROUND(F240+D241,2),MIN($I$18,ROUND(F240+D241,2))))</x:f>
        <x:v>26003.2</x:v>
      </x:c>
      <x:c r="D241" s="18" t="n">
        <x:f>IF(B241="","",ROUND(IF($I$19="Факт / 365",F240*$I$12*(B241-B240)/$I$20,F240*$I$17),2))</x:f>
        <x:v>12146.62</x:v>
      </x:c>
      <x:c r="E241" s="18" t="n">
        <x:f>IF(B241="","",ROUND(C241-D241,2))</x:f>
        <x:v>13856.58</x:v>
      </x:c>
      <x:c r="F241" s="18" t="n">
        <x:f>IF(B241="","",ROUND(F240-E241,2))</x:f>
        <x:v>1956595.17</x:v>
      </x:c>
      <x:c r="G241" s="2"/>
      <x:c r="H241" s="2"/>
      <x:c r="I241" s="2"/>
    </x:row>
    <x:row r="242" ht="24" customHeight="1">
      <x:c r="A242" s="1"/>
      <x:c r="B242" s="17" t="n">
        <x:f>IF(ROW()-ROW($B$9)&lt;=$I$16,MIN($I$14,EDATE($I$15,(ROW()-ROW($B$9)-1)*$I$13)),"")</x:f>
        <x:v>51888</x:v>
      </x:c>
      <x:c r="C242" s="18" t="n">
        <x:f>IF(B242="","",IF(ROW()-ROW($B$9)=$I$16,ROUND(F241+D242,2),MIN($I$18,ROUND(F241+D242,2))))</x:f>
        <x:v>26003.2</x:v>
      </x:c>
      <x:c r="D242" s="18" t="n">
        <x:f>IF(B242="","",ROUND(IF($I$19="Факт / 365",F241*$I$12*(B242-B241)/$I$20,F241*$I$17),2))</x:f>
        <x:v>12463.24</x:v>
      </x:c>
      <x:c r="E242" s="18" t="n">
        <x:f>IF(B242="","",ROUND(C242-D242,2))</x:f>
        <x:v>13539.96</x:v>
      </x:c>
      <x:c r="F242" s="18" t="n">
        <x:f>IF(B242="","",ROUND(F241-E242,2))</x:f>
        <x:v>1943055.21</x:v>
      </x:c>
      <x:c r="G242" s="2"/>
      <x:c r="H242" s="2"/>
      <x:c r="I242" s="2"/>
    </x:row>
    <x:row r="243" ht="24" customHeight="1">
      <x:c r="A243" s="1"/>
      <x:c r="B243" s="17" t="n">
        <x:f>IF(ROW()-ROW($B$9)&lt;=$I$16,MIN($I$14,EDATE($I$15,(ROW()-ROW($B$9)-1)*$I$13)),"")</x:f>
        <x:v>51919</x:v>
      </x:c>
      <x:c r="C243" s="18" t="n">
        <x:f>IF(B243="","",IF(ROW()-ROW($B$9)=$I$16,ROUND(F242+D243,2),MIN($I$18,ROUND(F242+D243,2))))</x:f>
        <x:v>26003.2</x:v>
      </x:c>
      <x:c r="D243" s="18" t="n">
        <x:f>IF(B243="","",ROUND(IF($I$19="Факт / 365",F242*$I$12*(B243-B242)/$I$20,F242*$I$17),2))</x:f>
        <x:v>12377</x:v>
      </x:c>
      <x:c r="E243" s="18" t="n">
        <x:f>IF(B243="","",ROUND(C243-D243,2))</x:f>
        <x:v>13626.2</x:v>
      </x:c>
      <x:c r="F243" s="18" t="n">
        <x:f>IF(B243="","",ROUND(F242-E243,2))</x:f>
        <x:v>1929429.01</x:v>
      </x:c>
      <x:c r="G243" s="2"/>
      <x:c r="H243" s="2"/>
      <x:c r="I243" s="2"/>
    </x:row>
    <x:row r="244" ht="24" customHeight="1">
      <x:c r="A244" s="1"/>
      <x:c r="B244" s="17" t="n">
        <x:f>IF(ROW()-ROW($B$9)&lt;=$I$16,MIN($I$14,EDATE($I$15,(ROW()-ROW($B$9)-1)*$I$13)),"")</x:f>
        <x:v>51947</x:v>
      </x:c>
      <x:c r="C244" s="18" t="n">
        <x:f>IF(B244="","",IF(ROW()-ROW($B$9)=$I$16,ROUND(F243+D244,2),MIN($I$18,ROUND(F243+D244,2))))</x:f>
        <x:v>26003.2</x:v>
      </x:c>
      <x:c r="D244" s="18" t="n">
        <x:f>IF(B244="","",ROUND(IF($I$19="Факт / 365",F243*$I$12*(B244-B243)/$I$20,F243*$I$17),2))</x:f>
        <x:v>11100.82</x:v>
      </x:c>
      <x:c r="E244" s="18" t="n">
        <x:f>IF(B244="","",ROUND(C244-D244,2))</x:f>
        <x:v>14902.38</x:v>
      </x:c>
      <x:c r="F244" s="18" t="n">
        <x:f>IF(B244="","",ROUND(F243-E244,2))</x:f>
        <x:v>1914526.63</x:v>
      </x:c>
      <x:c r="G244" s="2"/>
      <x:c r="H244" s="2"/>
      <x:c r="I244" s="2"/>
    </x:row>
    <x:row r="245" ht="24" customHeight="1">
      <x:c r="A245" s="1"/>
      <x:c r="B245" s="17" t="n">
        <x:f>IF(ROW()-ROW($B$9)&lt;=$I$16,MIN($I$14,EDATE($I$15,(ROW()-ROW($B$9)-1)*$I$13)),"")</x:f>
        <x:v>51978</x:v>
      </x:c>
      <x:c r="C245" s="18" t="n">
        <x:f>IF(B245="","",IF(ROW()-ROW($B$9)=$I$16,ROUND(F244+D245,2),MIN($I$18,ROUND(F244+D245,2))))</x:f>
        <x:v>26003.2</x:v>
      </x:c>
      <x:c r="D245" s="18" t="n">
        <x:f>IF(B245="","",ROUND(IF($I$19="Факт / 365",F244*$I$12*(B245-B244)/$I$20,F244*$I$17),2))</x:f>
        <x:v>12195.27</x:v>
      </x:c>
      <x:c r="E245" s="18" t="n">
        <x:f>IF(B245="","",ROUND(C245-D245,2))</x:f>
        <x:v>13807.93</x:v>
      </x:c>
      <x:c r="F245" s="18" t="n">
        <x:f>IF(B245="","",ROUND(F244-E245,2))</x:f>
        <x:v>1900718.7</x:v>
      </x:c>
      <x:c r="G245" s="2"/>
      <x:c r="H245" s="2"/>
      <x:c r="I245" s="2"/>
    </x:row>
    <x:row r="246" ht="24" customHeight="1">
      <x:c r="A246" s="1"/>
      <x:c r="B246" s="17" t="n">
        <x:f>IF(ROW()-ROW($B$9)&lt;=$I$16,MIN($I$14,EDATE($I$15,(ROW()-ROW($B$9)-1)*$I$13)),"")</x:f>
        <x:v>52008</x:v>
      </x:c>
      <x:c r="C246" s="18" t="n">
        <x:f>IF(B246="","",IF(ROW()-ROW($B$9)=$I$16,ROUND(F245+D246,2),MIN($I$18,ROUND(F245+D246,2))))</x:f>
        <x:v>26003.2</x:v>
      </x:c>
      <x:c r="D246" s="18" t="n">
        <x:f>IF(B246="","",ROUND(IF($I$19="Факт / 365",F245*$I$12*(B246-B245)/$I$20,F245*$I$17),2))</x:f>
        <x:v>11716.76</x:v>
      </x:c>
      <x:c r="E246" s="18" t="n">
        <x:f>IF(B246="","",ROUND(C246-D246,2))</x:f>
        <x:v>14286.44</x:v>
      </x:c>
      <x:c r="F246" s="18" t="n">
        <x:f>IF(B246="","",ROUND(F245-E246,2))</x:f>
        <x:v>1886432.26</x:v>
      </x:c>
      <x:c r="G246" s="2"/>
      <x:c r="H246" s="2"/>
      <x:c r="I246" s="2"/>
    </x:row>
    <x:row r="247" ht="24" customHeight="1">
      <x:c r="A247" s="1"/>
      <x:c r="B247" s="17" t="n">
        <x:f>IF(ROW()-ROW($B$9)&lt;=$I$16,MIN($I$14,EDATE($I$15,(ROW()-ROW($B$9)-1)*$I$13)),"")</x:f>
        <x:v>52039</x:v>
      </x:c>
      <x:c r="C247" s="18" t="n">
        <x:f>IF(B247="","",IF(ROW()-ROW($B$9)=$I$16,ROUND(F246+D247,2),MIN($I$18,ROUND(F246+D247,2))))</x:f>
        <x:v>26003.2</x:v>
      </x:c>
      <x:c r="D247" s="18" t="n">
        <x:f>IF(B247="","",ROUND(IF($I$19="Факт / 365",F246*$I$12*(B247-B246)/$I$20,F246*$I$17),2))</x:f>
        <x:v>12016.32</x:v>
      </x:c>
      <x:c r="E247" s="18" t="n">
        <x:f>IF(B247="","",ROUND(C247-D247,2))</x:f>
        <x:v>13986.88</x:v>
      </x:c>
      <x:c r="F247" s="18" t="n">
        <x:f>IF(B247="","",ROUND(F246-E247,2))</x:f>
        <x:v>1872445.38</x:v>
      </x:c>
      <x:c r="G247" s="2"/>
      <x:c r="H247" s="2"/>
      <x:c r="I247" s="2"/>
    </x:row>
    <x:row r="248" ht="24" customHeight="1">
      <x:c r="A248" s="1"/>
      <x:c r="B248" s="17" t="n">
        <x:f>IF(ROW()-ROW($B$9)&lt;=$I$16,MIN($I$14,EDATE($I$15,(ROW()-ROW($B$9)-1)*$I$13)),"")</x:f>
        <x:v>52069</x:v>
      </x:c>
      <x:c r="C248" s="18" t="n">
        <x:f>IF(B248="","",IF(ROW()-ROW($B$9)=$I$16,ROUND(F247+D248,2),MIN($I$18,ROUND(F247+D248,2))))</x:f>
        <x:v>26003.2</x:v>
      </x:c>
      <x:c r="D248" s="18" t="n">
        <x:f>IF(B248="","",ROUND(IF($I$19="Факт / 365",F247*$I$12*(B248-B247)/$I$20,F247*$I$17),2))</x:f>
        <x:v>11542.47</x:v>
      </x:c>
      <x:c r="E248" s="18" t="n">
        <x:f>IF(B248="","",ROUND(C248-D248,2))</x:f>
        <x:v>14460.73</x:v>
      </x:c>
      <x:c r="F248" s="18" t="n">
        <x:f>IF(B248="","",ROUND(F247-E248,2))</x:f>
        <x:v>1857984.65</x:v>
      </x:c>
      <x:c r="G248" s="2"/>
      <x:c r="H248" s="2"/>
      <x:c r="I248" s="2"/>
    </x:row>
    <x:row r="249" ht="24" customHeight="1">
      <x:c r="A249" s="1"/>
      <x:c r="B249" s="17" t="n">
        <x:f>IF(ROW()-ROW($B$9)&lt;=$I$16,MIN($I$14,EDATE($I$15,(ROW()-ROW($B$9)-1)*$I$13)),"")</x:f>
        <x:v>52100</x:v>
      </x:c>
      <x:c r="C249" s="18" t="n">
        <x:f>IF(B249="","",IF(ROW()-ROW($B$9)=$I$16,ROUND(F248+D249,2),MIN($I$18,ROUND(F248+D249,2))))</x:f>
        <x:v>26003.2</x:v>
      </x:c>
      <x:c r="D249" s="18" t="n">
        <x:f>IF(B249="","",ROUND(IF($I$19="Факт / 365",F248*$I$12*(B249-B248)/$I$20,F248*$I$17),2))</x:f>
        <x:v>11835.11</x:v>
      </x:c>
      <x:c r="E249" s="18" t="n">
        <x:f>IF(B249="","",ROUND(C249-D249,2))</x:f>
        <x:v>14168.09</x:v>
      </x:c>
      <x:c r="F249" s="18" t="n">
        <x:f>IF(B249="","",ROUND(F248-E249,2))</x:f>
        <x:v>1843816.56</x:v>
      </x:c>
      <x:c r="G249" s="2"/>
      <x:c r="H249" s="2"/>
      <x:c r="I249" s="2"/>
    </x:row>
    <x:row r="250" ht="24" customHeight="1">
      <x:c r="A250" s="1"/>
      <x:c r="B250" s="17" t="n">
        <x:f>IF(ROW()-ROW($B$9)&lt;=$I$16,MIN($I$14,EDATE($I$15,(ROW()-ROW($B$9)-1)*$I$13)),"")</x:f>
        <x:v>52131</x:v>
      </x:c>
      <x:c r="C250" s="18" t="n">
        <x:f>IF(B250="","",IF(ROW()-ROW($B$9)=$I$16,ROUND(F249+D250,2),MIN($I$18,ROUND(F249+D250,2))))</x:f>
        <x:v>26003.2</x:v>
      </x:c>
      <x:c r="D250" s="18" t="n">
        <x:f>IF(B250="","",ROUND(IF($I$19="Факт / 365",F249*$I$12*(B250-B249)/$I$20,F249*$I$17),2))</x:f>
        <x:v>11744.86</x:v>
      </x:c>
      <x:c r="E250" s="18" t="n">
        <x:f>IF(B250="","",ROUND(C250-D250,2))</x:f>
        <x:v>14258.34</x:v>
      </x:c>
      <x:c r="F250" s="18" t="n">
        <x:f>IF(B250="","",ROUND(F249-E250,2))</x:f>
        <x:v>1829558.22</x:v>
      </x:c>
      <x:c r="G250" s="2"/>
      <x:c r="H250" s="2"/>
      <x:c r="I250" s="2"/>
    </x:row>
    <x:row r="251" ht="24" customHeight="1">
      <x:c r="A251" s="1"/>
      <x:c r="B251" s="17" t="n">
        <x:f>IF(ROW()-ROW($B$9)&lt;=$I$16,MIN($I$14,EDATE($I$15,(ROW()-ROW($B$9)-1)*$I$13)),"")</x:f>
        <x:v>52161</x:v>
      </x:c>
      <x:c r="C251" s="18" t="n">
        <x:f>IF(B251="","",IF(ROW()-ROW($B$9)=$I$16,ROUND(F250+D251,2),MIN($I$18,ROUND(F250+D251,2))))</x:f>
        <x:v>26003.2</x:v>
      </x:c>
      <x:c r="D251" s="18" t="n">
        <x:f>IF(B251="","",ROUND(IF($I$19="Факт / 365",F250*$I$12*(B251-B250)/$I$20,F250*$I$17),2))</x:f>
        <x:v>11278.1</x:v>
      </x:c>
      <x:c r="E251" s="18" t="n">
        <x:f>IF(B251="","",ROUND(C251-D251,2))</x:f>
        <x:v>14725.1</x:v>
      </x:c>
      <x:c r="F251" s="18" t="n">
        <x:f>IF(B251="","",ROUND(F250-E251,2))</x:f>
        <x:v>1814833.12</x:v>
      </x:c>
      <x:c r="G251" s="2"/>
      <x:c r="H251" s="2"/>
      <x:c r="I251" s="2"/>
    </x:row>
    <x:row r="252" ht="24" customHeight="1">
      <x:c r="A252" s="1"/>
      <x:c r="B252" s="17" t="n">
        <x:f>IF(ROW()-ROW($B$9)&lt;=$I$16,MIN($I$14,EDATE($I$15,(ROW()-ROW($B$9)-1)*$I$13)),"")</x:f>
        <x:v>52192</x:v>
      </x:c>
      <x:c r="C252" s="18" t="n">
        <x:f>IF(B252="","",IF(ROW()-ROW($B$9)=$I$16,ROUND(F251+D252,2),MIN($I$18,ROUND(F251+D252,2))))</x:f>
        <x:v>26003.2</x:v>
      </x:c>
      <x:c r="D252" s="18" t="n">
        <x:f>IF(B252="","",ROUND(IF($I$19="Факт / 365",F251*$I$12*(B252-B251)/$I$20,F251*$I$17),2))</x:f>
        <x:v>11560.24</x:v>
      </x:c>
      <x:c r="E252" s="18" t="n">
        <x:f>IF(B252="","",ROUND(C252-D252,2))</x:f>
        <x:v>14442.96</x:v>
      </x:c>
      <x:c r="F252" s="18" t="n">
        <x:f>IF(B252="","",ROUND(F251-E252,2))</x:f>
        <x:v>1800390.16</x:v>
      </x:c>
      <x:c r="G252" s="2"/>
      <x:c r="H252" s="2"/>
      <x:c r="I252" s="2"/>
    </x:row>
    <x:row r="253" ht="24" customHeight="1">
      <x:c r="A253" s="1"/>
      <x:c r="B253" s="17" t="n">
        <x:f>IF(ROW()-ROW($B$9)&lt;=$I$16,MIN($I$14,EDATE($I$15,(ROW()-ROW($B$9)-1)*$I$13)),"")</x:f>
        <x:v>52222</x:v>
      </x:c>
      <x:c r="C253" s="18" t="n">
        <x:f>IF(B253="","",IF(ROW()-ROW($B$9)=$I$16,ROUND(F252+D253,2),MIN($I$18,ROUND(F252+D253,2))))</x:f>
        <x:v>26003.2</x:v>
      </x:c>
      <x:c r="D253" s="18" t="n">
        <x:f>IF(B253="","",ROUND(IF($I$19="Факт / 365",F252*$I$12*(B253-B252)/$I$20,F252*$I$17),2))</x:f>
        <x:v>11098.3</x:v>
      </x:c>
      <x:c r="E253" s="18" t="n">
        <x:f>IF(B253="","",ROUND(C253-D253,2))</x:f>
        <x:v>14904.9</x:v>
      </x:c>
      <x:c r="F253" s="18" t="n">
        <x:f>IF(B253="","",ROUND(F252-E253,2))</x:f>
        <x:v>1785485.26</x:v>
      </x:c>
      <x:c r="G253" s="2"/>
      <x:c r="H253" s="2"/>
      <x:c r="I253" s="2"/>
    </x:row>
    <x:row r="254" ht="24" customHeight="1">
      <x:c r="A254" s="1"/>
      <x:c r="B254" s="17" t="n">
        <x:f>IF(ROW()-ROW($B$9)&lt;=$I$16,MIN($I$14,EDATE($I$15,(ROW()-ROW($B$9)-1)*$I$13)),"")</x:f>
        <x:v>52253</x:v>
      </x:c>
      <x:c r="C254" s="18" t="n">
        <x:f>IF(B254="","",IF(ROW()-ROW($B$9)=$I$16,ROUND(F253+D254,2),MIN($I$18,ROUND(F253+D254,2))))</x:f>
        <x:v>26003.2</x:v>
      </x:c>
      <x:c r="D254" s="18" t="n">
        <x:f>IF(B254="","",ROUND(IF($I$19="Факт / 365",F253*$I$12*(B254-B253)/$I$20,F253*$I$17),2))</x:f>
        <x:v>11373.3</x:v>
      </x:c>
      <x:c r="E254" s="18" t="n">
        <x:f>IF(B254="","",ROUND(C254-D254,2))</x:f>
        <x:v>14629.9</x:v>
      </x:c>
      <x:c r="F254" s="18" t="n">
        <x:f>IF(B254="","",ROUND(F253-E254,2))</x:f>
        <x:v>1770855.36</x:v>
      </x:c>
      <x:c r="G254" s="2"/>
      <x:c r="H254" s="2"/>
      <x:c r="I254" s="2"/>
    </x:row>
    <x:row r="255" ht="24" customHeight="1">
      <x:c r="A255" s="1"/>
      <x:c r="B255" s="17" t="n">
        <x:f>IF(ROW()-ROW($B$9)&lt;=$I$16,MIN($I$14,EDATE($I$15,(ROW()-ROW($B$9)-1)*$I$13)),"")</x:f>
        <x:v>52284</x:v>
      </x:c>
      <x:c r="C255" s="18" t="n">
        <x:f>IF(B255="","",IF(ROW()-ROW($B$9)=$I$16,ROUND(F254+D255,2),MIN($I$18,ROUND(F254+D255,2))))</x:f>
        <x:v>26003.2</x:v>
      </x:c>
      <x:c r="D255" s="18" t="n">
        <x:f>IF(B255="","",ROUND(IF($I$19="Факт / 365",F254*$I$12*(B255-B254)/$I$20,F254*$I$17),2))</x:f>
        <x:v>11280.11</x:v>
      </x:c>
      <x:c r="E255" s="18" t="n">
        <x:f>IF(B255="","",ROUND(C255-D255,2))</x:f>
        <x:v>14723.09</x:v>
      </x:c>
      <x:c r="F255" s="18" t="n">
        <x:f>IF(B255="","",ROUND(F254-E255,2))</x:f>
        <x:v>1756132.27</x:v>
      </x:c>
      <x:c r="G255" s="2"/>
      <x:c r="H255" s="2"/>
      <x:c r="I255" s="2"/>
    </x:row>
    <x:row r="256" ht="24" customHeight="1">
      <x:c r="A256" s="1"/>
      <x:c r="B256" s="17" t="n">
        <x:f>IF(ROW()-ROW($B$9)&lt;=$I$16,MIN($I$14,EDATE($I$15,(ROW()-ROW($B$9)-1)*$I$13)),"")</x:f>
        <x:v>52312</x:v>
      </x:c>
      <x:c r="C256" s="18" t="n">
        <x:f>IF(B256="","",IF(ROW()-ROW($B$9)=$I$16,ROUND(F255+D256,2),MIN($I$18,ROUND(F255+D256,2))))</x:f>
        <x:v>26003.2</x:v>
      </x:c>
      <x:c r="D256" s="18" t="n">
        <x:f>IF(B256="","",ROUND(IF($I$19="Факт / 365",F255*$I$12*(B256-B255)/$I$20,F255*$I$17),2))</x:f>
        <x:v>10103.77</x:v>
      </x:c>
      <x:c r="E256" s="18" t="n">
        <x:f>IF(B256="","",ROUND(C256-D256,2))</x:f>
        <x:v>15899.43</x:v>
      </x:c>
      <x:c r="F256" s="18" t="n">
        <x:f>IF(B256="","",ROUND(F255-E256,2))</x:f>
        <x:v>1740232.84</x:v>
      </x:c>
      <x:c r="G256" s="2"/>
      <x:c r="H256" s="2"/>
      <x:c r="I256" s="2"/>
    </x:row>
    <x:row r="257" ht="24" customHeight="1">
      <x:c r="A257" s="1"/>
      <x:c r="B257" s="17" t="n">
        <x:f>IF(ROW()-ROW($B$9)&lt;=$I$16,MIN($I$14,EDATE($I$15,(ROW()-ROW($B$9)-1)*$I$13)),"")</x:f>
        <x:v>52343</x:v>
      </x:c>
      <x:c r="C257" s="18" t="n">
        <x:f>IF(B257="","",IF(ROW()-ROW($B$9)=$I$16,ROUND(F256+D257,2),MIN($I$18,ROUND(F256+D257,2))))</x:f>
        <x:v>26003.2</x:v>
      </x:c>
      <x:c r="D257" s="18" t="n">
        <x:f>IF(B257="","",ROUND(IF($I$19="Факт / 365",F256*$I$12*(B257-B256)/$I$20,F256*$I$17),2))</x:f>
        <x:v>11085.04</x:v>
      </x:c>
      <x:c r="E257" s="18" t="n">
        <x:f>IF(B257="","",ROUND(C257-D257,2))</x:f>
        <x:v>14918.16</x:v>
      </x:c>
      <x:c r="F257" s="18" t="n">
        <x:f>IF(B257="","",ROUND(F256-E257,2))</x:f>
        <x:v>1725314.68</x:v>
      </x:c>
      <x:c r="G257" s="2"/>
      <x:c r="H257" s="2"/>
      <x:c r="I257" s="2"/>
    </x:row>
    <x:row r="258" ht="24" customHeight="1">
      <x:c r="A258" s="1"/>
      <x:c r="B258" s="17" t="n">
        <x:f>IF(ROW()-ROW($B$9)&lt;=$I$16,MIN($I$14,EDATE($I$15,(ROW()-ROW($B$9)-1)*$I$13)),"")</x:f>
        <x:v>52373</x:v>
      </x:c>
      <x:c r="C258" s="18" t="n">
        <x:f>IF(B258="","",IF(ROW()-ROW($B$9)=$I$16,ROUND(F257+D258,2),MIN($I$18,ROUND(F257+D258,2))))</x:f>
        <x:v>26003.2</x:v>
      </x:c>
      <x:c r="D258" s="18" t="n">
        <x:f>IF(B258="","",ROUND(IF($I$19="Факт / 365",F257*$I$12*(B258-B257)/$I$20,F257*$I$17),2))</x:f>
        <x:v>10635.5</x:v>
      </x:c>
      <x:c r="E258" s="18" t="n">
        <x:f>IF(B258="","",ROUND(C258-D258,2))</x:f>
        <x:v>15367.7</x:v>
      </x:c>
      <x:c r="F258" s="18" t="n">
        <x:f>IF(B258="","",ROUND(F257-E258,2))</x:f>
        <x:v>1709946.98</x:v>
      </x:c>
      <x:c r="G258" s="2"/>
      <x:c r="H258" s="2"/>
      <x:c r="I258" s="2"/>
    </x:row>
    <x:row r="259" ht="24" customHeight="1">
      <x:c r="A259" s="1"/>
      <x:c r="B259" s="17" t="n">
        <x:f>IF(ROW()-ROW($B$9)&lt;=$I$16,MIN($I$14,EDATE($I$15,(ROW()-ROW($B$9)-1)*$I$13)),"")</x:f>
        <x:v>52404</x:v>
      </x:c>
      <x:c r="C259" s="18" t="n">
        <x:f>IF(B259="","",IF(ROW()-ROW($B$9)=$I$16,ROUND(F258+D259,2),MIN($I$18,ROUND(F258+D259,2))))</x:f>
        <x:v>26003.2</x:v>
      </x:c>
      <x:c r="D259" s="18" t="n">
        <x:f>IF(B259="","",ROUND(IF($I$19="Факт / 365",F258*$I$12*(B259-B258)/$I$20,F258*$I$17),2))</x:f>
        <x:v>10892.13</x:v>
      </x:c>
      <x:c r="E259" s="18" t="n">
        <x:f>IF(B259="","",ROUND(C259-D259,2))</x:f>
        <x:v>15111.07</x:v>
      </x:c>
      <x:c r="F259" s="18" t="n">
        <x:f>IF(B259="","",ROUND(F258-E259,2))</x:f>
        <x:v>1694835.91</x:v>
      </x:c>
      <x:c r="G259" s="2"/>
      <x:c r="H259" s="2"/>
      <x:c r="I259" s="2"/>
    </x:row>
    <x:row r="260" ht="24" customHeight="1">
      <x:c r="A260" s="1"/>
      <x:c r="B260" s="17" t="n">
        <x:f>IF(ROW()-ROW($B$9)&lt;=$I$16,MIN($I$14,EDATE($I$15,(ROW()-ROW($B$9)-1)*$I$13)),"")</x:f>
        <x:v>52434</x:v>
      </x:c>
      <x:c r="C260" s="18" t="n">
        <x:f>IF(B260="","",IF(ROW()-ROW($B$9)=$I$16,ROUND(F259+D260,2),MIN($I$18,ROUND(F259+D260,2))))</x:f>
        <x:v>26003.2</x:v>
      </x:c>
      <x:c r="D260" s="18" t="n">
        <x:f>IF(B260="","",ROUND(IF($I$19="Факт / 365",F259*$I$12*(B260-B259)/$I$20,F259*$I$17),2))</x:f>
        <x:v>10447.62</x:v>
      </x:c>
      <x:c r="E260" s="18" t="n">
        <x:f>IF(B260="","",ROUND(C260-D260,2))</x:f>
        <x:v>15555.58</x:v>
      </x:c>
      <x:c r="F260" s="18" t="n">
        <x:f>IF(B260="","",ROUND(F259-E260,2))</x:f>
        <x:v>1679280.33</x:v>
      </x:c>
      <x:c r="G260" s="2"/>
      <x:c r="H260" s="2"/>
      <x:c r="I260" s="2"/>
    </x:row>
    <x:row r="261" ht="24" customHeight="1">
      <x:c r="A261" s="1"/>
      <x:c r="B261" s="17" t="n">
        <x:f>IF(ROW()-ROW($B$9)&lt;=$I$16,MIN($I$14,EDATE($I$15,(ROW()-ROW($B$9)-1)*$I$13)),"")</x:f>
        <x:v>52465</x:v>
      </x:c>
      <x:c r="C261" s="18" t="n">
        <x:f>IF(B261="","",IF(ROW()-ROW($B$9)=$I$16,ROUND(F260+D261,2),MIN($I$18,ROUND(F260+D261,2))))</x:f>
        <x:v>26003.2</x:v>
      </x:c>
      <x:c r="D261" s="18" t="n">
        <x:f>IF(B261="","",ROUND(IF($I$19="Факт / 365",F260*$I$12*(B261-B260)/$I$20,F260*$I$17),2))</x:f>
        <x:v>10696.79</x:v>
      </x:c>
      <x:c r="E261" s="18" t="n">
        <x:f>IF(B261="","",ROUND(C261-D261,2))</x:f>
        <x:v>15306.41</x:v>
      </x:c>
      <x:c r="F261" s="18" t="n">
        <x:f>IF(B261="","",ROUND(F260-E261,2))</x:f>
        <x:v>1663973.92</x:v>
      </x:c>
      <x:c r="G261" s="2"/>
      <x:c r="H261" s="2"/>
      <x:c r="I261" s="2"/>
    </x:row>
    <x:row r="262" ht="24" customHeight="1">
      <x:c r="A262" s="1"/>
      <x:c r="B262" s="17" t="n">
        <x:f>IF(ROW()-ROW($B$9)&lt;=$I$16,MIN($I$14,EDATE($I$15,(ROW()-ROW($B$9)-1)*$I$13)),"")</x:f>
        <x:v>52496</x:v>
      </x:c>
      <x:c r="C262" s="18" t="n">
        <x:f>IF(B262="","",IF(ROW()-ROW($B$9)=$I$16,ROUND(F261+D262,2),MIN($I$18,ROUND(F261+D262,2))))</x:f>
        <x:v>26003.2</x:v>
      </x:c>
      <x:c r="D262" s="18" t="n">
        <x:f>IF(B262="","",ROUND(IF($I$19="Факт / 365",F261*$I$12*(B262-B261)/$I$20,F261*$I$17),2))</x:f>
        <x:v>10599.29</x:v>
      </x:c>
      <x:c r="E262" s="18" t="n">
        <x:f>IF(B262="","",ROUND(C262-D262,2))</x:f>
        <x:v>15403.91</x:v>
      </x:c>
      <x:c r="F262" s="18" t="n">
        <x:f>IF(B262="","",ROUND(F261-E262,2))</x:f>
        <x:v>1648570.01</x:v>
      </x:c>
      <x:c r="G262" s="2"/>
      <x:c r="H262" s="2"/>
      <x:c r="I262" s="2"/>
    </x:row>
    <x:row r="263" ht="24" customHeight="1">
      <x:c r="A263" s="1"/>
      <x:c r="B263" s="17" t="n">
        <x:f>IF(ROW()-ROW($B$9)&lt;=$I$16,MIN($I$14,EDATE($I$15,(ROW()-ROW($B$9)-1)*$I$13)),"")</x:f>
        <x:v>52526</x:v>
      </x:c>
      <x:c r="C263" s="18" t="n">
        <x:f>IF(B263="","",IF(ROW()-ROW($B$9)=$I$16,ROUND(F262+D263,2),MIN($I$18,ROUND(F262+D263,2))))</x:f>
        <x:v>26003.2</x:v>
      </x:c>
      <x:c r="D263" s="18" t="n">
        <x:f>IF(B263="","",ROUND(IF($I$19="Факт / 365",F262*$I$12*(B263-B262)/$I$20,F262*$I$17),2))</x:f>
        <x:v>10162.42</x:v>
      </x:c>
      <x:c r="E263" s="18" t="n">
        <x:f>IF(B263="","",ROUND(C263-D263,2))</x:f>
        <x:v>15840.78</x:v>
      </x:c>
      <x:c r="F263" s="18" t="n">
        <x:f>IF(B263="","",ROUND(F262-E263,2))</x:f>
        <x:v>1632729.23</x:v>
      </x:c>
      <x:c r="G263" s="2"/>
      <x:c r="H263" s="2"/>
      <x:c r="I263" s="2"/>
    </x:row>
    <x:row r="264" ht="24" customHeight="1">
      <x:c r="A264" s="1"/>
      <x:c r="B264" s="17" t="n">
        <x:f>IF(ROW()-ROW($B$9)&lt;=$I$16,MIN($I$14,EDATE($I$15,(ROW()-ROW($B$9)-1)*$I$13)),"")</x:f>
        <x:v>52557</x:v>
      </x:c>
      <x:c r="C264" s="18" t="n">
        <x:f>IF(B264="","",IF(ROW()-ROW($B$9)=$I$16,ROUND(F263+D264,2),MIN($I$18,ROUND(F263+D264,2))))</x:f>
        <x:v>26003.2</x:v>
      </x:c>
      <x:c r="D264" s="18" t="n">
        <x:f>IF(B264="","",ROUND(IF($I$19="Факт / 365",F263*$I$12*(B264-B263)/$I$20,F263*$I$17),2))</x:f>
        <x:v>10400.26</x:v>
      </x:c>
      <x:c r="E264" s="18" t="n">
        <x:f>IF(B264="","",ROUND(C264-D264,2))</x:f>
        <x:v>15602.94</x:v>
      </x:c>
      <x:c r="F264" s="18" t="n">
        <x:f>IF(B264="","",ROUND(F263-E264,2))</x:f>
        <x:v>1617126.29</x:v>
      </x:c>
      <x:c r="G264" s="2"/>
      <x:c r="H264" s="2"/>
      <x:c r="I264" s="2"/>
    </x:row>
    <x:row r="265" ht="24" customHeight="1">
      <x:c r="A265" s="1"/>
      <x:c r="B265" s="17" t="n">
        <x:f>IF(ROW()-ROW($B$9)&lt;=$I$16,MIN($I$14,EDATE($I$15,(ROW()-ROW($B$9)-1)*$I$13)),"")</x:f>
        <x:v>52587</x:v>
      </x:c>
      <x:c r="C265" s="18" t="n">
        <x:f>IF(B265="","",IF(ROW()-ROW($B$9)=$I$16,ROUND(F264+D265,2),MIN($I$18,ROUND(F264+D265,2))))</x:f>
        <x:v>26003.2</x:v>
      </x:c>
      <x:c r="D265" s="18" t="n">
        <x:f>IF(B265="","",ROUND(IF($I$19="Факт / 365",F264*$I$12*(B265-B264)/$I$20,F264*$I$17),2))</x:f>
        <x:v>9968.59</x:v>
      </x:c>
      <x:c r="E265" s="18" t="n">
        <x:f>IF(B265="","",ROUND(C265-D265,2))</x:f>
        <x:v>16034.61</x:v>
      </x:c>
      <x:c r="F265" s="18" t="n">
        <x:f>IF(B265="","",ROUND(F264-E265,2))</x:f>
        <x:v>1601091.68</x:v>
      </x:c>
      <x:c r="G265" s="2"/>
      <x:c r="H265" s="2"/>
      <x:c r="I265" s="2"/>
    </x:row>
    <x:row r="266" ht="24" customHeight="1">
      <x:c r="A266" s="1"/>
      <x:c r="B266" s="17" t="n">
        <x:f>IF(ROW()-ROW($B$9)&lt;=$I$16,MIN($I$14,EDATE($I$15,(ROW()-ROW($B$9)-1)*$I$13)),"")</x:f>
        <x:v>52618</x:v>
      </x:c>
      <x:c r="C266" s="18" t="n">
        <x:f>IF(B266="","",IF(ROW()-ROW($B$9)=$I$16,ROUND(F265+D266,2),MIN($I$18,ROUND(F265+D266,2))))</x:f>
        <x:v>26003.2</x:v>
      </x:c>
      <x:c r="D266" s="18" t="n">
        <x:f>IF(B266="","",ROUND(IF($I$19="Факт / 365",F265*$I$12*(B266-B265)/$I$20,F265*$I$17),2))</x:f>
        <x:v>10198.73</x:v>
      </x:c>
      <x:c r="E266" s="18" t="n">
        <x:f>IF(B266="","",ROUND(C266-D266,2))</x:f>
        <x:v>15804.47</x:v>
      </x:c>
      <x:c r="F266" s="18" t="n">
        <x:f>IF(B266="","",ROUND(F265-E266,2))</x:f>
        <x:v>1585287.21</x:v>
      </x:c>
      <x:c r="G266" s="2"/>
      <x:c r="H266" s="2"/>
      <x:c r="I266" s="2"/>
    </x:row>
    <x:row r="267" ht="24" customHeight="1">
      <x:c r="A267" s="1"/>
      <x:c r="B267" s="17" t="n">
        <x:f>IF(ROW()-ROW($B$9)&lt;=$I$16,MIN($I$14,EDATE($I$15,(ROW()-ROW($B$9)-1)*$I$13)),"")</x:f>
        <x:v>52649</x:v>
      </x:c>
      <x:c r="C267" s="18" t="n">
        <x:f>IF(B267="","",IF(ROW()-ROW($B$9)=$I$16,ROUND(F266+D267,2),MIN($I$18,ROUND(F266+D267,2))))</x:f>
        <x:v>26003.2</x:v>
      </x:c>
      <x:c r="D267" s="18" t="n">
        <x:f>IF(B267="","",ROUND(IF($I$19="Факт / 365",F266*$I$12*(B267-B266)/$I$20,F266*$I$17),2))</x:f>
        <x:v>10098.06</x:v>
      </x:c>
      <x:c r="E267" s="18" t="n">
        <x:f>IF(B267="","",ROUND(C267-D267,2))</x:f>
        <x:v>15905.14</x:v>
      </x:c>
      <x:c r="F267" s="18" t="n">
        <x:f>IF(B267="","",ROUND(F266-E267,2))</x:f>
        <x:v>1569382.07</x:v>
      </x:c>
      <x:c r="G267" s="2"/>
      <x:c r="H267" s="2"/>
      <x:c r="I267" s="2"/>
    </x:row>
    <x:row r="268" ht="24" customHeight="1">
      <x:c r="A268" s="1"/>
      <x:c r="B268" s="17" t="n">
        <x:f>IF(ROW()-ROW($B$9)&lt;=$I$16,MIN($I$14,EDATE($I$15,(ROW()-ROW($B$9)-1)*$I$13)),"")</x:f>
        <x:v>52678</x:v>
      </x:c>
      <x:c r="C268" s="18" t="n">
        <x:f>IF(B268="","",IF(ROW()-ROW($B$9)=$I$16,ROUND(F267+D268,2),MIN($I$18,ROUND(F267+D268,2))))</x:f>
        <x:v>26003.2</x:v>
      </x:c>
      <x:c r="D268" s="18" t="n">
        <x:f>IF(B268="","",ROUND(IF($I$19="Факт / 365",F267*$I$12*(B268-B267)/$I$20,F267*$I$17),2))</x:f>
        <x:v>9351.8</x:v>
      </x:c>
      <x:c r="E268" s="18" t="n">
        <x:f>IF(B268="","",ROUND(C268-D268,2))</x:f>
        <x:v>16651.4</x:v>
      </x:c>
      <x:c r="F268" s="18" t="n">
        <x:f>IF(B268="","",ROUND(F267-E268,2))</x:f>
        <x:v>1552730.67</x:v>
      </x:c>
      <x:c r="G268" s="2"/>
      <x:c r="H268" s="2"/>
      <x:c r="I268" s="2"/>
    </x:row>
    <x:row r="269" ht="24" customHeight="1">
      <x:c r="A269" s="1"/>
      <x:c r="B269" s="17" t="n">
        <x:f>IF(ROW()-ROW($B$9)&lt;=$I$16,MIN($I$14,EDATE($I$15,(ROW()-ROW($B$9)-1)*$I$13)),"")</x:f>
        <x:v>52709</x:v>
      </x:c>
      <x:c r="C269" s="18" t="n">
        <x:f>IF(B269="","",IF(ROW()-ROW($B$9)=$I$16,ROUND(F268+D269,2),MIN($I$18,ROUND(F268+D269,2))))</x:f>
        <x:v>26003.2</x:v>
      </x:c>
      <x:c r="D269" s="18" t="n">
        <x:f>IF(B269="","",ROUND(IF($I$19="Факт / 365",F268*$I$12*(B269-B268)/$I$20,F268*$I$17),2))</x:f>
        <x:v>9890.68</x:v>
      </x:c>
      <x:c r="E269" s="18" t="n">
        <x:f>IF(B269="","",ROUND(C269-D269,2))</x:f>
        <x:v>16112.52</x:v>
      </x:c>
      <x:c r="F269" s="18" t="n">
        <x:f>IF(B269="","",ROUND(F268-E269,2))</x:f>
        <x:v>1536618.15</x:v>
      </x:c>
      <x:c r="G269" s="2"/>
      <x:c r="H269" s="2"/>
      <x:c r="I269" s="2"/>
    </x:row>
    <x:row r="270" ht="24" customHeight="1">
      <x:c r="A270" s="1"/>
      <x:c r="B270" s="17" t="n">
        <x:f>IF(ROW()-ROW($B$9)&lt;=$I$16,MIN($I$14,EDATE($I$15,(ROW()-ROW($B$9)-1)*$I$13)),"")</x:f>
        <x:v>52739</x:v>
      </x:c>
      <x:c r="C270" s="18" t="n">
        <x:f>IF(B270="","",IF(ROW()-ROW($B$9)=$I$16,ROUND(F269+D270,2),MIN($I$18,ROUND(F269+D270,2))))</x:f>
        <x:v>26003.2</x:v>
      </x:c>
      <x:c r="D270" s="18" t="n">
        <x:f>IF(B270="","",ROUND(IF($I$19="Факт / 365",F269*$I$12*(B270-B269)/$I$20,F269*$I$17),2))</x:f>
        <x:v>9472.3</x:v>
      </x:c>
      <x:c r="E270" s="18" t="n">
        <x:f>IF(B270="","",ROUND(C270-D270,2))</x:f>
        <x:v>16530.9</x:v>
      </x:c>
      <x:c r="F270" s="18" t="n">
        <x:f>IF(B270="","",ROUND(F269-E270,2))</x:f>
        <x:v>1520087.25</x:v>
      </x:c>
      <x:c r="G270" s="2"/>
      <x:c r="H270" s="2"/>
      <x:c r="I270" s="2"/>
    </x:row>
    <x:row r="271" ht="24" customHeight="1">
      <x:c r="A271" s="1"/>
      <x:c r="B271" s="17" t="n">
        <x:f>IF(ROW()-ROW($B$9)&lt;=$I$16,MIN($I$14,EDATE($I$15,(ROW()-ROW($B$9)-1)*$I$13)),"")</x:f>
        <x:v>52770</x:v>
      </x:c>
      <x:c r="C271" s="18" t="n">
        <x:f>IF(B271="","",IF(ROW()-ROW($B$9)=$I$16,ROUND(F270+D271,2),MIN($I$18,ROUND(F270+D271,2))))</x:f>
        <x:v>26003.2</x:v>
      </x:c>
      <x:c r="D271" s="18" t="n">
        <x:f>IF(B271="","",ROUND(IF($I$19="Факт / 365",F270*$I$12*(B271-B270)/$I$20,F270*$I$17),2))</x:f>
        <x:v>9682.75</x:v>
      </x:c>
      <x:c r="E271" s="18" t="n">
        <x:f>IF(B271="","",ROUND(C271-D271,2))</x:f>
        <x:v>16320.45</x:v>
      </x:c>
      <x:c r="F271" s="18" t="n">
        <x:f>IF(B271="","",ROUND(F270-E271,2))</x:f>
        <x:v>1503766.8</x:v>
      </x:c>
      <x:c r="G271" s="2"/>
      <x:c r="H271" s="2"/>
      <x:c r="I271" s="2"/>
    </x:row>
    <x:row r="272" ht="24" customHeight="1">
      <x:c r="A272" s="1"/>
      <x:c r="B272" s="17" t="n">
        <x:f>IF(ROW()-ROW($B$9)&lt;=$I$16,MIN($I$14,EDATE($I$15,(ROW()-ROW($B$9)-1)*$I$13)),"")</x:f>
        <x:v>52800</x:v>
      </x:c>
      <x:c r="C272" s="18" t="n">
        <x:f>IF(B272="","",IF(ROW()-ROW($B$9)=$I$16,ROUND(F271+D272,2),MIN($I$18,ROUND(F271+D272,2))))</x:f>
        <x:v>26003.2</x:v>
      </x:c>
      <x:c r="D272" s="18" t="n">
        <x:f>IF(B272="","",ROUND(IF($I$19="Факт / 365",F271*$I$12*(B272-B271)/$I$20,F271*$I$17),2))</x:f>
        <x:v>9269.8</x:v>
      </x:c>
      <x:c r="E272" s="18" t="n">
        <x:f>IF(B272="","",ROUND(C272-D272,2))</x:f>
        <x:v>16733.4</x:v>
      </x:c>
      <x:c r="F272" s="18" t="n">
        <x:f>IF(B272="","",ROUND(F271-E272,2))</x:f>
        <x:v>1487033.4</x:v>
      </x:c>
      <x:c r="G272" s="2"/>
      <x:c r="H272" s="2"/>
      <x:c r="I272" s="2"/>
    </x:row>
    <x:row r="273" ht="24" customHeight="1">
      <x:c r="A273" s="1"/>
      <x:c r="B273" s="17" t="n">
        <x:f>IF(ROW()-ROW($B$9)&lt;=$I$16,MIN($I$14,EDATE($I$15,(ROW()-ROW($B$9)-1)*$I$13)),"")</x:f>
        <x:v>52831</x:v>
      </x:c>
      <x:c r="C273" s="18" t="n">
        <x:f>IF(B273="","",IF(ROW()-ROW($B$9)=$I$16,ROUND(F272+D273,2),MIN($I$18,ROUND(F272+D273,2))))</x:f>
        <x:v>26003.2</x:v>
      </x:c>
      <x:c r="D273" s="18" t="n">
        <x:f>IF(B273="","",ROUND(IF($I$19="Факт / 365",F272*$I$12*(B273-B272)/$I$20,F272*$I$17),2))</x:f>
        <x:v>9472.2</x:v>
      </x:c>
      <x:c r="E273" s="18" t="n">
        <x:f>IF(B273="","",ROUND(C273-D273,2))</x:f>
        <x:v>16531</x:v>
      </x:c>
      <x:c r="F273" s="18" t="n">
        <x:f>IF(B273="","",ROUND(F272-E273,2))</x:f>
        <x:v>1470502.4</x:v>
      </x:c>
      <x:c r="G273" s="2"/>
      <x:c r="H273" s="2"/>
      <x:c r="I273" s="2"/>
    </x:row>
    <x:row r="274" ht="24" customHeight="1">
      <x:c r="A274" s="1"/>
      <x:c r="B274" s="17" t="n">
        <x:f>IF(ROW()-ROW($B$9)&lt;=$I$16,MIN($I$14,EDATE($I$15,(ROW()-ROW($B$9)-1)*$I$13)),"")</x:f>
        <x:v>52862</x:v>
      </x:c>
      <x:c r="C274" s="18" t="n">
        <x:f>IF(B274="","",IF(ROW()-ROW($B$9)=$I$16,ROUND(F273+D274,2),MIN($I$18,ROUND(F273+D274,2))))</x:f>
        <x:v>26003.2</x:v>
      </x:c>
      <x:c r="D274" s="18" t="n">
        <x:f>IF(B274="","",ROUND(IF($I$19="Факт / 365",F273*$I$12*(B274-B273)/$I$20,F273*$I$17),2))</x:f>
        <x:v>9366.9</x:v>
      </x:c>
      <x:c r="E274" s="18" t="n">
        <x:f>IF(B274="","",ROUND(C274-D274,2))</x:f>
        <x:v>16636.3</x:v>
      </x:c>
      <x:c r="F274" s="18" t="n">
        <x:f>IF(B274="","",ROUND(F273-E274,2))</x:f>
        <x:v>1453866.1</x:v>
      </x:c>
      <x:c r="G274" s="2"/>
      <x:c r="H274" s="2"/>
      <x:c r="I274" s="2"/>
    </x:row>
    <x:row r="275" ht="24" customHeight="1">
      <x:c r="A275" s="1"/>
      <x:c r="B275" s="17" t="n">
        <x:f>IF(ROW()-ROW($B$9)&lt;=$I$16,MIN($I$14,EDATE($I$15,(ROW()-ROW($B$9)-1)*$I$13)),"")</x:f>
        <x:v>52892</x:v>
      </x:c>
      <x:c r="C275" s="18" t="n">
        <x:f>IF(B275="","",IF(ROW()-ROW($B$9)=$I$16,ROUND(F274+D275,2),MIN($I$18,ROUND(F274+D275,2))))</x:f>
        <x:v>26003.2</x:v>
      </x:c>
      <x:c r="D275" s="18" t="n">
        <x:f>IF(B275="","",ROUND(IF($I$19="Факт / 365",F274*$I$12*(B275-B274)/$I$20,F274*$I$17),2))</x:f>
        <x:v>8962.19</x:v>
      </x:c>
      <x:c r="E275" s="18" t="n">
        <x:f>IF(B275="","",ROUND(C275-D275,2))</x:f>
        <x:v>17041.01</x:v>
      </x:c>
      <x:c r="F275" s="18" t="n">
        <x:f>IF(B275="","",ROUND(F274-E275,2))</x:f>
        <x:v>1436825.09</x:v>
      </x:c>
      <x:c r="G275" s="2"/>
      <x:c r="H275" s="2"/>
      <x:c r="I275" s="2"/>
    </x:row>
    <x:row r="276" ht="24" customHeight="1">
      <x:c r="A276" s="1"/>
      <x:c r="B276" s="17" t="n">
        <x:f>IF(ROW()-ROW($B$9)&lt;=$I$16,MIN($I$14,EDATE($I$15,(ROW()-ROW($B$9)-1)*$I$13)),"")</x:f>
        <x:v>52923</x:v>
      </x:c>
      <x:c r="C276" s="18" t="n">
        <x:f>IF(B276="","",IF(ROW()-ROW($B$9)=$I$16,ROUND(F275+D276,2),MIN($I$18,ROUND(F275+D276,2))))</x:f>
        <x:v>26003.2</x:v>
      </x:c>
      <x:c r="D276" s="18" t="n">
        <x:f>IF(B276="","",ROUND(IF($I$19="Факт / 365",F275*$I$12*(B276-B275)/$I$20,F275*$I$17),2))</x:f>
        <x:v>9152.38</x:v>
      </x:c>
      <x:c r="E276" s="18" t="n">
        <x:f>IF(B276="","",ROUND(C276-D276,2))</x:f>
        <x:v>16850.82</x:v>
      </x:c>
      <x:c r="F276" s="18" t="n">
        <x:f>IF(B276="","",ROUND(F275-E276,2))</x:f>
        <x:v>1419974.27</x:v>
      </x:c>
      <x:c r="G276" s="2"/>
      <x:c r="H276" s="2"/>
      <x:c r="I276" s="2"/>
    </x:row>
    <x:row r="277" ht="24" customHeight="1">
      <x:c r="A277" s="1"/>
      <x:c r="B277" s="17" t="n">
        <x:f>IF(ROW()-ROW($B$9)&lt;=$I$16,MIN($I$14,EDATE($I$15,(ROW()-ROW($B$9)-1)*$I$13)),"")</x:f>
        <x:v>52953</x:v>
      </x:c>
      <x:c r="C277" s="18" t="n">
        <x:f>IF(B277="","",IF(ROW()-ROW($B$9)=$I$16,ROUND(F276+D277,2),MIN($I$18,ROUND(F276+D277,2))))</x:f>
        <x:v>26003.2</x:v>
      </x:c>
      <x:c r="D277" s="18" t="n">
        <x:f>IF(B277="","",ROUND(IF($I$19="Факт / 365",F276*$I$12*(B277-B276)/$I$20,F276*$I$17),2))</x:f>
        <x:v>8753.27</x:v>
      </x:c>
      <x:c r="E277" s="18" t="n">
        <x:f>IF(B277="","",ROUND(C277-D277,2))</x:f>
        <x:v>17249.93</x:v>
      </x:c>
      <x:c r="F277" s="18" t="n">
        <x:f>IF(B277="","",ROUND(F276-E277,2))</x:f>
        <x:v>1402724.34</x:v>
      </x:c>
      <x:c r="G277" s="2"/>
      <x:c r="H277" s="2"/>
      <x:c r="I277" s="2"/>
    </x:row>
    <x:row r="278" ht="24" customHeight="1">
      <x:c r="A278" s="1"/>
      <x:c r="B278" s="17" t="n">
        <x:f>IF(ROW()-ROW($B$9)&lt;=$I$16,MIN($I$14,EDATE($I$15,(ROW()-ROW($B$9)-1)*$I$13)),"")</x:f>
        <x:v>52984</x:v>
      </x:c>
      <x:c r="C278" s="18" t="n">
        <x:f>IF(B278="","",IF(ROW()-ROW($B$9)=$I$16,ROUND(F277+D278,2),MIN($I$18,ROUND(F277+D278,2))))</x:f>
        <x:v>26003.2</x:v>
      </x:c>
      <x:c r="D278" s="18" t="n">
        <x:f>IF(B278="","",ROUND(IF($I$19="Факт / 365",F277*$I$12*(B278-B277)/$I$20,F277*$I$17),2))</x:f>
        <x:v>8935.16</x:v>
      </x:c>
      <x:c r="E278" s="18" t="n">
        <x:f>IF(B278="","",ROUND(C278-D278,2))</x:f>
        <x:v>17068.04</x:v>
      </x:c>
      <x:c r="F278" s="18" t="n">
        <x:f>IF(B278="","",ROUND(F277-E278,2))</x:f>
        <x:v>1385656.3</x:v>
      </x:c>
      <x:c r="G278" s="2"/>
      <x:c r="H278" s="2"/>
      <x:c r="I278" s="2"/>
    </x:row>
    <x:row r="279" ht="24" customHeight="1">
      <x:c r="A279" s="1"/>
      <x:c r="B279" s="17" t="n">
        <x:f>IF(ROW()-ROW($B$9)&lt;=$I$16,MIN($I$14,EDATE($I$15,(ROW()-ROW($B$9)-1)*$I$13)),"")</x:f>
        <x:v>53015</x:v>
      </x:c>
      <x:c r="C279" s="18" t="n">
        <x:f>IF(B279="","",IF(ROW()-ROW($B$9)=$I$16,ROUND(F278+D279,2),MIN($I$18,ROUND(F278+D279,2))))</x:f>
        <x:v>26003.2</x:v>
      </x:c>
      <x:c r="D279" s="18" t="n">
        <x:f>IF(B279="","",ROUND(IF($I$19="Факт / 365",F278*$I$12*(B279-B278)/$I$20,F278*$I$17),2))</x:f>
        <x:v>8826.44</x:v>
      </x:c>
      <x:c r="E279" s="18" t="n">
        <x:f>IF(B279="","",ROUND(C279-D279,2))</x:f>
        <x:v>17176.76</x:v>
      </x:c>
      <x:c r="F279" s="18" t="n">
        <x:f>IF(B279="","",ROUND(F278-E279,2))</x:f>
        <x:v>1368479.54</x:v>
      </x:c>
      <x:c r="G279" s="2"/>
      <x:c r="H279" s="2"/>
      <x:c r="I279" s="2"/>
    </x:row>
    <x:row r="280" ht="24" customHeight="1">
      <x:c r="A280" s="1"/>
      <x:c r="B280" s="17" t="n">
        <x:f>IF(ROW()-ROW($B$9)&lt;=$I$16,MIN($I$14,EDATE($I$15,(ROW()-ROW($B$9)-1)*$I$13)),"")</x:f>
        <x:v>53043</x:v>
      </x:c>
      <x:c r="C280" s="18" t="n">
        <x:f>IF(B280="","",IF(ROW()-ROW($B$9)=$I$16,ROUND(F279+D280,2),MIN($I$18,ROUND(F279+D280,2))))</x:f>
        <x:v>26003.2</x:v>
      </x:c>
      <x:c r="D280" s="18" t="n">
        <x:f>IF(B280="","",ROUND(IF($I$19="Факт / 365",F279*$I$12*(B280-B279)/$I$20,F279*$I$17),2))</x:f>
        <x:v>7873.44</x:v>
      </x:c>
      <x:c r="E280" s="18" t="n">
        <x:f>IF(B280="","",ROUND(C280-D280,2))</x:f>
        <x:v>18129.76</x:v>
      </x:c>
      <x:c r="F280" s="18" t="n">
        <x:f>IF(B280="","",ROUND(F279-E280,2))</x:f>
        <x:v>1350349.78</x:v>
      </x:c>
      <x:c r="G280" s="2"/>
      <x:c r="H280" s="2"/>
      <x:c r="I280" s="2"/>
    </x:row>
    <x:row r="281" ht="24" customHeight="1">
      <x:c r="A281" s="1"/>
      <x:c r="B281" s="17" t="n">
        <x:f>IF(ROW()-ROW($B$9)&lt;=$I$16,MIN($I$14,EDATE($I$15,(ROW()-ROW($B$9)-1)*$I$13)),"")</x:f>
        <x:v>53074</x:v>
      </x:c>
      <x:c r="C281" s="18" t="n">
        <x:f>IF(B281="","",IF(ROW()-ROW($B$9)=$I$16,ROUND(F280+D281,2),MIN($I$18,ROUND(F280+D281,2))))</x:f>
        <x:v>26003.2</x:v>
      </x:c>
      <x:c r="D281" s="18" t="n">
        <x:f>IF(B281="","",ROUND(IF($I$19="Факт / 365",F280*$I$12*(B281-B280)/$I$20,F280*$I$17),2))</x:f>
        <x:v>8601.54</x:v>
      </x:c>
      <x:c r="E281" s="18" t="n">
        <x:f>IF(B281="","",ROUND(C281-D281,2))</x:f>
        <x:v>17401.66</x:v>
      </x:c>
      <x:c r="F281" s="18" t="n">
        <x:f>IF(B281="","",ROUND(F280-E281,2))</x:f>
        <x:v>1332948.12</x:v>
      </x:c>
      <x:c r="G281" s="2"/>
      <x:c r="H281" s="2"/>
      <x:c r="I281" s="2"/>
    </x:row>
    <x:row r="282" ht="24" customHeight="1">
      <x:c r="A282" s="1"/>
      <x:c r="B282" s="17" t="n">
        <x:f>IF(ROW()-ROW($B$9)&lt;=$I$16,MIN($I$14,EDATE($I$15,(ROW()-ROW($B$9)-1)*$I$13)),"")</x:f>
        <x:v>53104</x:v>
      </x:c>
      <x:c r="C282" s="18" t="n">
        <x:f>IF(B282="","",IF(ROW()-ROW($B$9)=$I$16,ROUND(F281+D282,2),MIN($I$18,ROUND(F281+D282,2))))</x:f>
        <x:v>26003.2</x:v>
      </x:c>
      <x:c r="D282" s="18" t="n">
        <x:f>IF(B282="","",ROUND(IF($I$19="Факт / 365",F281*$I$12*(B282-B281)/$I$20,F281*$I$17),2))</x:f>
        <x:v>8216.8</x:v>
      </x:c>
      <x:c r="E282" s="18" t="n">
        <x:f>IF(B282="","",ROUND(C282-D282,2))</x:f>
        <x:v>17786.4</x:v>
      </x:c>
      <x:c r="F282" s="18" t="n">
        <x:f>IF(B282="","",ROUND(F281-E282,2))</x:f>
        <x:v>1315161.72</x:v>
      </x:c>
      <x:c r="G282" s="2"/>
      <x:c r="H282" s="2"/>
      <x:c r="I282" s="2"/>
    </x:row>
    <x:row r="283" ht="24" customHeight="1">
      <x:c r="A283" s="1"/>
      <x:c r="B283" s="17" t="n">
        <x:f>IF(ROW()-ROW($B$9)&lt;=$I$16,MIN($I$14,EDATE($I$15,(ROW()-ROW($B$9)-1)*$I$13)),"")</x:f>
        <x:v>53135</x:v>
      </x:c>
      <x:c r="C283" s="18" t="n">
        <x:f>IF(B283="","",IF(ROW()-ROW($B$9)=$I$16,ROUND(F282+D283,2),MIN($I$18,ROUND(F282+D283,2))))</x:f>
        <x:v>26003.2</x:v>
      </x:c>
      <x:c r="D283" s="18" t="n">
        <x:f>IF(B283="","",ROUND(IF($I$19="Факт / 365",F282*$I$12*(B283-B282)/$I$20,F282*$I$17),2))</x:f>
        <x:v>8377.4</x:v>
      </x:c>
      <x:c r="E283" s="18" t="n">
        <x:f>IF(B283="","",ROUND(C283-D283,2))</x:f>
        <x:v>17625.8</x:v>
      </x:c>
      <x:c r="F283" s="18" t="n">
        <x:f>IF(B283="","",ROUND(F282-E283,2))</x:f>
        <x:v>1297535.92</x:v>
      </x:c>
      <x:c r="G283" s="2"/>
      <x:c r="H283" s="2"/>
      <x:c r="I283" s="2"/>
    </x:row>
    <x:row r="284" ht="24" customHeight="1">
      <x:c r="A284" s="1"/>
      <x:c r="B284" s="17" t="n">
        <x:f>IF(ROW()-ROW($B$9)&lt;=$I$16,MIN($I$14,EDATE($I$15,(ROW()-ROW($B$9)-1)*$I$13)),"")</x:f>
        <x:v>53165</x:v>
      </x:c>
      <x:c r="C284" s="18" t="n">
        <x:f>IF(B284="","",IF(ROW()-ROW($B$9)=$I$16,ROUND(F283+D284,2),MIN($I$18,ROUND(F283+D284,2))))</x:f>
        <x:v>26003.2</x:v>
      </x:c>
      <x:c r="D284" s="18" t="n">
        <x:f>IF(B284="","",ROUND(IF($I$19="Факт / 365",F283*$I$12*(B284-B283)/$I$20,F283*$I$17),2))</x:f>
        <x:v>7998.51</x:v>
      </x:c>
      <x:c r="E284" s="18" t="n">
        <x:f>IF(B284="","",ROUND(C284-D284,2))</x:f>
        <x:v>18004.69</x:v>
      </x:c>
      <x:c r="F284" s="18" t="n">
        <x:f>IF(B284="","",ROUND(F283-E284,2))</x:f>
        <x:v>1279531.23</x:v>
      </x:c>
      <x:c r="G284" s="2"/>
      <x:c r="H284" s="2"/>
      <x:c r="I284" s="2"/>
    </x:row>
    <x:row r="285" ht="24" customHeight="1">
      <x:c r="A285" s="1"/>
      <x:c r="B285" s="17" t="n">
        <x:f>IF(ROW()-ROW($B$9)&lt;=$I$16,MIN($I$14,EDATE($I$15,(ROW()-ROW($B$9)-1)*$I$13)),"")</x:f>
        <x:v>53196</x:v>
      </x:c>
      <x:c r="C285" s="18" t="n">
        <x:f>IF(B285="","",IF(ROW()-ROW($B$9)=$I$16,ROUND(F284+D285,2),MIN($I$18,ROUND(F284+D285,2))))</x:f>
        <x:v>26003.2</x:v>
      </x:c>
      <x:c r="D285" s="18" t="n">
        <x:f>IF(B285="","",ROUND(IF($I$19="Факт / 365",F284*$I$12*(B285-B284)/$I$20,F284*$I$17),2))</x:f>
        <x:v>8150.44</x:v>
      </x:c>
      <x:c r="E285" s="18" t="n">
        <x:f>IF(B285="","",ROUND(C285-D285,2))</x:f>
        <x:v>17852.76</x:v>
      </x:c>
      <x:c r="F285" s="18" t="n">
        <x:f>IF(B285="","",ROUND(F284-E285,2))</x:f>
        <x:v>1261678.47</x:v>
      </x:c>
      <x:c r="G285" s="2"/>
      <x:c r="H285" s="2"/>
      <x:c r="I285" s="2"/>
    </x:row>
    <x:row r="286" ht="24" customHeight="1">
      <x:c r="A286" s="1"/>
      <x:c r="B286" s="17" t="n">
        <x:f>IF(ROW()-ROW($B$9)&lt;=$I$16,MIN($I$14,EDATE($I$15,(ROW()-ROW($B$9)-1)*$I$13)),"")</x:f>
        <x:v>53227</x:v>
      </x:c>
      <x:c r="C286" s="18" t="n">
        <x:f>IF(B286="","",IF(ROW()-ROW($B$9)=$I$16,ROUND(F285+D286,2),MIN($I$18,ROUND(F285+D286,2))))</x:f>
        <x:v>26003.2</x:v>
      </x:c>
      <x:c r="D286" s="18" t="n">
        <x:f>IF(B286="","",ROUND(IF($I$19="Факт / 365",F285*$I$12*(B286-B285)/$I$20,F285*$I$17),2))</x:f>
        <x:v>8036.72</x:v>
      </x:c>
      <x:c r="E286" s="18" t="n">
        <x:f>IF(B286="","",ROUND(C286-D286,2))</x:f>
        <x:v>17966.48</x:v>
      </x:c>
      <x:c r="F286" s="18" t="n">
        <x:f>IF(B286="","",ROUND(F285-E286,2))</x:f>
        <x:v>1243711.99</x:v>
      </x:c>
      <x:c r="G286" s="2"/>
      <x:c r="H286" s="2"/>
      <x:c r="I286" s="2"/>
    </x:row>
    <x:row r="287" ht="24" customHeight="1">
      <x:c r="A287" s="1"/>
      <x:c r="B287" s="17" t="n">
        <x:f>IF(ROW()-ROW($B$9)&lt;=$I$16,MIN($I$14,EDATE($I$15,(ROW()-ROW($B$9)-1)*$I$13)),"")</x:f>
        <x:v>53257</x:v>
      </x:c>
      <x:c r="C287" s="18" t="n">
        <x:f>IF(B287="","",IF(ROW()-ROW($B$9)=$I$16,ROUND(F286+D287,2),MIN($I$18,ROUND(F286+D287,2))))</x:f>
        <x:v>26003.2</x:v>
      </x:c>
      <x:c r="D287" s="18" t="n">
        <x:f>IF(B287="","",ROUND(IF($I$19="Факт / 365",F286*$I$12*(B287-B286)/$I$20,F286*$I$17),2))</x:f>
        <x:v>7666.72</x:v>
      </x:c>
      <x:c r="E287" s="18" t="n">
        <x:f>IF(B287="","",ROUND(C287-D287,2))</x:f>
        <x:v>18336.48</x:v>
      </x:c>
      <x:c r="F287" s="18" t="n">
        <x:f>IF(B287="","",ROUND(F286-E287,2))</x:f>
        <x:v>1225375.51</x:v>
      </x:c>
      <x:c r="G287" s="2"/>
      <x:c r="H287" s="2"/>
      <x:c r="I287" s="2"/>
    </x:row>
    <x:row r="288" ht="24" customHeight="1">
      <x:c r="A288" s="1"/>
      <x:c r="B288" s="17" t="n">
        <x:f>IF(ROW()-ROW($B$9)&lt;=$I$16,MIN($I$14,EDATE($I$15,(ROW()-ROW($B$9)-1)*$I$13)),"")</x:f>
        <x:v>53288</x:v>
      </x:c>
      <x:c r="C288" s="18" t="n">
        <x:f>IF(B288="","",IF(ROW()-ROW($B$9)=$I$16,ROUND(F287+D288,2),MIN($I$18,ROUND(F287+D288,2))))</x:f>
        <x:v>26003.2</x:v>
      </x:c>
      <x:c r="D288" s="18" t="n">
        <x:f>IF(B288="","",ROUND(IF($I$19="Факт / 365",F287*$I$12*(B288-B287)/$I$20,F287*$I$17),2))</x:f>
        <x:v>7805.47</x:v>
      </x:c>
      <x:c r="E288" s="18" t="n">
        <x:f>IF(B288="","",ROUND(C288-D288,2))</x:f>
        <x:v>18197.73</x:v>
      </x:c>
      <x:c r="F288" s="18" t="n">
        <x:f>IF(B288="","",ROUND(F287-E288,2))</x:f>
        <x:v>1207177.78</x:v>
      </x:c>
      <x:c r="G288" s="2"/>
      <x:c r="H288" s="2"/>
      <x:c r="I288" s="2"/>
    </x:row>
    <x:row r="289" ht="24" customHeight="1">
      <x:c r="A289" s="1"/>
      <x:c r="B289" s="17" t="n">
        <x:f>IF(ROW()-ROW($B$9)&lt;=$I$16,MIN($I$14,EDATE($I$15,(ROW()-ROW($B$9)-1)*$I$13)),"")</x:f>
        <x:v>53318</x:v>
      </x:c>
      <x:c r="C289" s="18" t="n">
        <x:f>IF(B289="","",IF(ROW()-ROW($B$9)=$I$16,ROUND(F288+D289,2),MIN($I$18,ROUND(F288+D289,2))))</x:f>
        <x:v>26003.2</x:v>
      </x:c>
      <x:c r="D289" s="18" t="n">
        <x:f>IF(B289="","",ROUND(IF($I$19="Факт / 365",F288*$I$12*(B289-B288)/$I$20,F288*$I$17),2))</x:f>
        <x:v>7441.51</x:v>
      </x:c>
      <x:c r="E289" s="18" t="n">
        <x:f>IF(B289="","",ROUND(C289-D289,2))</x:f>
        <x:v>18561.69</x:v>
      </x:c>
      <x:c r="F289" s="18" t="n">
        <x:f>IF(B289="","",ROUND(F288-E289,2))</x:f>
        <x:v>1188616.09</x:v>
      </x:c>
      <x:c r="G289" s="2"/>
      <x:c r="H289" s="2"/>
      <x:c r="I289" s="2"/>
    </x:row>
    <x:row r="290" ht="24" customHeight="1">
      <x:c r="A290" s="1"/>
      <x:c r="B290" s="17" t="n">
        <x:f>IF(ROW()-ROW($B$9)&lt;=$I$16,MIN($I$14,EDATE($I$15,(ROW()-ROW($B$9)-1)*$I$13)),"")</x:f>
        <x:v>53349</x:v>
      </x:c>
      <x:c r="C290" s="18" t="n">
        <x:f>IF(B290="","",IF(ROW()-ROW($B$9)=$I$16,ROUND(F289+D290,2),MIN($I$18,ROUND(F289+D290,2))))</x:f>
        <x:v>26003.2</x:v>
      </x:c>
      <x:c r="D290" s="18" t="n">
        <x:f>IF(B290="","",ROUND(IF($I$19="Факт / 365",F289*$I$12*(B290-B289)/$I$20,F289*$I$17),2))</x:f>
        <x:v>7571.32</x:v>
      </x:c>
      <x:c r="E290" s="18" t="n">
        <x:f>IF(B290="","",ROUND(C290-D290,2))</x:f>
        <x:v>18431.88</x:v>
      </x:c>
      <x:c r="F290" s="18" t="n">
        <x:f>IF(B290="","",ROUND(F289-E290,2))</x:f>
        <x:v>1170184.21</x:v>
      </x:c>
      <x:c r="G290" s="2"/>
      <x:c r="H290" s="2"/>
      <x:c r="I290" s="2"/>
    </x:row>
    <x:row r="291" ht="24" customHeight="1">
      <x:c r="A291" s="1"/>
      <x:c r="B291" s="17" t="n">
        <x:f>IF(ROW()-ROW($B$9)&lt;=$I$16,MIN($I$14,EDATE($I$15,(ROW()-ROW($B$9)-1)*$I$13)),"")</x:f>
        <x:v>53380</x:v>
      </x:c>
      <x:c r="C291" s="18" t="n">
        <x:f>IF(B291="","",IF(ROW()-ROW($B$9)=$I$16,ROUND(F290+D291,2),MIN($I$18,ROUND(F290+D291,2))))</x:f>
        <x:v>26003.2</x:v>
      </x:c>
      <x:c r="D291" s="18" t="n">
        <x:f>IF(B291="","",ROUND(IF($I$19="Факт / 365",F290*$I$12*(B291-B290)/$I$20,F290*$I$17),2))</x:f>
        <x:v>7453.91</x:v>
      </x:c>
      <x:c r="E291" s="18" t="n">
        <x:f>IF(B291="","",ROUND(C291-D291,2))</x:f>
        <x:v>18549.29</x:v>
      </x:c>
      <x:c r="F291" s="18" t="n">
        <x:f>IF(B291="","",ROUND(F290-E291,2))</x:f>
        <x:v>1151634.92</x:v>
      </x:c>
      <x:c r="G291" s="2"/>
      <x:c r="H291" s="2"/>
      <x:c r="I291" s="2"/>
    </x:row>
    <x:row r="292" ht="24" customHeight="1">
      <x:c r="A292" s="1"/>
      <x:c r="B292" s="17" t="n">
        <x:f>IF(ROW()-ROW($B$9)&lt;=$I$16,MIN($I$14,EDATE($I$15,(ROW()-ROW($B$9)-1)*$I$13)),"")</x:f>
        <x:v>53408</x:v>
      </x:c>
      <x:c r="C292" s="18" t="n">
        <x:f>IF(B292="","",IF(ROW()-ROW($B$9)=$I$16,ROUND(F291+D292,2),MIN($I$18,ROUND(F291+D292,2))))</x:f>
        <x:v>26003.2</x:v>
      </x:c>
      <x:c r="D292" s="18" t="n">
        <x:f>IF(B292="","",ROUND(IF($I$19="Факт / 365",F291*$I$12*(B292-B291)/$I$20,F291*$I$17),2))</x:f>
        <x:v>6625.84</x:v>
      </x:c>
      <x:c r="E292" s="18" t="n">
        <x:f>IF(B292="","",ROUND(C292-D292,2))</x:f>
        <x:v>19377.36</x:v>
      </x:c>
      <x:c r="F292" s="18" t="n">
        <x:f>IF(B292="","",ROUND(F291-E292,2))</x:f>
        <x:v>1132257.56</x:v>
      </x:c>
      <x:c r="G292" s="2"/>
      <x:c r="H292" s="2"/>
      <x:c r="I292" s="2"/>
    </x:row>
    <x:row r="293" ht="24" customHeight="1">
      <x:c r="A293" s="1"/>
      <x:c r="B293" s="17" t="n">
        <x:f>IF(ROW()-ROW($B$9)&lt;=$I$16,MIN($I$14,EDATE($I$15,(ROW()-ROW($B$9)-1)*$I$13)),"")</x:f>
        <x:v>53439</x:v>
      </x:c>
      <x:c r="C293" s="18" t="n">
        <x:f>IF(B293="","",IF(ROW()-ROW($B$9)=$I$16,ROUND(F292+D293,2),MIN($I$18,ROUND(F292+D293,2))))</x:f>
        <x:v>26003.2</x:v>
      </x:c>
      <x:c r="D293" s="18" t="n">
        <x:f>IF(B293="","",ROUND(IF($I$19="Факт / 365",F292*$I$12*(B293-B292)/$I$20,F292*$I$17),2))</x:f>
        <x:v>7212.33</x:v>
      </x:c>
      <x:c r="E293" s="18" t="n">
        <x:f>IF(B293="","",ROUND(C293-D293,2))</x:f>
        <x:v>18790.87</x:v>
      </x:c>
      <x:c r="F293" s="18" t="n">
        <x:f>IF(B293="","",ROUND(F292-E293,2))</x:f>
        <x:v>1113466.69</x:v>
      </x:c>
      <x:c r="G293" s="2"/>
      <x:c r="H293" s="2"/>
      <x:c r="I293" s="2"/>
    </x:row>
    <x:row r="294" ht="24" customHeight="1">
      <x:c r="A294" s="1"/>
      <x:c r="B294" s="17" t="n">
        <x:f>IF(ROW()-ROW($B$9)&lt;=$I$16,MIN($I$14,EDATE($I$15,(ROW()-ROW($B$9)-1)*$I$13)),"")</x:f>
        <x:v>53469</x:v>
      </x:c>
      <x:c r="C294" s="18" t="n">
        <x:f>IF(B294="","",IF(ROW()-ROW($B$9)=$I$16,ROUND(F293+D294,2),MIN($I$18,ROUND(F293+D294,2))))</x:f>
        <x:v>26003.2</x:v>
      </x:c>
      <x:c r="D294" s="18" t="n">
        <x:f>IF(B294="","",ROUND(IF($I$19="Факт / 365",F293*$I$12*(B294-B293)/$I$20,F293*$I$17),2))</x:f>
        <x:v>6863.84</x:v>
      </x:c>
      <x:c r="E294" s="18" t="n">
        <x:f>IF(B294="","",ROUND(C294-D294,2))</x:f>
        <x:v>19139.36</x:v>
      </x:c>
      <x:c r="F294" s="18" t="n">
        <x:f>IF(B294="","",ROUND(F293-E294,2))</x:f>
        <x:v>1094327.33</x:v>
      </x:c>
      <x:c r="G294" s="2"/>
      <x:c r="H294" s="2"/>
      <x:c r="I294" s="2"/>
    </x:row>
    <x:row r="295" ht="24" customHeight="1">
      <x:c r="A295" s="1"/>
      <x:c r="B295" s="17" t="n">
        <x:f>IF(ROW()-ROW($B$9)&lt;=$I$16,MIN($I$14,EDATE($I$15,(ROW()-ROW($B$9)-1)*$I$13)),"")</x:f>
        <x:v>53500</x:v>
      </x:c>
      <x:c r="C295" s="18" t="n">
        <x:f>IF(B295="","",IF(ROW()-ROW($B$9)=$I$16,ROUND(F294+D295,2),MIN($I$18,ROUND(F294+D295,2))))</x:f>
        <x:v>26003.2</x:v>
      </x:c>
      <x:c r="D295" s="18" t="n">
        <x:f>IF(B295="","",ROUND(IF($I$19="Факт / 365",F294*$I$12*(B295-B294)/$I$20,F294*$I$17),2))</x:f>
        <x:v>6970.72</x:v>
      </x:c>
      <x:c r="E295" s="18" t="n">
        <x:f>IF(B295="","",ROUND(C295-D295,2))</x:f>
        <x:v>19032.48</x:v>
      </x:c>
      <x:c r="F295" s="18" t="n">
        <x:f>IF(B295="","",ROUND(F294-E295,2))</x:f>
        <x:v>1075294.85</x:v>
      </x:c>
      <x:c r="G295" s="2"/>
      <x:c r="H295" s="2"/>
      <x:c r="I295" s="2"/>
    </x:row>
    <x:row r="296" ht="24" customHeight="1">
      <x:c r="A296" s="1"/>
      <x:c r="B296" s="17" t="n">
        <x:f>IF(ROW()-ROW($B$9)&lt;=$I$16,MIN($I$14,EDATE($I$15,(ROW()-ROW($B$9)-1)*$I$13)),"")</x:f>
        <x:v>53530</x:v>
      </x:c>
      <x:c r="C296" s="18" t="n">
        <x:f>IF(B296="","",IF(ROW()-ROW($B$9)=$I$16,ROUND(F295+D296,2),MIN($I$18,ROUND(F295+D296,2))))</x:f>
        <x:v>26003.2</x:v>
      </x:c>
      <x:c r="D296" s="18" t="n">
        <x:f>IF(B296="","",ROUND(IF($I$19="Факт / 365",F295*$I$12*(B296-B295)/$I$20,F295*$I$17),2))</x:f>
        <x:v>6628.53</x:v>
      </x:c>
      <x:c r="E296" s="18" t="n">
        <x:f>IF(B296="","",ROUND(C296-D296,2))</x:f>
        <x:v>19374.67</x:v>
      </x:c>
      <x:c r="F296" s="18" t="n">
        <x:f>IF(B296="","",ROUND(F295-E296,2))</x:f>
        <x:v>1055920.18</x:v>
      </x:c>
      <x:c r="G296" s="2"/>
      <x:c r="H296" s="2"/>
      <x:c r="I296" s="2"/>
    </x:row>
    <x:row r="297" ht="24" customHeight="1">
      <x:c r="A297" s="1"/>
      <x:c r="B297" s="17" t="n">
        <x:f>IF(ROW()-ROW($B$9)&lt;=$I$16,MIN($I$14,EDATE($I$15,(ROW()-ROW($B$9)-1)*$I$13)),"")</x:f>
        <x:v>53561</x:v>
      </x:c>
      <x:c r="C297" s="18" t="n">
        <x:f>IF(B297="","",IF(ROW()-ROW($B$9)=$I$16,ROUND(F296+D297,2),MIN($I$18,ROUND(F296+D297,2))))</x:f>
        <x:v>26003.2</x:v>
      </x:c>
      <x:c r="D297" s="18" t="n">
        <x:f>IF(B297="","",ROUND(IF($I$19="Факт / 365",F296*$I$12*(B297-B296)/$I$20,F296*$I$17),2))</x:f>
        <x:v>6726.07</x:v>
      </x:c>
      <x:c r="E297" s="18" t="n">
        <x:f>IF(B297="","",ROUND(C297-D297,2))</x:f>
        <x:v>19277.13</x:v>
      </x:c>
      <x:c r="F297" s="18" t="n">
        <x:f>IF(B297="","",ROUND(F296-E297,2))</x:f>
        <x:v>1036643.05</x:v>
      </x:c>
      <x:c r="G297" s="2"/>
      <x:c r="H297" s="2"/>
      <x:c r="I297" s="2"/>
    </x:row>
    <x:row r="298" ht="24" customHeight="1">
      <x:c r="A298" s="1"/>
      <x:c r="B298" s="17" t="n">
        <x:f>IF(ROW()-ROW($B$9)&lt;=$I$16,MIN($I$14,EDATE($I$15,(ROW()-ROW($B$9)-1)*$I$13)),"")</x:f>
        <x:v>53592</x:v>
      </x:c>
      <x:c r="C298" s="18" t="n">
        <x:f>IF(B298="","",IF(ROW()-ROW($B$9)=$I$16,ROUND(F297+D298,2),MIN($I$18,ROUND(F297+D298,2))))</x:f>
        <x:v>26003.2</x:v>
      </x:c>
      <x:c r="D298" s="18" t="n">
        <x:f>IF(B298="","",ROUND(IF($I$19="Факт / 365",F297*$I$12*(B298-B297)/$I$20,F297*$I$17),2))</x:f>
        <x:v>6603.27</x:v>
      </x:c>
      <x:c r="E298" s="18" t="n">
        <x:f>IF(B298="","",ROUND(C298-D298,2))</x:f>
        <x:v>19399.93</x:v>
      </x:c>
      <x:c r="F298" s="18" t="n">
        <x:f>IF(B298="","",ROUND(F297-E298,2))</x:f>
        <x:v>1017243.12</x:v>
      </x:c>
      <x:c r="G298" s="2"/>
      <x:c r="H298" s="2"/>
      <x:c r="I298" s="2"/>
    </x:row>
    <x:row r="299" ht="24" customHeight="1">
      <x:c r="A299" s="1"/>
      <x:c r="B299" s="17" t="n">
        <x:f>IF(ROW()-ROW($B$9)&lt;=$I$16,MIN($I$14,EDATE($I$15,(ROW()-ROW($B$9)-1)*$I$13)),"")</x:f>
        <x:v>53622</x:v>
      </x:c>
      <x:c r="C299" s="18" t="n">
        <x:f>IF(B299="","",IF(ROW()-ROW($B$9)=$I$16,ROUND(F298+D299,2),MIN($I$18,ROUND(F298+D299,2))))</x:f>
        <x:v>26003.2</x:v>
      </x:c>
      <x:c r="D299" s="18" t="n">
        <x:f>IF(B299="","",ROUND(IF($I$19="Факт / 365",F298*$I$12*(B299-B298)/$I$20,F298*$I$17),2))</x:f>
        <x:v>6270.68</x:v>
      </x:c>
      <x:c r="E299" s="18" t="n">
        <x:f>IF(B299="","",ROUND(C299-D299,2))</x:f>
        <x:v>19732.52</x:v>
      </x:c>
      <x:c r="F299" s="18" t="n">
        <x:f>IF(B299="","",ROUND(F298-E299,2))</x:f>
        <x:v>997510.6</x:v>
      </x:c>
      <x:c r="G299" s="2"/>
      <x:c r="H299" s="2"/>
      <x:c r="I299" s="2"/>
    </x:row>
    <x:row r="300" ht="24" customHeight="1">
      <x:c r="A300" s="1"/>
      <x:c r="B300" s="17" t="n">
        <x:f>IF(ROW()-ROW($B$9)&lt;=$I$16,MIN($I$14,EDATE($I$15,(ROW()-ROW($B$9)-1)*$I$13)),"")</x:f>
        <x:v>53653</x:v>
      </x:c>
      <x:c r="C300" s="18" t="n">
        <x:f>IF(B300="","",IF(ROW()-ROW($B$9)=$I$16,ROUND(F299+D300,2),MIN($I$18,ROUND(F299+D300,2))))</x:f>
        <x:v>26003.2</x:v>
      </x:c>
      <x:c r="D300" s="18" t="n">
        <x:f>IF(B300="","",ROUND(IF($I$19="Факт / 365",F299*$I$12*(B300-B299)/$I$20,F299*$I$17),2))</x:f>
        <x:v>6354.01</x:v>
      </x:c>
      <x:c r="E300" s="18" t="n">
        <x:f>IF(B300="","",ROUND(C300-D300,2))</x:f>
        <x:v>19649.19</x:v>
      </x:c>
      <x:c r="F300" s="18" t="n">
        <x:f>IF(B300="","",ROUND(F299-E300,2))</x:f>
        <x:v>977861.41</x:v>
      </x:c>
      <x:c r="G300" s="2"/>
      <x:c r="H300" s="2"/>
      <x:c r="I300" s="2"/>
    </x:row>
    <x:row r="301" ht="24" customHeight="1">
      <x:c r="A301" s="1"/>
      <x:c r="B301" s="17" t="n">
        <x:f>IF(ROW()-ROW($B$9)&lt;=$I$16,MIN($I$14,EDATE($I$15,(ROW()-ROW($B$9)-1)*$I$13)),"")</x:f>
        <x:v>53683</x:v>
      </x:c>
      <x:c r="C301" s="18" t="n">
        <x:f>IF(B301="","",IF(ROW()-ROW($B$9)=$I$16,ROUND(F300+D301,2),MIN($I$18,ROUND(F300+D301,2))))</x:f>
        <x:v>26003.2</x:v>
      </x:c>
      <x:c r="D301" s="18" t="n">
        <x:f>IF(B301="","",ROUND(IF($I$19="Факт / 365",F300*$I$12*(B301-B300)/$I$20,F300*$I$17),2))</x:f>
        <x:v>6027.91</x:v>
      </x:c>
      <x:c r="E301" s="18" t="n">
        <x:f>IF(B301="","",ROUND(C301-D301,2))</x:f>
        <x:v>19975.29</x:v>
      </x:c>
      <x:c r="F301" s="18" t="n">
        <x:f>IF(B301="","",ROUND(F300-E301,2))</x:f>
        <x:v>957886.12</x:v>
      </x:c>
      <x:c r="G301" s="2"/>
      <x:c r="H301" s="2"/>
      <x:c r="I301" s="2"/>
    </x:row>
    <x:row r="302" ht="24" customHeight="1">
      <x:c r="A302" s="1"/>
      <x:c r="B302" s="17" t="n">
        <x:f>IF(ROW()-ROW($B$9)&lt;=$I$16,MIN($I$14,EDATE($I$15,(ROW()-ROW($B$9)-1)*$I$13)),"")</x:f>
        <x:v>53714</x:v>
      </x:c>
      <x:c r="C302" s="18" t="n">
        <x:f>IF(B302="","",IF(ROW()-ROW($B$9)=$I$16,ROUND(F301+D302,2),MIN($I$18,ROUND(F301+D302,2))))</x:f>
        <x:v>26003.2</x:v>
      </x:c>
      <x:c r="D302" s="18" t="n">
        <x:f>IF(B302="","",ROUND(IF($I$19="Факт / 365",F301*$I$12*(B302-B301)/$I$20,F301*$I$17),2))</x:f>
        <x:v>6101.6</x:v>
      </x:c>
      <x:c r="E302" s="18" t="n">
        <x:f>IF(B302="","",ROUND(C302-D302,2))</x:f>
        <x:v>19901.6</x:v>
      </x:c>
      <x:c r="F302" s="18" t="n">
        <x:f>IF(B302="","",ROUND(F301-E302,2))</x:f>
        <x:v>937984.52</x:v>
      </x:c>
      <x:c r="G302" s="2"/>
      <x:c r="H302" s="2"/>
      <x:c r="I302" s="2"/>
    </x:row>
    <x:row r="303" ht="24" customHeight="1">
      <x:c r="A303" s="1"/>
      <x:c r="B303" s="17" t="n">
        <x:f>IF(ROW()-ROW($B$9)&lt;=$I$16,MIN($I$14,EDATE($I$15,(ROW()-ROW($B$9)-1)*$I$13)),"")</x:f>
        <x:v>53745</x:v>
      </x:c>
      <x:c r="C303" s="18" t="n">
        <x:f>IF(B303="","",IF(ROW()-ROW($B$9)=$I$16,ROUND(F302+D303,2),MIN($I$18,ROUND(F302+D303,2))))</x:f>
        <x:v>26003.2</x:v>
      </x:c>
      <x:c r="D303" s="18" t="n">
        <x:f>IF(B303="","",ROUND(IF($I$19="Факт / 365",F302*$I$12*(B303-B302)/$I$20,F302*$I$17),2))</x:f>
        <x:v>5974.83</x:v>
      </x:c>
      <x:c r="E303" s="18" t="n">
        <x:f>IF(B303="","",ROUND(C303-D303,2))</x:f>
        <x:v>20028.37</x:v>
      </x:c>
      <x:c r="F303" s="18" t="n">
        <x:f>IF(B303="","",ROUND(F302-E303,2))</x:f>
        <x:v>917956.15</x:v>
      </x:c>
      <x:c r="G303" s="2"/>
      <x:c r="H303" s="2"/>
      <x:c r="I303" s="2"/>
    </x:row>
    <x:row r="304" ht="24" customHeight="1">
      <x:c r="A304" s="1"/>
      <x:c r="B304" s="17" t="n">
        <x:f>IF(ROW()-ROW($B$9)&lt;=$I$16,MIN($I$14,EDATE($I$15,(ROW()-ROW($B$9)-1)*$I$13)),"")</x:f>
        <x:v>53773</x:v>
      </x:c>
      <x:c r="C304" s="18" t="n">
        <x:f>IF(B304="","",IF(ROW()-ROW($B$9)=$I$16,ROUND(F303+D304,2),MIN($I$18,ROUND(F303+D304,2))))</x:f>
        <x:v>26003.2</x:v>
      </x:c>
      <x:c r="D304" s="18" t="n">
        <x:f>IF(B304="","",ROUND(IF($I$19="Факт / 365",F303*$I$12*(B304-B303)/$I$20,F303*$I$17),2))</x:f>
        <x:v>5281.39</x:v>
      </x:c>
      <x:c r="E304" s="18" t="n">
        <x:f>IF(B304="","",ROUND(C304-D304,2))</x:f>
        <x:v>20721.81</x:v>
      </x:c>
      <x:c r="F304" s="18" t="n">
        <x:f>IF(B304="","",ROUND(F303-E304,2))</x:f>
        <x:v>897234.34</x:v>
      </x:c>
      <x:c r="G304" s="2"/>
      <x:c r="H304" s="2"/>
      <x:c r="I304" s="2"/>
    </x:row>
    <x:row r="305" ht="24" customHeight="1">
      <x:c r="A305" s="1"/>
      <x:c r="B305" s="17" t="n">
        <x:f>IF(ROW()-ROW($B$9)&lt;=$I$16,MIN($I$14,EDATE($I$15,(ROW()-ROW($B$9)-1)*$I$13)),"")</x:f>
        <x:v>53804</x:v>
      </x:c>
      <x:c r="C305" s="18" t="n">
        <x:f>IF(B305="","",IF(ROW()-ROW($B$9)=$I$16,ROUND(F304+D305,2),MIN($I$18,ROUND(F304+D305,2))))</x:f>
        <x:v>26003.2</x:v>
      </x:c>
      <x:c r="D305" s="18" t="n">
        <x:f>IF(B305="","",ROUND(IF($I$19="Факт / 365",F304*$I$12*(B305-B304)/$I$20,F304*$I$17),2))</x:f>
        <x:v>5715.26</x:v>
      </x:c>
      <x:c r="E305" s="18" t="n">
        <x:f>IF(B305="","",ROUND(C305-D305,2))</x:f>
        <x:v>20287.94</x:v>
      </x:c>
      <x:c r="F305" s="18" t="n">
        <x:f>IF(B305="","",ROUND(F304-E305,2))</x:f>
        <x:v>876946.4</x:v>
      </x:c>
      <x:c r="G305" s="2"/>
      <x:c r="H305" s="2"/>
      <x:c r="I305" s="2"/>
    </x:row>
    <x:row r="306" ht="24" customHeight="1">
      <x:c r="A306" s="1"/>
      <x:c r="B306" s="17" t="n">
        <x:f>IF(ROW()-ROW($B$9)&lt;=$I$16,MIN($I$14,EDATE($I$15,(ROW()-ROW($B$9)-1)*$I$13)),"")</x:f>
        <x:v>53834</x:v>
      </x:c>
      <x:c r="C306" s="18" t="n">
        <x:f>IF(B306="","",IF(ROW()-ROW($B$9)=$I$16,ROUND(F305+D306,2),MIN($I$18,ROUND(F305+D306,2))))</x:f>
        <x:v>26003.2</x:v>
      </x:c>
      <x:c r="D306" s="18" t="n">
        <x:f>IF(B306="","",ROUND(IF($I$19="Факт / 365",F305*$I$12*(B306-B305)/$I$20,F305*$I$17),2))</x:f>
        <x:v>5405.83</x:v>
      </x:c>
      <x:c r="E306" s="18" t="n">
        <x:f>IF(B306="","",ROUND(C306-D306,2))</x:f>
        <x:v>20597.37</x:v>
      </x:c>
      <x:c r="F306" s="18" t="n">
        <x:f>IF(B306="","",ROUND(F305-E306,2))</x:f>
        <x:v>856349.03</x:v>
      </x:c>
      <x:c r="G306" s="2"/>
      <x:c r="H306" s="2"/>
      <x:c r="I306" s="2"/>
    </x:row>
    <x:row r="307" ht="24" customHeight="1">
      <x:c r="A307" s="1"/>
      <x:c r="B307" s="17" t="n">
        <x:f>IF(ROW()-ROW($B$9)&lt;=$I$16,MIN($I$14,EDATE($I$15,(ROW()-ROW($B$9)-1)*$I$13)),"")</x:f>
        <x:v>53865</x:v>
      </x:c>
      <x:c r="C307" s="18" t="n">
        <x:f>IF(B307="","",IF(ROW()-ROW($B$9)=$I$16,ROUND(F306+D307,2),MIN($I$18,ROUND(F306+D307,2))))</x:f>
        <x:v>26003.2</x:v>
      </x:c>
      <x:c r="D307" s="18" t="n">
        <x:f>IF(B307="","",ROUND(IF($I$19="Факт / 365",F306*$I$12*(B307-B306)/$I$20,F306*$I$17),2))</x:f>
        <x:v>5454.83</x:v>
      </x:c>
      <x:c r="E307" s="18" t="n">
        <x:f>IF(B307="","",ROUND(C307-D307,2))</x:f>
        <x:v>20548.37</x:v>
      </x:c>
      <x:c r="F307" s="18" t="n">
        <x:f>IF(B307="","",ROUND(F306-E307,2))</x:f>
        <x:v>835800.66</x:v>
      </x:c>
      <x:c r="G307" s="2"/>
      <x:c r="H307" s="2"/>
      <x:c r="I307" s="2"/>
    </x:row>
    <x:row r="308" ht="24" customHeight="1">
      <x:c r="A308" s="1"/>
      <x:c r="B308" s="17" t="n">
        <x:f>IF(ROW()-ROW($B$9)&lt;=$I$16,MIN($I$14,EDATE($I$15,(ROW()-ROW($B$9)-1)*$I$13)),"")</x:f>
        <x:v>53895</x:v>
      </x:c>
      <x:c r="C308" s="18" t="n">
        <x:f>IF(B308="","",IF(ROW()-ROW($B$9)=$I$16,ROUND(F307+D308,2),MIN($I$18,ROUND(F307+D308,2))))</x:f>
        <x:v>26003.2</x:v>
      </x:c>
      <x:c r="D308" s="18" t="n">
        <x:f>IF(B308="","",ROUND(IF($I$19="Факт / 365",F307*$I$12*(B308-B307)/$I$20,F307*$I$17),2))</x:f>
        <x:v>5152.2</x:v>
      </x:c>
      <x:c r="E308" s="18" t="n">
        <x:f>IF(B308="","",ROUND(C308-D308,2))</x:f>
        <x:v>20851</x:v>
      </x:c>
      <x:c r="F308" s="18" t="n">
        <x:f>IF(B308="","",ROUND(F307-E308,2))</x:f>
        <x:v>814949.66</x:v>
      </x:c>
      <x:c r="G308" s="2"/>
      <x:c r="H308" s="2"/>
      <x:c r="I308" s="2"/>
    </x:row>
    <x:row r="309" ht="24" customHeight="1">
      <x:c r="A309" s="1"/>
      <x:c r="B309" s="17" t="n">
        <x:f>IF(ROW()-ROW($B$9)&lt;=$I$16,MIN($I$14,EDATE($I$15,(ROW()-ROW($B$9)-1)*$I$13)),"")</x:f>
        <x:v>53926</x:v>
      </x:c>
      <x:c r="C309" s="18" t="n">
        <x:f>IF(B309="","",IF(ROW()-ROW($B$9)=$I$16,ROUND(F308+D309,2),MIN($I$18,ROUND(F308+D309,2))))</x:f>
        <x:v>26003.2</x:v>
      </x:c>
      <x:c r="D309" s="18" t="n">
        <x:f>IF(B309="","",ROUND(IF($I$19="Факт / 365",F308*$I$12*(B309-B308)/$I$20,F308*$I$17),2))</x:f>
        <x:v>5191.12</x:v>
      </x:c>
      <x:c r="E309" s="18" t="n">
        <x:f>IF(B309="","",ROUND(C309-D309,2))</x:f>
        <x:v>20812.08</x:v>
      </x:c>
      <x:c r="F309" s="18" t="n">
        <x:f>IF(B309="","",ROUND(F308-E309,2))</x:f>
        <x:v>794137.58</x:v>
      </x:c>
      <x:c r="G309" s="2"/>
      <x:c r="H309" s="2"/>
      <x:c r="I309" s="2"/>
    </x:row>
    <x:row r="310" ht="24" customHeight="1">
      <x:c r="A310" s="1"/>
      <x:c r="B310" s="17" t="n">
        <x:f>IF(ROW()-ROW($B$9)&lt;=$I$16,MIN($I$14,EDATE($I$15,(ROW()-ROW($B$9)-1)*$I$13)),"")</x:f>
        <x:v>53957</x:v>
      </x:c>
      <x:c r="C310" s="18" t="n">
        <x:f>IF(B310="","",IF(ROW()-ROW($B$9)=$I$16,ROUND(F309+D310,2),MIN($I$18,ROUND(F309+D310,2))))</x:f>
        <x:v>26003.2</x:v>
      </x:c>
      <x:c r="D310" s="18" t="n">
        <x:f>IF(B310="","",ROUND(IF($I$19="Факт / 365",F309*$I$12*(B310-B309)/$I$20,F309*$I$17),2))</x:f>
        <x:v>5058.55</x:v>
      </x:c>
      <x:c r="E310" s="18" t="n">
        <x:f>IF(B310="","",ROUND(C310-D310,2))</x:f>
        <x:v>20944.65</x:v>
      </x:c>
      <x:c r="F310" s="18" t="n">
        <x:f>IF(B310="","",ROUND(F309-E310,2))</x:f>
        <x:v>773192.93</x:v>
      </x:c>
      <x:c r="G310" s="2"/>
      <x:c r="H310" s="2"/>
      <x:c r="I310" s="2"/>
    </x:row>
    <x:row r="311" ht="24" customHeight="1">
      <x:c r="A311" s="1"/>
      <x:c r="B311" s="17" t="n">
        <x:f>IF(ROW()-ROW($B$9)&lt;=$I$16,MIN($I$14,EDATE($I$15,(ROW()-ROW($B$9)-1)*$I$13)),"")</x:f>
        <x:v>53987</x:v>
      </x:c>
      <x:c r="C311" s="18" t="n">
        <x:f>IF(B311="","",IF(ROW()-ROW($B$9)=$I$16,ROUND(F310+D311,2),MIN($I$18,ROUND(F310+D311,2))))</x:f>
        <x:v>26003.2</x:v>
      </x:c>
      <x:c r="D311" s="18" t="n">
        <x:f>IF(B311="","",ROUND(IF($I$19="Факт / 365",F310*$I$12*(B311-B310)/$I$20,F310*$I$17),2))</x:f>
        <x:v>4766.26</x:v>
      </x:c>
      <x:c r="E311" s="18" t="n">
        <x:f>IF(B311="","",ROUND(C311-D311,2))</x:f>
        <x:v>21236.94</x:v>
      </x:c>
      <x:c r="F311" s="18" t="n">
        <x:f>IF(B311="","",ROUND(F310-E311,2))</x:f>
        <x:v>751955.99</x:v>
      </x:c>
      <x:c r="G311" s="2"/>
      <x:c r="H311" s="2"/>
      <x:c r="I311" s="2"/>
    </x:row>
    <x:row r="312" ht="24" customHeight="1">
      <x:c r="A312" s="1"/>
      <x:c r="B312" s="17" t="n">
        <x:f>IF(ROW()-ROW($B$9)&lt;=$I$16,MIN($I$14,EDATE($I$15,(ROW()-ROW($B$9)-1)*$I$13)),"")</x:f>
        <x:v>54018</x:v>
      </x:c>
      <x:c r="C312" s="18" t="n">
        <x:f>IF(B312="","",IF(ROW()-ROW($B$9)=$I$16,ROUND(F311+D312,2),MIN($I$18,ROUND(F311+D312,2))))</x:f>
        <x:v>26003.2</x:v>
      </x:c>
      <x:c r="D312" s="18" t="n">
        <x:f>IF(B312="","",ROUND(IF($I$19="Факт / 365",F311*$I$12*(B312-B311)/$I$20,F311*$I$17),2))</x:f>
        <x:v>4789.86</x:v>
      </x:c>
      <x:c r="E312" s="18" t="n">
        <x:f>IF(B312="","",ROUND(C312-D312,2))</x:f>
        <x:v>21213.34</x:v>
      </x:c>
      <x:c r="F312" s="18" t="n">
        <x:f>IF(B312="","",ROUND(F311-E312,2))</x:f>
        <x:v>730742.65</x:v>
      </x:c>
      <x:c r="G312" s="2"/>
      <x:c r="H312" s="2"/>
      <x:c r="I312" s="2"/>
    </x:row>
    <x:row r="313" ht="24" customHeight="1">
      <x:c r="A313" s="1"/>
      <x:c r="B313" s="17" t="n">
        <x:f>IF(ROW()-ROW($B$9)&lt;=$I$16,MIN($I$14,EDATE($I$15,(ROW()-ROW($B$9)-1)*$I$13)),"")</x:f>
        <x:v>54048</x:v>
      </x:c>
      <x:c r="C313" s="18" t="n">
        <x:f>IF(B313="","",IF(ROW()-ROW($B$9)=$I$16,ROUND(F312+D313,2),MIN($I$18,ROUND(F312+D313,2))))</x:f>
        <x:v>26003.2</x:v>
      </x:c>
      <x:c r="D313" s="18" t="n">
        <x:f>IF(B313="","",ROUND(IF($I$19="Факт / 365",F312*$I$12*(B313-B312)/$I$20,F312*$I$17),2))</x:f>
        <x:v>4504.58</x:v>
      </x:c>
      <x:c r="E313" s="18" t="n">
        <x:f>IF(B313="","",ROUND(C313-D313,2))</x:f>
        <x:v>21498.62</x:v>
      </x:c>
      <x:c r="F313" s="18" t="n">
        <x:f>IF(B313="","",ROUND(F312-E313,2))</x:f>
        <x:v>709244.03</x:v>
      </x:c>
      <x:c r="G313" s="2"/>
      <x:c r="H313" s="2"/>
      <x:c r="I313" s="2"/>
    </x:row>
    <x:row r="314" ht="24" customHeight="1">
      <x:c r="A314" s="1"/>
      <x:c r="B314" s="17" t="n">
        <x:f>IF(ROW()-ROW($B$9)&lt;=$I$16,MIN($I$14,EDATE($I$15,(ROW()-ROW($B$9)-1)*$I$13)),"")</x:f>
        <x:v>54079</x:v>
      </x:c>
      <x:c r="C314" s="18" t="n">
        <x:f>IF(B314="","",IF(ROW()-ROW($B$9)=$I$16,ROUND(F313+D314,2),MIN($I$18,ROUND(F313+D314,2))))</x:f>
        <x:v>26003.2</x:v>
      </x:c>
      <x:c r="D314" s="18" t="n">
        <x:f>IF(B314="","",ROUND(IF($I$19="Факт / 365",F313*$I$12*(B314-B313)/$I$20,F313*$I$17),2))</x:f>
        <x:v>4517.79</x:v>
      </x:c>
      <x:c r="E314" s="18" t="n">
        <x:f>IF(B314="","",ROUND(C314-D314,2))</x:f>
        <x:v>21485.41</x:v>
      </x:c>
      <x:c r="F314" s="18" t="n">
        <x:f>IF(B314="","",ROUND(F313-E314,2))</x:f>
        <x:v>687758.62</x:v>
      </x:c>
      <x:c r="G314" s="2"/>
      <x:c r="H314" s="2"/>
      <x:c r="I314" s="2"/>
    </x:row>
    <x:row r="315" ht="24" customHeight="1">
      <x:c r="A315" s="1"/>
      <x:c r="B315" s="17" t="n">
        <x:f>IF(ROW()-ROW($B$9)&lt;=$I$16,MIN($I$14,EDATE($I$15,(ROW()-ROW($B$9)-1)*$I$13)),"")</x:f>
        <x:v>54110</x:v>
      </x:c>
      <x:c r="C315" s="18" t="n">
        <x:f>IF(B315="","",IF(ROW()-ROW($B$9)=$I$16,ROUND(F314+D315,2),MIN($I$18,ROUND(F314+D315,2))))</x:f>
        <x:v>26003.2</x:v>
      </x:c>
      <x:c r="D315" s="18" t="n">
        <x:f>IF(B315="","",ROUND(IF($I$19="Факт / 365",F314*$I$12*(B315-B314)/$I$20,F314*$I$17),2))</x:f>
        <x:v>4380.93</x:v>
      </x:c>
      <x:c r="E315" s="18" t="n">
        <x:f>IF(B315="","",ROUND(C315-D315,2))</x:f>
        <x:v>21622.27</x:v>
      </x:c>
      <x:c r="F315" s="18" t="n">
        <x:f>IF(B315="","",ROUND(F314-E315,2))</x:f>
        <x:v>666136.35</x:v>
      </x:c>
      <x:c r="G315" s="2"/>
      <x:c r="H315" s="2"/>
      <x:c r="I315" s="2"/>
    </x:row>
    <x:row r="316" ht="24" customHeight="1">
      <x:c r="A316" s="1"/>
      <x:c r="B316" s="17" t="n">
        <x:f>IF(ROW()-ROW($B$9)&lt;=$I$16,MIN($I$14,EDATE($I$15,(ROW()-ROW($B$9)-1)*$I$13)),"")</x:f>
        <x:v>54139</x:v>
      </x:c>
      <x:c r="C316" s="18" t="n">
        <x:f>IF(B316="","",IF(ROW()-ROW($B$9)=$I$16,ROUND(F315+D316,2),MIN($I$18,ROUND(F315+D316,2))))</x:f>
        <x:v>26003.2</x:v>
      </x:c>
      <x:c r="D316" s="18" t="n">
        <x:f>IF(B316="","",ROUND(IF($I$19="Факт / 365",F315*$I$12*(B316-B315)/$I$20,F315*$I$17),2))</x:f>
        <x:v>3969.44</x:v>
      </x:c>
      <x:c r="E316" s="18" t="n">
        <x:f>IF(B316="","",ROUND(C316-D316,2))</x:f>
        <x:v>22033.76</x:v>
      </x:c>
      <x:c r="F316" s="18" t="n">
        <x:f>IF(B316="","",ROUND(F315-E316,2))</x:f>
        <x:v>644102.59</x:v>
      </x:c>
      <x:c r="G316" s="2"/>
      <x:c r="H316" s="2"/>
      <x:c r="I316" s="2"/>
    </x:row>
    <x:row r="317" ht="24" customHeight="1">
      <x:c r="A317" s="1"/>
      <x:c r="B317" s="17" t="n">
        <x:f>IF(ROW()-ROW($B$9)&lt;=$I$16,MIN($I$14,EDATE($I$15,(ROW()-ROW($B$9)-1)*$I$13)),"")</x:f>
        <x:v>54170</x:v>
      </x:c>
      <x:c r="C317" s="18" t="n">
        <x:f>IF(B317="","",IF(ROW()-ROW($B$9)=$I$16,ROUND(F316+D317,2),MIN($I$18,ROUND(F316+D317,2))))</x:f>
        <x:v>26003.2</x:v>
      </x:c>
      <x:c r="D317" s="18" t="n">
        <x:f>IF(B317="","",ROUND(IF($I$19="Факт / 365",F316*$I$12*(B317-B316)/$I$20,F316*$I$17),2))</x:f>
        <x:v>4102.85</x:v>
      </x:c>
      <x:c r="E317" s="18" t="n">
        <x:f>IF(B317="","",ROUND(C317-D317,2))</x:f>
        <x:v>21900.35</x:v>
      </x:c>
      <x:c r="F317" s="18" t="n">
        <x:f>IF(B317="","",ROUND(F316-E317,2))</x:f>
        <x:v>622202.24</x:v>
      </x:c>
      <x:c r="G317" s="2"/>
      <x:c r="H317" s="2"/>
      <x:c r="I317" s="2"/>
    </x:row>
    <x:row r="318" ht="24" customHeight="1">
      <x:c r="A318" s="1"/>
      <x:c r="B318" s="17" t="n">
        <x:f>IF(ROW()-ROW($B$9)&lt;=$I$16,MIN($I$14,EDATE($I$15,(ROW()-ROW($B$9)-1)*$I$13)),"")</x:f>
        <x:v>54200</x:v>
      </x:c>
      <x:c r="C318" s="18" t="n">
        <x:f>IF(B318="","",IF(ROW()-ROW($B$9)=$I$16,ROUND(F317+D318,2),MIN($I$18,ROUND(F317+D318,2))))</x:f>
        <x:v>26003.2</x:v>
      </x:c>
      <x:c r="D318" s="18" t="n">
        <x:f>IF(B318="","",ROUND(IF($I$19="Факт / 365",F317*$I$12*(B318-B317)/$I$20,F317*$I$17),2))</x:f>
        <x:v>3835.49</x:v>
      </x:c>
      <x:c r="E318" s="18" t="n">
        <x:f>IF(B318="","",ROUND(C318-D318,2))</x:f>
        <x:v>22167.71</x:v>
      </x:c>
      <x:c r="F318" s="18" t="n">
        <x:f>IF(B318="","",ROUND(F317-E318,2))</x:f>
        <x:v>600034.53</x:v>
      </x:c>
      <x:c r="G318" s="2"/>
      <x:c r="H318" s="2"/>
      <x:c r="I318" s="2"/>
    </x:row>
    <x:row r="319" ht="24" customHeight="1">
      <x:c r="A319" s="1"/>
      <x:c r="B319" s="17" t="n">
        <x:f>IF(ROW()-ROW($B$9)&lt;=$I$16,MIN($I$14,EDATE($I$15,(ROW()-ROW($B$9)-1)*$I$13)),"")</x:f>
        <x:v>54231</x:v>
      </x:c>
      <x:c r="C319" s="18" t="n">
        <x:f>IF(B319="","",IF(ROW()-ROW($B$9)=$I$16,ROUND(F318+D319,2),MIN($I$18,ROUND(F318+D319,2))))</x:f>
        <x:v>26003.2</x:v>
      </x:c>
      <x:c r="D319" s="18" t="n">
        <x:f>IF(B319="","",ROUND(IF($I$19="Факт / 365",F318*$I$12*(B319-B318)/$I$20,F318*$I$17),2))</x:f>
        <x:v>3822.14</x:v>
      </x:c>
      <x:c r="E319" s="18" t="n">
        <x:f>IF(B319="","",ROUND(C319-D319,2))</x:f>
        <x:v>22181.06</x:v>
      </x:c>
      <x:c r="F319" s="18" t="n">
        <x:f>IF(B319="","",ROUND(F318-E319,2))</x:f>
        <x:v>577853.47</x:v>
      </x:c>
      <x:c r="G319" s="2"/>
      <x:c r="H319" s="2"/>
      <x:c r="I319" s="2"/>
    </x:row>
    <x:row r="320" ht="24" customHeight="1">
      <x:c r="A320" s="1"/>
      <x:c r="B320" s="17" t="n">
        <x:f>IF(ROW()-ROW($B$9)&lt;=$I$16,MIN($I$14,EDATE($I$15,(ROW()-ROW($B$9)-1)*$I$13)),"")</x:f>
        <x:v>54261</x:v>
      </x:c>
      <x:c r="C320" s="18" t="n">
        <x:f>IF(B320="","",IF(ROW()-ROW($B$9)=$I$16,ROUND(F319+D320,2),MIN($I$18,ROUND(F319+D320,2))))</x:f>
        <x:v>26003.2</x:v>
      </x:c>
      <x:c r="D320" s="18" t="n">
        <x:f>IF(B320="","",ROUND(IF($I$19="Факт / 365",F319*$I$12*(B320-B319)/$I$20,F319*$I$17),2))</x:f>
        <x:v>3562.11</x:v>
      </x:c>
      <x:c r="E320" s="18" t="n">
        <x:f>IF(B320="","",ROUND(C320-D320,2))</x:f>
        <x:v>22441.09</x:v>
      </x:c>
      <x:c r="F320" s="18" t="n">
        <x:f>IF(B320="","",ROUND(F319-E320,2))</x:f>
        <x:v>555412.38</x:v>
      </x:c>
      <x:c r="G320" s="2"/>
      <x:c r="H320" s="2"/>
      <x:c r="I320" s="2"/>
    </x:row>
    <x:row r="321" ht="24" customHeight="1">
      <x:c r="A321" s="1"/>
      <x:c r="B321" s="17" t="n">
        <x:f>IF(ROW()-ROW($B$9)&lt;=$I$16,MIN($I$14,EDATE($I$15,(ROW()-ROW($B$9)-1)*$I$13)),"")</x:f>
        <x:v>54292</x:v>
      </x:c>
      <x:c r="C321" s="18" t="n">
        <x:f>IF(B321="","",IF(ROW()-ROW($B$9)=$I$16,ROUND(F320+D321,2),MIN($I$18,ROUND(F320+D321,2))))</x:f>
        <x:v>26003.2</x:v>
      </x:c>
      <x:c r="D321" s="18" t="n">
        <x:f>IF(B321="","",ROUND(IF($I$19="Факт / 365",F320*$I$12*(B321-B320)/$I$20,F320*$I$17),2))</x:f>
        <x:v>3537.9</x:v>
      </x:c>
      <x:c r="E321" s="18" t="n">
        <x:f>IF(B321="","",ROUND(C321-D321,2))</x:f>
        <x:v>22465.3</x:v>
      </x:c>
      <x:c r="F321" s="18" t="n">
        <x:f>IF(B321="","",ROUND(F320-E321,2))</x:f>
        <x:v>532947.08</x:v>
      </x:c>
      <x:c r="G321" s="2"/>
      <x:c r="H321" s="2"/>
      <x:c r="I321" s="2"/>
    </x:row>
    <x:row r="322" ht="24" customHeight="1">
      <x:c r="A322" s="1"/>
      <x:c r="B322" s="17" t="n">
        <x:f>IF(ROW()-ROW($B$9)&lt;=$I$16,MIN($I$14,EDATE($I$15,(ROW()-ROW($B$9)-1)*$I$13)),"")</x:f>
        <x:v>54323</x:v>
      </x:c>
      <x:c r="C322" s="18" t="n">
        <x:f>IF(B322="","",IF(ROW()-ROW($B$9)=$I$16,ROUND(F321+D322,2),MIN($I$18,ROUND(F321+D322,2))))</x:f>
        <x:v>26003.2</x:v>
      </x:c>
      <x:c r="D322" s="18" t="n">
        <x:f>IF(B322="","",ROUND(IF($I$19="Факт / 365",F321*$I$12*(B322-B321)/$I$20,F321*$I$17),2))</x:f>
        <x:v>3394.8</x:v>
      </x:c>
      <x:c r="E322" s="18" t="n">
        <x:f>IF(B322="","",ROUND(C322-D322,2))</x:f>
        <x:v>22608.4</x:v>
      </x:c>
      <x:c r="F322" s="18" t="n">
        <x:f>IF(B322="","",ROUND(F321-E322,2))</x:f>
        <x:v>510338.68</x:v>
      </x:c>
      <x:c r="G322" s="2"/>
      <x:c r="H322" s="2"/>
      <x:c r="I322" s="2"/>
    </x:row>
    <x:row r="323" ht="24" customHeight="1">
      <x:c r="A323" s="1"/>
      <x:c r="B323" s="17" t="n">
        <x:f>IF(ROW()-ROW($B$9)&lt;=$I$16,MIN($I$14,EDATE($I$15,(ROW()-ROW($B$9)-1)*$I$13)),"")</x:f>
        <x:v>54353</x:v>
      </x:c>
      <x:c r="C323" s="18" t="n">
        <x:f>IF(B323="","",IF(ROW()-ROW($B$9)=$I$16,ROUND(F322+D323,2),MIN($I$18,ROUND(F322+D323,2))))</x:f>
        <x:v>26003.2</x:v>
      </x:c>
      <x:c r="D323" s="18" t="n">
        <x:f>IF(B323="","",ROUND(IF($I$19="Факт / 365",F322*$I$12*(B323-B322)/$I$20,F322*$I$17),2))</x:f>
        <x:v>3145.92</x:v>
      </x:c>
      <x:c r="E323" s="18" t="n">
        <x:f>IF(B323="","",ROUND(C323-D323,2))</x:f>
        <x:v>22857.28</x:v>
      </x:c>
      <x:c r="F323" s="18" t="n">
        <x:f>IF(B323="","",ROUND(F322-E323,2))</x:f>
        <x:v>487481.4</x:v>
      </x:c>
      <x:c r="G323" s="2"/>
      <x:c r="H323" s="2"/>
      <x:c r="I323" s="2"/>
    </x:row>
    <x:row r="324" ht="24" customHeight="1">
      <x:c r="A324" s="1"/>
      <x:c r="B324" s="17" t="n">
        <x:f>IF(ROW()-ROW($B$9)&lt;=$I$16,MIN($I$14,EDATE($I$15,(ROW()-ROW($B$9)-1)*$I$13)),"")</x:f>
        <x:v>54384</x:v>
      </x:c>
      <x:c r="C324" s="18" t="n">
        <x:f>IF(B324="","",IF(ROW()-ROW($B$9)=$I$16,ROUND(F323+D324,2),MIN($I$18,ROUND(F323+D324,2))))</x:f>
        <x:v>26003.2</x:v>
      </x:c>
      <x:c r="D324" s="18" t="n">
        <x:f>IF(B324="","",ROUND(IF($I$19="Факт / 365",F323*$I$12*(B324-B323)/$I$20,F323*$I$17),2))</x:f>
        <x:v>3105.19</x:v>
      </x:c>
      <x:c r="E324" s="18" t="n">
        <x:f>IF(B324="","",ROUND(C324-D324,2))</x:f>
        <x:v>22898.01</x:v>
      </x:c>
      <x:c r="F324" s="18" t="n">
        <x:f>IF(B324="","",ROUND(F323-E324,2))</x:f>
        <x:v>464583.39</x:v>
      </x:c>
      <x:c r="G324" s="2"/>
      <x:c r="H324" s="2"/>
      <x:c r="I324" s="2"/>
    </x:row>
    <x:row r="325" ht="24" customHeight="1">
      <x:c r="A325" s="1"/>
      <x:c r="B325" s="17" t="n">
        <x:f>IF(ROW()-ROW($B$9)&lt;=$I$16,MIN($I$14,EDATE($I$15,(ROW()-ROW($B$9)-1)*$I$13)),"")</x:f>
        <x:v>54414</x:v>
      </x:c>
      <x:c r="C325" s="18" t="n">
        <x:f>IF(B325="","",IF(ROW()-ROW($B$9)=$I$16,ROUND(F324+D325,2),MIN($I$18,ROUND(F324+D325,2))))</x:f>
        <x:v>26003.2</x:v>
      </x:c>
      <x:c r="D325" s="18" t="n">
        <x:f>IF(B325="","",ROUND(IF($I$19="Факт / 365",F324*$I$12*(B325-B324)/$I$20,F324*$I$17),2))</x:f>
        <x:v>2863.87</x:v>
      </x:c>
      <x:c r="E325" s="18" t="n">
        <x:f>IF(B325="","",ROUND(C325-D325,2))</x:f>
        <x:v>23139.33</x:v>
      </x:c>
      <x:c r="F325" s="18" t="n">
        <x:f>IF(B325="","",ROUND(F324-E325,2))</x:f>
        <x:v>441444.06</x:v>
      </x:c>
      <x:c r="G325" s="2"/>
      <x:c r="H325" s="2"/>
      <x:c r="I325" s="2"/>
    </x:row>
    <x:row r="326" ht="24" customHeight="1">
      <x:c r="A326" s="1"/>
      <x:c r="B326" s="17" t="n">
        <x:f>IF(ROW()-ROW($B$9)&lt;=$I$16,MIN($I$14,EDATE($I$15,(ROW()-ROW($B$9)-1)*$I$13)),"")</x:f>
        <x:v>54445</x:v>
      </x:c>
      <x:c r="C326" s="18" t="n">
        <x:f>IF(B326="","",IF(ROW()-ROW($B$9)=$I$16,ROUND(F325+D326,2),MIN($I$18,ROUND(F325+D326,2))))</x:f>
        <x:v>26003.2</x:v>
      </x:c>
      <x:c r="D326" s="18" t="n">
        <x:f>IF(B326="","",ROUND(IF($I$19="Факт / 365",F325*$I$12*(B326-B325)/$I$20,F325*$I$17),2))</x:f>
        <x:v>2811.94</x:v>
      </x:c>
      <x:c r="E326" s="18" t="n">
        <x:f>IF(B326="","",ROUND(C326-D326,2))</x:f>
        <x:v>23191.26</x:v>
      </x:c>
      <x:c r="F326" s="18" t="n">
        <x:f>IF(B326="","",ROUND(F325-E326,2))</x:f>
        <x:v>418252.8</x:v>
      </x:c>
      <x:c r="G326" s="2"/>
      <x:c r="H326" s="2"/>
      <x:c r="I326" s="2"/>
    </x:row>
    <x:row r="327" ht="24" customHeight="1">
      <x:c r="A327" s="1"/>
      <x:c r="B327" s="17" t="n">
        <x:f>IF(ROW()-ROW($B$9)&lt;=$I$16,MIN($I$14,EDATE($I$15,(ROW()-ROW($B$9)-1)*$I$13)),"")</x:f>
        <x:v>54476</x:v>
      </x:c>
      <x:c r="C327" s="18" t="n">
        <x:f>IF(B327="","",IF(ROW()-ROW($B$9)=$I$16,ROUND(F326+D327,2),MIN($I$18,ROUND(F326+D327,2))))</x:f>
        <x:v>26003.2</x:v>
      </x:c>
      <x:c r="D327" s="18" t="n">
        <x:f>IF(B327="","",ROUND(IF($I$19="Факт / 365",F326*$I$12*(B327-B326)/$I$20,F326*$I$17),2))</x:f>
        <x:v>2664.21</x:v>
      </x:c>
      <x:c r="E327" s="18" t="n">
        <x:f>IF(B327="","",ROUND(C327-D327,2))</x:f>
        <x:v>23338.99</x:v>
      </x:c>
      <x:c r="F327" s="18" t="n">
        <x:f>IF(B327="","",ROUND(F326-E327,2))</x:f>
        <x:v>394913.81</x:v>
      </x:c>
      <x:c r="G327" s="2"/>
      <x:c r="H327" s="2"/>
      <x:c r="I327" s="2"/>
    </x:row>
    <x:row r="328" ht="24" customHeight="1">
      <x:c r="A328" s="1"/>
      <x:c r="B328" s="17" t="n">
        <x:f>IF(ROW()-ROW($B$9)&lt;=$I$16,MIN($I$14,EDATE($I$15,(ROW()-ROW($B$9)-1)*$I$13)),"")</x:f>
        <x:v>54504</x:v>
      </x:c>
      <x:c r="C328" s="18" t="n">
        <x:f>IF(B328="","",IF(ROW()-ROW($B$9)=$I$16,ROUND(F327+D328,2),MIN($I$18,ROUND(F327+D328,2))))</x:f>
        <x:v>26003.2</x:v>
      </x:c>
      <x:c r="D328" s="18" t="n">
        <x:f>IF(B328="","",ROUND(IF($I$19="Факт / 365",F327*$I$12*(B328-B327)/$I$20,F327*$I$17),2))</x:f>
        <x:v>2272.11</x:v>
      </x:c>
      <x:c r="E328" s="18" t="n">
        <x:f>IF(B328="","",ROUND(C328-D328,2))</x:f>
        <x:v>23731.09</x:v>
      </x:c>
      <x:c r="F328" s="18" t="n">
        <x:f>IF(B328="","",ROUND(F327-E328,2))</x:f>
        <x:v>371182.72</x:v>
      </x:c>
      <x:c r="G328" s="2"/>
      <x:c r="H328" s="2"/>
      <x:c r="I328" s="2"/>
    </x:row>
    <x:row r="329" ht="24" customHeight="1">
      <x:c r="A329" s="1"/>
      <x:c r="B329" s="17" t="n">
        <x:f>IF(ROW()-ROW($B$9)&lt;=$I$16,MIN($I$14,EDATE($I$15,(ROW()-ROW($B$9)-1)*$I$13)),"")</x:f>
        <x:v>54535</x:v>
      </x:c>
      <x:c r="C329" s="18" t="n">
        <x:f>IF(B329="","",IF(ROW()-ROW($B$9)=$I$16,ROUND(F328+D329,2),MIN($I$18,ROUND(F328+D329,2))))</x:f>
        <x:v>26003.2</x:v>
      </x:c>
      <x:c r="D329" s="18" t="n">
        <x:f>IF(B329="","",ROUND(IF($I$19="Факт / 365",F328*$I$12*(B329-B328)/$I$20,F328*$I$17),2))</x:f>
        <x:v>2364.38</x:v>
      </x:c>
      <x:c r="E329" s="18" t="n">
        <x:f>IF(B329="","",ROUND(C329-D329,2))</x:f>
        <x:v>23638.82</x:v>
      </x:c>
      <x:c r="F329" s="18" t="n">
        <x:f>IF(B329="","",ROUND(F328-E329,2))</x:f>
        <x:v>347543.9</x:v>
      </x:c>
      <x:c r="G329" s="2"/>
      <x:c r="H329" s="2"/>
      <x:c r="I329" s="2"/>
    </x:row>
    <x:row r="330" ht="24" customHeight="1">
      <x:c r="A330" s="1"/>
      <x:c r="B330" s="17" t="n">
        <x:f>IF(ROW()-ROW($B$9)&lt;=$I$16,MIN($I$14,EDATE($I$15,(ROW()-ROW($B$9)-1)*$I$13)),"")</x:f>
        <x:v>54565</x:v>
      </x:c>
      <x:c r="C330" s="18" t="n">
        <x:f>IF(B330="","",IF(ROW()-ROW($B$9)=$I$16,ROUND(F329+D330,2),MIN($I$18,ROUND(F329+D330,2))))</x:f>
        <x:v>26003.2</x:v>
      </x:c>
      <x:c r="D330" s="18" t="n">
        <x:f>IF(B330="","",ROUND(IF($I$19="Факт / 365",F329*$I$12*(B330-B329)/$I$20,F329*$I$17),2))</x:f>
        <x:v>2142.39</x:v>
      </x:c>
      <x:c r="E330" s="18" t="n">
        <x:f>IF(B330="","",ROUND(C330-D330,2))</x:f>
        <x:v>23860.81</x:v>
      </x:c>
      <x:c r="F330" s="18" t="n">
        <x:f>IF(B330="","",ROUND(F329-E330,2))</x:f>
        <x:v>323683.09</x:v>
      </x:c>
      <x:c r="G330" s="2"/>
      <x:c r="H330" s="2"/>
      <x:c r="I330" s="2"/>
    </x:row>
    <x:row r="331" ht="24" customHeight="1">
      <x:c r="A331" s="1"/>
      <x:c r="B331" s="17" t="n">
        <x:f>IF(ROW()-ROW($B$9)&lt;=$I$16,MIN($I$14,EDATE($I$15,(ROW()-ROW($B$9)-1)*$I$13)),"")</x:f>
        <x:v>54596</x:v>
      </x:c>
      <x:c r="C331" s="18" t="n">
        <x:f>IF(B331="","",IF(ROW()-ROW($B$9)=$I$16,ROUND(F330+D331,2),MIN($I$18,ROUND(F330+D331,2))))</x:f>
        <x:v>26003.2</x:v>
      </x:c>
      <x:c r="D331" s="18" t="n">
        <x:f>IF(B331="","",ROUND(IF($I$19="Факт / 365",F330*$I$12*(B331-B330)/$I$20,F330*$I$17),2))</x:f>
        <x:v>2061.82</x:v>
      </x:c>
      <x:c r="E331" s="18" t="n">
        <x:f>IF(B331="","",ROUND(C331-D331,2))</x:f>
        <x:v>23941.38</x:v>
      </x:c>
      <x:c r="F331" s="18" t="n">
        <x:f>IF(B331="","",ROUND(F330-E331,2))</x:f>
        <x:v>299741.71</x:v>
      </x:c>
      <x:c r="G331" s="2"/>
      <x:c r="H331" s="2"/>
      <x:c r="I331" s="2"/>
    </x:row>
    <x:row r="332" ht="24" customHeight="1">
      <x:c r="A332" s="1"/>
      <x:c r="B332" s="17" t="n">
        <x:f>IF(ROW()-ROW($B$9)&lt;=$I$16,MIN($I$14,EDATE($I$15,(ROW()-ROW($B$9)-1)*$I$13)),"")</x:f>
        <x:v>54626</x:v>
      </x:c>
      <x:c r="C332" s="18" t="n">
        <x:f>IF(B332="","",IF(ROW()-ROW($B$9)=$I$16,ROUND(F331+D332,2),MIN($I$18,ROUND(F331+D332,2))))</x:f>
        <x:v>26003.2</x:v>
      </x:c>
      <x:c r="D332" s="18" t="n">
        <x:f>IF(B332="","",ROUND(IF($I$19="Факт / 365",F331*$I$12*(B332-B331)/$I$20,F331*$I$17),2))</x:f>
        <x:v>1847.72</x:v>
      </x:c>
      <x:c r="E332" s="18" t="n">
        <x:f>IF(B332="","",ROUND(C332-D332,2))</x:f>
        <x:v>24155.48</x:v>
      </x:c>
      <x:c r="F332" s="18" t="n">
        <x:f>IF(B332="","",ROUND(F331-E332,2))</x:f>
        <x:v>275586.23</x:v>
      </x:c>
      <x:c r="G332" s="2"/>
      <x:c r="H332" s="2"/>
      <x:c r="I332" s="2"/>
    </x:row>
    <x:row r="333" ht="24" customHeight="1">
      <x:c r="A333" s="1"/>
      <x:c r="B333" s="17" t="n">
        <x:f>IF(ROW()-ROW($B$9)&lt;=$I$16,MIN($I$14,EDATE($I$15,(ROW()-ROW($B$9)-1)*$I$13)),"")</x:f>
        <x:v>54657</x:v>
      </x:c>
      <x:c r="C333" s="18" t="n">
        <x:f>IF(B333="","",IF(ROW()-ROW($B$9)=$I$16,ROUND(F332+D333,2),MIN($I$18,ROUND(F332+D333,2))))</x:f>
        <x:v>26003.2</x:v>
      </x:c>
      <x:c r="D333" s="18" t="n">
        <x:f>IF(B333="","",ROUND(IF($I$19="Факт / 365",F332*$I$12*(B333-B332)/$I$20,F332*$I$17),2))</x:f>
        <x:v>1755.45</x:v>
      </x:c>
      <x:c r="E333" s="18" t="n">
        <x:f>IF(B333="","",ROUND(C333-D333,2))</x:f>
        <x:v>24247.75</x:v>
      </x:c>
      <x:c r="F333" s="18" t="n">
        <x:f>IF(B333="","",ROUND(F332-E333,2))</x:f>
        <x:v>251338.48</x:v>
      </x:c>
      <x:c r="G333" s="2"/>
      <x:c r="H333" s="2"/>
      <x:c r="I333" s="2"/>
    </x:row>
    <x:row r="334" ht="24" customHeight="1">
      <x:c r="A334" s="1"/>
      <x:c r="B334" s="17" t="n">
        <x:f>IF(ROW()-ROW($B$9)&lt;=$I$16,MIN($I$14,EDATE($I$15,(ROW()-ROW($B$9)-1)*$I$13)),"")</x:f>
        <x:v>54688</x:v>
      </x:c>
      <x:c r="C334" s="18" t="n">
        <x:f>IF(B334="","",IF(ROW()-ROW($B$9)=$I$16,ROUND(F333+D334,2),MIN($I$18,ROUND(F333+D334,2))))</x:f>
        <x:v>26003.2</x:v>
      </x:c>
      <x:c r="D334" s="18" t="n">
        <x:f>IF(B334="","",ROUND(IF($I$19="Факт / 365",F333*$I$12*(B334-B333)/$I$20,F333*$I$17),2))</x:f>
        <x:v>1600.99</x:v>
      </x:c>
      <x:c r="E334" s="18" t="n">
        <x:f>IF(B334="","",ROUND(C334-D334,2))</x:f>
        <x:v>24402.21</x:v>
      </x:c>
      <x:c r="F334" s="18" t="n">
        <x:f>IF(B334="","",ROUND(F333-E334,2))</x:f>
        <x:v>226936.27</x:v>
      </x:c>
      <x:c r="G334" s="2"/>
      <x:c r="H334" s="2"/>
      <x:c r="I334" s="2"/>
    </x:row>
    <x:row r="335" ht="24" customHeight="1">
      <x:c r="A335" s="1"/>
      <x:c r="B335" s="17" t="n">
        <x:f>IF(ROW()-ROW($B$9)&lt;=$I$16,MIN($I$14,EDATE($I$15,(ROW()-ROW($B$9)-1)*$I$13)),"")</x:f>
        <x:v>54718</x:v>
      </x:c>
      <x:c r="C335" s="18" t="n">
        <x:f>IF(B335="","",IF(ROW()-ROW($B$9)=$I$16,ROUND(F334+D335,2),MIN($I$18,ROUND(F334+D335,2))))</x:f>
        <x:v>26003.2</x:v>
      </x:c>
      <x:c r="D335" s="18" t="n">
        <x:f>IF(B335="","",ROUND(IF($I$19="Факт / 365",F334*$I$12*(B335-B334)/$I$20,F334*$I$17),2))</x:f>
        <x:v>1398.92</x:v>
      </x:c>
      <x:c r="E335" s="18" t="n">
        <x:f>IF(B335="","",ROUND(C335-D335,2))</x:f>
        <x:v>24604.28</x:v>
      </x:c>
      <x:c r="F335" s="18" t="n">
        <x:f>IF(B335="","",ROUND(F334-E335,2))</x:f>
        <x:v>202331.99</x:v>
      </x:c>
      <x:c r="G335" s="2"/>
      <x:c r="H335" s="2"/>
      <x:c r="I335" s="2"/>
    </x:row>
    <x:row r="336" ht="24" customHeight="1">
      <x:c r="A336" s="1"/>
      <x:c r="B336" s="17" t="n">
        <x:f>IF(ROW()-ROW($B$9)&lt;=$I$16,MIN($I$14,EDATE($I$15,(ROW()-ROW($B$9)-1)*$I$13)),"")</x:f>
        <x:v>54749</x:v>
      </x:c>
      <x:c r="C336" s="18" t="n">
        <x:f>IF(B336="","",IF(ROW()-ROW($B$9)=$I$16,ROUND(F335+D336,2),MIN($I$18,ROUND(F335+D336,2))))</x:f>
        <x:v>26003.2</x:v>
      </x:c>
      <x:c r="D336" s="18" t="n">
        <x:f>IF(B336="","",ROUND(IF($I$19="Факт / 365",F335*$I$12*(B336-B335)/$I$20,F335*$I$17),2))</x:f>
        <x:v>1288.83</x:v>
      </x:c>
      <x:c r="E336" s="18" t="n">
        <x:f>IF(B336="","",ROUND(C336-D336,2))</x:f>
        <x:v>24714.37</x:v>
      </x:c>
      <x:c r="F336" s="18" t="n">
        <x:f>IF(B336="","",ROUND(F335-E336,2))</x:f>
        <x:v>177617.62</x:v>
      </x:c>
      <x:c r="G336" s="2"/>
      <x:c r="H336" s="2"/>
      <x:c r="I336" s="2"/>
    </x:row>
    <x:row r="337" ht="24" customHeight="1">
      <x:c r="A337" s="1"/>
      <x:c r="B337" s="17" t="n">
        <x:f>IF(ROW()-ROW($B$9)&lt;=$I$16,MIN($I$14,EDATE($I$15,(ROW()-ROW($B$9)-1)*$I$13)),"")</x:f>
        <x:v>54779</x:v>
      </x:c>
      <x:c r="C337" s="18" t="n">
        <x:f>IF(B337="","",IF(ROW()-ROW($B$9)=$I$16,ROUND(F336+D337,2),MIN($I$18,ROUND(F336+D337,2))))</x:f>
        <x:v>26003.2</x:v>
      </x:c>
      <x:c r="D337" s="18" t="n">
        <x:f>IF(B337="","",ROUND(IF($I$19="Факт / 365",F336*$I$12*(B337-B336)/$I$20,F336*$I$17),2))</x:f>
        <x:v>1094.9</x:v>
      </x:c>
      <x:c r="E337" s="18" t="n">
        <x:f>IF(B337="","",ROUND(C337-D337,2))</x:f>
        <x:v>24908.3</x:v>
      </x:c>
      <x:c r="F337" s="18" t="n">
        <x:f>IF(B337="","",ROUND(F336-E337,2))</x:f>
        <x:v>152709.32</x:v>
      </x:c>
      <x:c r="G337" s="2"/>
      <x:c r="H337" s="2"/>
      <x:c r="I337" s="2"/>
    </x:row>
    <x:row r="338" ht="24" customHeight="1">
      <x:c r="A338" s="1"/>
      <x:c r="B338" s="17" t="n">
        <x:f>IF(ROW()-ROW($B$9)&lt;=$I$16,MIN($I$14,EDATE($I$15,(ROW()-ROW($B$9)-1)*$I$13)),"")</x:f>
        <x:v>54810</x:v>
      </x:c>
      <x:c r="C338" s="18" t="n">
        <x:f>IF(B338="","",IF(ROW()-ROW($B$9)=$I$16,ROUND(F337+D338,2),MIN($I$18,ROUND(F337+D338,2))))</x:f>
        <x:v>26003.2</x:v>
      </x:c>
      <x:c r="D338" s="18" t="n">
        <x:f>IF(B338="","",ROUND(IF($I$19="Факт / 365",F337*$I$12*(B338-B337)/$I$20,F337*$I$17),2))</x:f>
        <x:v>972.74</x:v>
      </x:c>
      <x:c r="E338" s="18" t="n">
        <x:f>IF(B338="","",ROUND(C338-D338,2))</x:f>
        <x:v>25030.46</x:v>
      </x:c>
      <x:c r="F338" s="18" t="n">
        <x:f>IF(B338="","",ROUND(F337-E338,2))</x:f>
        <x:v>127678.86</x:v>
      </x:c>
      <x:c r="G338" s="2"/>
      <x:c r="H338" s="2"/>
      <x:c r="I338" s="2"/>
    </x:row>
    <x:row r="339" ht="24" customHeight="1">
      <x:c r="A339" s="1"/>
      <x:c r="B339" s="17" t="n">
        <x:f>IF(ROW()-ROW($B$9)&lt;=$I$16,MIN($I$14,EDATE($I$15,(ROW()-ROW($B$9)-1)*$I$13)),"")</x:f>
        <x:v>54841</x:v>
      </x:c>
      <x:c r="C339" s="18" t="n">
        <x:f>IF(B339="","",IF(ROW()-ROW($B$9)=$I$16,ROUND(F338+D339,2),MIN($I$18,ROUND(F338+D339,2))))</x:f>
        <x:v>26003.2</x:v>
      </x:c>
      <x:c r="D339" s="18" t="n">
        <x:f>IF(B339="","",ROUND(IF($I$19="Факт / 365",F338*$I$12*(B339-B338)/$I$20,F338*$I$17),2))</x:f>
        <x:v>813.3</x:v>
      </x:c>
      <x:c r="E339" s="18" t="n">
        <x:f>IF(B339="","",ROUND(C339-D339,2))</x:f>
        <x:v>25189.9</x:v>
      </x:c>
      <x:c r="F339" s="18" t="n">
        <x:f>IF(B339="","",ROUND(F338-E339,2))</x:f>
        <x:v>102488.96</x:v>
      </x:c>
      <x:c r="G339" s="2"/>
      <x:c r="H339" s="2"/>
      <x:c r="I339" s="2"/>
    </x:row>
    <x:row r="340" ht="24" customHeight="1">
      <x:c r="A340" s="1"/>
      <x:c r="B340" s="17" t="n">
        <x:f>IF(ROW()-ROW($B$9)&lt;=$I$16,MIN($I$14,EDATE($I$15,(ROW()-ROW($B$9)-1)*$I$13)),"")</x:f>
        <x:v>54869</x:v>
      </x:c>
      <x:c r="C340" s="18" t="n">
        <x:f>IF(B340="","",IF(ROW()-ROW($B$9)=$I$16,ROUND(F339+D340,2),MIN($I$18,ROUND(F339+D340,2))))</x:f>
        <x:v>26003.2</x:v>
      </x:c>
      <x:c r="D340" s="18" t="n">
        <x:f>IF(B340="","",ROUND(IF($I$19="Факт / 365",F339*$I$12*(B340-B339)/$I$20,F339*$I$17),2))</x:f>
        <x:v>589.66</x:v>
      </x:c>
      <x:c r="E340" s="18" t="n">
        <x:f>IF(B340="","",ROUND(C340-D340,2))</x:f>
        <x:v>25413.54</x:v>
      </x:c>
      <x:c r="F340" s="18" t="n">
        <x:f>IF(B340="","",ROUND(F339-E340,2))</x:f>
        <x:v>77075.42</x:v>
      </x:c>
      <x:c r="G340" s="2"/>
      <x:c r="H340" s="2"/>
      <x:c r="I340" s="2"/>
    </x:row>
    <x:row r="341" ht="24" customHeight="1">
      <x:c r="A341" s="1"/>
      <x:c r="B341" s="17" t="n">
        <x:f>IF(ROW()-ROW($B$9)&lt;=$I$16,MIN($I$14,EDATE($I$15,(ROW()-ROW($B$9)-1)*$I$13)),"")</x:f>
        <x:v>54900</x:v>
      </x:c>
      <x:c r="C341" s="18" t="n">
        <x:f>IF(B341="","",IF(ROW()-ROW($B$9)=$I$16,ROUND(F340+D341,2),MIN($I$18,ROUND(F340+D341,2))))</x:f>
        <x:v>26003.2</x:v>
      </x:c>
      <x:c r="D341" s="18" t="n">
        <x:f>IF(B341="","",ROUND(IF($I$19="Факт / 365",F340*$I$12*(B341-B340)/$I$20,F340*$I$17),2))</x:f>
        <x:v>490.96</x:v>
      </x:c>
      <x:c r="E341" s="18" t="n">
        <x:f>IF(B341="","",ROUND(C341-D341,2))</x:f>
        <x:v>25512.24</x:v>
      </x:c>
      <x:c r="F341" s="18" t="n">
        <x:f>IF(B341="","",ROUND(F340-E341,2))</x:f>
        <x:v>51563.18</x:v>
      </x:c>
      <x:c r="G341" s="2"/>
      <x:c r="H341" s="2"/>
      <x:c r="I341" s="2"/>
    </x:row>
    <x:row r="342" ht="24" customHeight="1">
      <x:c r="A342" s="1"/>
      <x:c r="B342" s="17" t="n">
        <x:f>IF(ROW()-ROW($B$9)&lt;=$I$16,MIN($I$14,EDATE($I$15,(ROW()-ROW($B$9)-1)*$I$13)),"")</x:f>
        <x:v>54930</x:v>
      </x:c>
      <x:c r="C342" s="18" t="n">
        <x:f>IF(B342="","",IF(ROW()-ROW($B$9)=$I$16,ROUND(F341+D342,2),MIN($I$18,ROUND(F341+D342,2))))</x:f>
        <x:v>26003.2</x:v>
      </x:c>
      <x:c r="D342" s="18" t="n">
        <x:f>IF(B342="","",ROUND(IF($I$19="Факт / 365",F341*$I$12*(B342-B341)/$I$20,F341*$I$17),2))</x:f>
        <x:v>317.86</x:v>
      </x:c>
      <x:c r="E342" s="18" t="n">
        <x:f>IF(B342="","",ROUND(C342-D342,2))</x:f>
        <x:v>25685.34</x:v>
      </x:c>
      <x:c r="F342" s="18" t="n">
        <x:f>IF(B342="","",ROUND(F341-E342,2))</x:f>
        <x:v>25877.84</x:v>
      </x:c>
      <x:c r="G342" s="2"/>
      <x:c r="H342" s="2"/>
      <x:c r="I342" s="2"/>
    </x:row>
    <x:row r="343" ht="24" customHeight="1">
      <x:c r="A343" s="1"/>
      <x:c r="B343" s="17" t="n">
        <x:f>IF(ROW()-ROW($B$9)&lt;=$I$16,MIN($I$14,EDATE($I$15,(ROW()-ROW($B$9)-1)*$I$13)),"")</x:f>
        <x:v>54954</x:v>
      </x:c>
      <x:c r="C343" s="18" t="n">
        <x:f>IF(B343="","",IF(ROW()-ROW($B$9)=$I$16,ROUND(F342+D343,2),MIN($I$18,ROUND(F342+D343,2))))</x:f>
        <x:v>26005.46</x:v>
      </x:c>
      <x:c r="D343" s="18" t="n">
        <x:f>IF(B343="","",ROUND(IF($I$19="Факт / 365",F342*$I$12*(B343-B342)/$I$20,F342*$I$17),2))</x:f>
        <x:v>127.62</x:v>
      </x:c>
      <x:c r="E343" s="18" t="n">
        <x:f>IF(B343="","",ROUND(C343-D343,2))</x:f>
        <x:v>25877.84</x:v>
      </x:c>
      <x:c r="F343" s="18" t="n">
        <x:f>IF(B343="","",ROUND(F342-E343,2))</x:f>
        <x:v>0</x:v>
      </x:c>
      <x:c r="G343" s="2"/>
      <x:c r="H343" s="2"/>
      <x:c r="I343" s="2"/>
    </x:row>
    <x:row r="344" ht="24" customHeight="1">
      <x:c r="A344" s="1"/>
      <x:c r="B344" s="17" t="str">
        <x:f>IF(ROW()-ROW($B$9)&lt;=$I$16,MIN($I$14,EDATE($I$15,(ROW()-ROW($B$9)-1)*$I$13)),"")</x:f>
      </x:c>
      <x:c r="C344" s="18" t="str">
        <x:f>IF(B344="","",IF(ROW()-ROW($B$9)=$I$16,ROUND(F343+D344,2),MIN($I$18,ROUND(F343+D344,2))))</x:f>
      </x:c>
      <x:c r="D344" s="18" t="str">
        <x:f>IF(B344="","",ROUND(IF($I$19="Факт / 365",F343*$I$12*(B344-B343)/$I$20,F343*$I$17),2))</x:f>
      </x:c>
      <x:c r="E344" s="18" t="str">
        <x:f>IF(B344="","",ROUND(C344-D344,2))</x:f>
      </x:c>
      <x:c r="F344" s="18" t="str">
        <x:f>IF(B344="","",ROUND(F343-E344,2))</x:f>
      </x:c>
      <x:c r="G344" s="2"/>
      <x:c r="H344" s="2"/>
      <x:c r="I344" s="2"/>
    </x:row>
    <x:row r="345" ht="24" customHeight="1">
      <x:c r="A345" s="1"/>
      <x:c r="B345" s="17" t="str">
        <x:f>IF(ROW()-ROW($B$9)&lt;=$I$16,MIN($I$14,EDATE($I$15,(ROW()-ROW($B$9)-1)*$I$13)),"")</x:f>
      </x:c>
      <x:c r="C345" s="18" t="str">
        <x:f>IF(B345="","",IF(ROW()-ROW($B$9)=$I$16,ROUND(F344+D345,2),MIN($I$18,ROUND(F344+D345,2))))</x:f>
      </x:c>
      <x:c r="D345" s="18" t="str">
        <x:f>IF(B345="","",ROUND(IF($I$19="Факт / 365",F344*$I$12*(B345-B344)/$I$20,F344*$I$17),2))</x:f>
      </x:c>
      <x:c r="E345" s="18" t="str">
        <x:f>IF(B345="","",ROUND(C345-D345,2))</x:f>
      </x:c>
      <x:c r="F345" s="18" t="str">
        <x:f>IF(B345="","",ROUND(F344-E345,2))</x:f>
      </x:c>
      <x:c r="G345" s="2"/>
      <x:c r="H345" s="2"/>
      <x:c r="I345" s="2"/>
    </x:row>
    <x:row r="346" ht="24" customHeight="1">
      <x:c r="A346" s="1"/>
      <x:c r="B346" s="17" t="str">
        <x:f>IF(ROW()-ROW($B$9)&lt;=$I$16,MIN($I$14,EDATE($I$15,(ROW()-ROW($B$9)-1)*$I$13)),"")</x:f>
      </x:c>
      <x:c r="C346" s="18" t="str">
        <x:f>IF(B346="","",IF(ROW()-ROW($B$9)=$I$16,ROUND(F345+D346,2),MIN($I$18,ROUND(F345+D346,2))))</x:f>
      </x:c>
      <x:c r="D346" s="18" t="str">
        <x:f>IF(B346="","",ROUND(IF($I$19="Факт / 365",F345*$I$12*(B346-B345)/$I$20,F345*$I$17),2))</x:f>
      </x:c>
      <x:c r="E346" s="18" t="str">
        <x:f>IF(B346="","",ROUND(C346-D346,2))</x:f>
      </x:c>
      <x:c r="F346" s="18" t="str">
        <x:f>IF(B346="","",ROUND(F345-E346,2))</x:f>
      </x:c>
      <x:c r="G346" s="2"/>
      <x:c r="H346" s="2"/>
      <x:c r="I346" s="2"/>
    </x:row>
    <x:row r="347" ht="24" customHeight="1">
      <x:c r="A347" s="1"/>
      <x:c r="B347" s="17" t="str">
        <x:f>IF(ROW()-ROW($B$9)&lt;=$I$16,MIN($I$14,EDATE($I$15,(ROW()-ROW($B$9)-1)*$I$13)),"")</x:f>
      </x:c>
      <x:c r="C347" s="18" t="str">
        <x:f>IF(B347="","",IF(ROW()-ROW($B$9)=$I$16,ROUND(F346+D347,2),MIN($I$18,ROUND(F346+D347,2))))</x:f>
      </x:c>
      <x:c r="D347" s="18" t="str">
        <x:f>IF(B347="","",ROUND(IF($I$19="Факт / 365",F346*$I$12*(B347-B346)/$I$20,F346*$I$17),2))</x:f>
      </x:c>
      <x:c r="E347" s="18" t="str">
        <x:f>IF(B347="","",ROUND(C347-D347,2))</x:f>
      </x:c>
      <x:c r="F347" s="18" t="str">
        <x:f>IF(B347="","",ROUND(F346-E347,2))</x:f>
      </x:c>
      <x:c r="G347" s="2"/>
      <x:c r="H347" s="2"/>
      <x:c r="I347" s="2"/>
    </x:row>
    <x:row r="348" ht="24" customHeight="1">
      <x:c r="A348" s="1"/>
      <x:c r="B348" s="17" t="str">
        <x:f>IF(ROW()-ROW($B$9)&lt;=$I$16,MIN($I$14,EDATE($I$15,(ROW()-ROW($B$9)-1)*$I$13)),"")</x:f>
      </x:c>
      <x:c r="C348" s="18" t="str">
        <x:f>IF(B348="","",IF(ROW()-ROW($B$9)=$I$16,ROUND(F347+D348,2),MIN($I$18,ROUND(F347+D348,2))))</x:f>
      </x:c>
      <x:c r="D348" s="18" t="str">
        <x:f>IF(B348="","",ROUND(IF($I$19="Факт / 365",F347*$I$12*(B348-B347)/$I$20,F347*$I$17),2))</x:f>
      </x:c>
      <x:c r="E348" s="18" t="str">
        <x:f>IF(B348="","",ROUND(C348-D348,2))</x:f>
      </x:c>
      <x:c r="F348" s="18" t="str">
        <x:f>IF(B348="","",ROUND(F347-E348,2))</x:f>
      </x:c>
      <x:c r="G348" s="2"/>
      <x:c r="H348" s="2"/>
      <x:c r="I348" s="2"/>
    </x:row>
    <x:row r="349" ht="24" customHeight="1">
      <x:c r="A349" s="1"/>
      <x:c r="B349" s="17" t="str">
        <x:f>IF(ROW()-ROW($B$9)&lt;=$I$16,MIN($I$14,EDATE($I$15,(ROW()-ROW($B$9)-1)*$I$13)),"")</x:f>
      </x:c>
      <x:c r="C349" s="18" t="str">
        <x:f>IF(B349="","",IF(ROW()-ROW($B$9)=$I$16,ROUND(F348+D349,2),MIN($I$18,ROUND(F348+D349,2))))</x:f>
      </x:c>
      <x:c r="D349" s="18" t="str">
        <x:f>IF(B349="","",ROUND(IF($I$19="Факт / 365",F348*$I$12*(B349-B348)/$I$20,F348*$I$17),2))</x:f>
      </x:c>
      <x:c r="E349" s="18" t="str">
        <x:f>IF(B349="","",ROUND(C349-D349,2))</x:f>
      </x:c>
      <x:c r="F349" s="18" t="str">
        <x:f>IF(B349="","",ROUND(F348-E349,2))</x:f>
      </x:c>
      <x:c r="G349" s="2"/>
      <x:c r="H349" s="2"/>
      <x:c r="I349" s="2"/>
    </x:row>
    <x:row r="350" ht="24" customHeight="1">
      <x:c r="A350" s="1"/>
      <x:c r="B350" s="17" t="str">
        <x:f>IF(ROW()-ROW($B$9)&lt;=$I$16,MIN($I$14,EDATE($I$15,(ROW()-ROW($B$9)-1)*$I$13)),"")</x:f>
      </x:c>
      <x:c r="C350" s="18" t="str">
        <x:f>IF(B350="","",IF(ROW()-ROW($B$9)=$I$16,ROUND(F349+D350,2),MIN($I$18,ROUND(F349+D350,2))))</x:f>
      </x:c>
      <x:c r="D350" s="18" t="str">
        <x:f>IF(B350="","",ROUND(IF($I$19="Факт / 365",F349*$I$12*(B350-B349)/$I$20,F349*$I$17),2))</x:f>
      </x:c>
      <x:c r="E350" s="18" t="str">
        <x:f>IF(B350="","",ROUND(C350-D350,2))</x:f>
      </x:c>
      <x:c r="F350" s="18" t="str">
        <x:f>IF(B350="","",ROUND(F349-E350,2))</x:f>
      </x:c>
      <x:c r="G350" s="2"/>
      <x:c r="H350" s="2"/>
      <x:c r="I350" s="2"/>
    </x:row>
    <x:row r="351" ht="24" customHeight="1">
      <x:c r="A351" s="1"/>
      <x:c r="B351" s="17" t="str">
        <x:f>IF(ROW()-ROW($B$9)&lt;=$I$16,MIN($I$14,EDATE($I$15,(ROW()-ROW($B$9)-1)*$I$13)),"")</x:f>
      </x:c>
      <x:c r="C351" s="18" t="str">
        <x:f>IF(B351="","",IF(ROW()-ROW($B$9)=$I$16,ROUND(F350+D351,2),MIN($I$18,ROUND(F350+D351,2))))</x:f>
      </x:c>
      <x:c r="D351" s="18" t="str">
        <x:f>IF(B351="","",ROUND(IF($I$19="Факт / 365",F350*$I$12*(B351-B350)/$I$20,F350*$I$17),2))</x:f>
      </x:c>
      <x:c r="E351" s="18" t="str">
        <x:f>IF(B351="","",ROUND(C351-D351,2))</x:f>
      </x:c>
      <x:c r="F351" s="18" t="str">
        <x:f>IF(B351="","",ROUND(F350-E351,2))</x:f>
      </x:c>
      <x:c r="G351" s="2"/>
      <x:c r="H351" s="2"/>
      <x:c r="I351" s="2"/>
    </x:row>
    <x:row r="352" ht="24" customHeight="1">
      <x:c r="A352" s="1"/>
      <x:c r="B352" s="17" t="str">
        <x:f>IF(ROW()-ROW($B$9)&lt;=$I$16,MIN($I$14,EDATE($I$15,(ROW()-ROW($B$9)-1)*$I$13)),"")</x:f>
      </x:c>
      <x:c r="C352" s="18" t="str">
        <x:f>IF(B352="","",IF(ROW()-ROW($B$9)=$I$16,ROUND(F351+D352,2),MIN($I$18,ROUND(F351+D352,2))))</x:f>
      </x:c>
      <x:c r="D352" s="18" t="str">
        <x:f>IF(B352="","",ROUND(IF($I$19="Факт / 365",F351*$I$12*(B352-B351)/$I$20,F351*$I$17),2))</x:f>
      </x:c>
      <x:c r="E352" s="18" t="str">
        <x:f>IF(B352="","",ROUND(C352-D352,2))</x:f>
      </x:c>
      <x:c r="F352" s="18" t="str">
        <x:f>IF(B352="","",ROUND(F351-E352,2))</x:f>
      </x:c>
      <x:c r="G352" s="2"/>
      <x:c r="H352" s="2"/>
      <x:c r="I352" s="2"/>
    </x:row>
    <x:row r="353" ht="24" customHeight="1">
      <x:c r="A353" s="1"/>
      <x:c r="B353" s="17" t="str">
        <x:f>IF(ROW()-ROW($B$9)&lt;=$I$16,MIN($I$14,EDATE($I$15,(ROW()-ROW($B$9)-1)*$I$13)),"")</x:f>
      </x:c>
      <x:c r="C353" s="18" t="str">
        <x:f>IF(B353="","",IF(ROW()-ROW($B$9)=$I$16,ROUND(F352+D353,2),MIN($I$18,ROUND(F352+D353,2))))</x:f>
      </x:c>
      <x:c r="D353" s="18" t="str">
        <x:f>IF(B353="","",ROUND(IF($I$19="Факт / 365",F352*$I$12*(B353-B352)/$I$20,F352*$I$17),2))</x:f>
      </x:c>
      <x:c r="E353" s="18" t="str">
        <x:f>IF(B353="","",ROUND(C353-D353,2))</x:f>
      </x:c>
      <x:c r="F353" s="18" t="str">
        <x:f>IF(B353="","",ROUND(F352-E353,2))</x:f>
      </x:c>
      <x:c r="G353" s="2"/>
      <x:c r="H353" s="2"/>
      <x:c r="I353" s="2"/>
    </x:row>
    <x:row r="354" ht="24" customHeight="1">
      <x:c r="A354" s="1"/>
      <x:c r="B354" s="17" t="str">
        <x:f>IF(ROW()-ROW($B$9)&lt;=$I$16,MIN($I$14,EDATE($I$15,(ROW()-ROW($B$9)-1)*$I$13)),"")</x:f>
      </x:c>
      <x:c r="C354" s="18" t="str">
        <x:f>IF(B354="","",IF(ROW()-ROW($B$9)=$I$16,ROUND(F353+D354,2),MIN($I$18,ROUND(F353+D354,2))))</x:f>
      </x:c>
      <x:c r="D354" s="18" t="str">
        <x:f>IF(B354="","",ROUND(IF($I$19="Факт / 365",F353*$I$12*(B354-B353)/$I$20,F353*$I$17),2))</x:f>
      </x:c>
      <x:c r="E354" s="18" t="str">
        <x:f>IF(B354="","",ROUND(C354-D354,2))</x:f>
      </x:c>
      <x:c r="F354" s="18" t="str">
        <x:f>IF(B354="","",ROUND(F353-E354,2))</x:f>
      </x:c>
      <x:c r="G354" s="2"/>
      <x:c r="H354" s="2"/>
      <x:c r="I354" s="2"/>
    </x:row>
    <x:row r="355" ht="24" customHeight="1">
      <x:c r="A355" s="1"/>
      <x:c r="B355" s="17" t="str">
        <x:f>IF(ROW()-ROW($B$9)&lt;=$I$16,MIN($I$14,EDATE($I$15,(ROW()-ROW($B$9)-1)*$I$13)),"")</x:f>
      </x:c>
      <x:c r="C355" s="18" t="str">
        <x:f>IF(B355="","",IF(ROW()-ROW($B$9)=$I$16,ROUND(F354+D355,2),MIN($I$18,ROUND(F354+D355,2))))</x:f>
      </x:c>
      <x:c r="D355" s="18" t="str">
        <x:f>IF(B355="","",ROUND(IF($I$19="Факт / 365",F354*$I$12*(B355-B354)/$I$20,F354*$I$17),2))</x:f>
      </x:c>
      <x:c r="E355" s="18" t="str">
        <x:f>IF(B355="","",ROUND(C355-D355,2))</x:f>
      </x:c>
      <x:c r="F355" s="18" t="str">
        <x:f>IF(B355="","",ROUND(F354-E355,2))</x:f>
      </x:c>
      <x:c r="G355" s="2"/>
      <x:c r="H355" s="2"/>
      <x:c r="I355" s="2"/>
    </x:row>
    <x:row r="356" ht="24" customHeight="1">
      <x:c r="A356" s="1"/>
      <x:c r="B356" s="17" t="str">
        <x:f>IF(ROW()-ROW($B$9)&lt;=$I$16,MIN($I$14,EDATE($I$15,(ROW()-ROW($B$9)-1)*$I$13)),"")</x:f>
      </x:c>
      <x:c r="C356" s="18" t="str">
        <x:f>IF(B356="","",IF(ROW()-ROW($B$9)=$I$16,ROUND(F355+D356,2),MIN($I$18,ROUND(F355+D356,2))))</x:f>
      </x:c>
      <x:c r="D356" s="18" t="str">
        <x:f>IF(B356="","",ROUND(IF($I$19="Факт / 365",F355*$I$12*(B356-B355)/$I$20,F355*$I$17),2))</x:f>
      </x:c>
      <x:c r="E356" s="18" t="str">
        <x:f>IF(B356="","",ROUND(C356-D356,2))</x:f>
      </x:c>
      <x:c r="F356" s="18" t="str">
        <x:f>IF(B356="","",ROUND(F355-E356,2))</x:f>
      </x:c>
      <x:c r="G356" s="2"/>
      <x:c r="H356" s="2"/>
      <x:c r="I356" s="2"/>
    </x:row>
    <x:row r="357" ht="24" customHeight="1">
      <x:c r="A357" s="1"/>
      <x:c r="B357" s="17" t="str">
        <x:f>IF(ROW()-ROW($B$9)&lt;=$I$16,MIN($I$14,EDATE($I$15,(ROW()-ROW($B$9)-1)*$I$13)),"")</x:f>
      </x:c>
      <x:c r="C357" s="18" t="str">
        <x:f>IF(B357="","",IF(ROW()-ROW($B$9)=$I$16,ROUND(F356+D357,2),MIN($I$18,ROUND(F356+D357,2))))</x:f>
      </x:c>
      <x:c r="D357" s="18" t="str">
        <x:f>IF(B357="","",ROUND(IF($I$19="Факт / 365",F356*$I$12*(B357-B356)/$I$20,F356*$I$17),2))</x:f>
      </x:c>
      <x:c r="E357" s="18" t="str">
        <x:f>IF(B357="","",ROUND(C357-D357,2))</x:f>
      </x:c>
      <x:c r="F357" s="18" t="str">
        <x:f>IF(B357="","",ROUND(F356-E357,2))</x:f>
      </x:c>
      <x:c r="G357" s="2"/>
      <x:c r="H357" s="2"/>
      <x:c r="I357" s="2"/>
    </x:row>
    <x:row r="358" ht="24" customHeight="1">
      <x:c r="A358" s="1"/>
      <x:c r="B358" s="17" t="str">
        <x:f>IF(ROW()-ROW($B$9)&lt;=$I$16,MIN($I$14,EDATE($I$15,(ROW()-ROW($B$9)-1)*$I$13)),"")</x:f>
      </x:c>
      <x:c r="C358" s="18" t="str">
        <x:f>IF(B358="","",IF(ROW()-ROW($B$9)=$I$16,ROUND(F357+D358,2),MIN($I$18,ROUND(F357+D358,2))))</x:f>
      </x:c>
      <x:c r="D358" s="18" t="str">
        <x:f>IF(B358="","",ROUND(IF($I$19="Факт / 365",F357*$I$12*(B358-B357)/$I$20,F357*$I$17),2))</x:f>
      </x:c>
      <x:c r="E358" s="18" t="str">
        <x:f>IF(B358="","",ROUND(C358-D358,2))</x:f>
      </x:c>
      <x:c r="F358" s="18" t="str">
        <x:f>IF(B358="","",ROUND(F357-E358,2))</x:f>
      </x:c>
      <x:c r="G358" s="2"/>
      <x:c r="H358" s="2"/>
      <x:c r="I358" s="2"/>
    </x:row>
    <x:row r="359" ht="24" customHeight="1">
      <x:c r="A359" s="1"/>
      <x:c r="B359" s="17" t="str">
        <x:f>IF(ROW()-ROW($B$9)&lt;=$I$16,MIN($I$14,EDATE($I$15,(ROW()-ROW($B$9)-1)*$I$13)),"")</x:f>
      </x:c>
      <x:c r="C359" s="18" t="str">
        <x:f>IF(B359="","",IF(ROW()-ROW($B$9)=$I$16,ROUND(F358+D359,2),MIN($I$18,ROUND(F358+D359,2))))</x:f>
      </x:c>
      <x:c r="D359" s="18" t="str">
        <x:f>IF(B359="","",ROUND(IF($I$19="Факт / 365",F358*$I$12*(B359-B358)/$I$20,F358*$I$17),2))</x:f>
      </x:c>
      <x:c r="E359" s="18" t="str">
        <x:f>IF(B359="","",ROUND(C359-D359,2))</x:f>
      </x:c>
      <x:c r="F359" s="18" t="str">
        <x:f>IF(B359="","",ROUND(F358-E359,2))</x:f>
      </x:c>
      <x:c r="G359" s="2"/>
      <x:c r="H359" s="2"/>
      <x:c r="I359" s="2"/>
    </x:row>
    <x:row r="360" ht="24" customHeight="1">
      <x:c r="A360" s="1"/>
      <x:c r="B360" s="17" t="str">
        <x:f>IF(ROW()-ROW($B$9)&lt;=$I$16,MIN($I$14,EDATE($I$15,(ROW()-ROW($B$9)-1)*$I$13)),"")</x:f>
      </x:c>
      <x:c r="C360" s="18" t="str">
        <x:f>IF(B360="","",IF(ROW()-ROW($B$9)=$I$16,ROUND(F359+D360,2),MIN($I$18,ROUND(F359+D360,2))))</x:f>
      </x:c>
      <x:c r="D360" s="18" t="str">
        <x:f>IF(B360="","",ROUND(IF($I$19="Факт / 365",F359*$I$12*(B360-B359)/$I$20,F359*$I$17),2))</x:f>
      </x:c>
      <x:c r="E360" s="18" t="str">
        <x:f>IF(B360="","",ROUND(C360-D360,2))</x:f>
      </x:c>
      <x:c r="F360" s="18" t="str">
        <x:f>IF(B360="","",ROUND(F359-E360,2))</x:f>
      </x:c>
      <x:c r="G360" s="2"/>
      <x:c r="H360" s="2"/>
      <x:c r="I360" s="2"/>
    </x:row>
    <x:row r="361" ht="24" customHeight="1">
      <x:c r="A361" s="1"/>
      <x:c r="B361" s="17" t="str">
        <x:f>IF(ROW()-ROW($B$9)&lt;=$I$16,MIN($I$14,EDATE($I$15,(ROW()-ROW($B$9)-1)*$I$13)),"")</x:f>
      </x:c>
      <x:c r="C361" s="18" t="str">
        <x:f>IF(B361="","",IF(ROW()-ROW($B$9)=$I$16,ROUND(F360+D361,2),MIN($I$18,ROUND(F360+D361,2))))</x:f>
      </x:c>
      <x:c r="D361" s="18" t="str">
        <x:f>IF(B361="","",ROUND(IF($I$19="Факт / 365",F360*$I$12*(B361-B360)/$I$20,F360*$I$17),2))</x:f>
      </x:c>
      <x:c r="E361" s="18" t="str">
        <x:f>IF(B361="","",ROUND(C361-D361,2))</x:f>
      </x:c>
      <x:c r="F361" s="18" t="str">
        <x:f>IF(B361="","",ROUND(F360-E361,2))</x:f>
      </x:c>
      <x:c r="G361" s="2"/>
      <x:c r="H361" s="2"/>
      <x:c r="I361" s="2"/>
    </x:row>
    <x:row r="362" ht="24" customHeight="1">
      <x:c r="A362" s="1"/>
      <x:c r="B362" s="17" t="str">
        <x:f>IF(ROW()-ROW($B$9)&lt;=$I$16,MIN($I$14,EDATE($I$15,(ROW()-ROW($B$9)-1)*$I$13)),"")</x:f>
      </x:c>
      <x:c r="C362" s="18" t="str">
        <x:f>IF(B362="","",IF(ROW()-ROW($B$9)=$I$16,ROUND(F361+D362,2),MIN($I$18,ROUND(F361+D362,2))))</x:f>
      </x:c>
      <x:c r="D362" s="18" t="str">
        <x:f>IF(B362="","",ROUND(IF($I$19="Факт / 365",F361*$I$12*(B362-B361)/$I$20,F361*$I$17),2))</x:f>
      </x:c>
      <x:c r="E362" s="18" t="str">
        <x:f>IF(B362="","",ROUND(C362-D362,2))</x:f>
      </x:c>
      <x:c r="F362" s="18" t="str">
        <x:f>IF(B362="","",ROUND(F361-E362,2))</x:f>
      </x:c>
      <x:c r="G362" s="2"/>
      <x:c r="H362" s="2"/>
      <x:c r="I362" s="2"/>
    </x:row>
    <x:row r="363" ht="24" customHeight="1">
      <x:c r="A363" s="1"/>
      <x:c r="B363" s="17" t="str">
        <x:f>IF(ROW()-ROW($B$9)&lt;=$I$16,MIN($I$14,EDATE($I$15,(ROW()-ROW($B$9)-1)*$I$13)),"")</x:f>
      </x:c>
      <x:c r="C363" s="18" t="str">
        <x:f>IF(B363="","",IF(ROW()-ROW($B$9)=$I$16,ROUND(F362+D363,2),MIN($I$18,ROUND(F362+D363,2))))</x:f>
      </x:c>
      <x:c r="D363" s="18" t="str">
        <x:f>IF(B363="","",ROUND(IF($I$19="Факт / 365",F362*$I$12*(B363-B362)/$I$20,F362*$I$17),2))</x:f>
      </x:c>
      <x:c r="E363" s="18" t="str">
        <x:f>IF(B363="","",ROUND(C363-D363,2))</x:f>
      </x:c>
      <x:c r="F363" s="18" t="str">
        <x:f>IF(B363="","",ROUND(F362-E363,2))</x:f>
      </x:c>
      <x:c r="G363" s="2"/>
      <x:c r="H363" s="2"/>
      <x:c r="I363" s="2"/>
    </x:row>
    <x:row r="364" ht="24" customHeight="1">
      <x:c r="A364" s="1"/>
      <x:c r="B364" s="17" t="str">
        <x:f>IF(ROW()-ROW($B$9)&lt;=$I$16,MIN($I$14,EDATE($I$15,(ROW()-ROW($B$9)-1)*$I$13)),"")</x:f>
      </x:c>
      <x:c r="C364" s="18" t="str">
        <x:f>IF(B364="","",IF(ROW()-ROW($B$9)=$I$16,ROUND(F363+D364,2),MIN($I$18,ROUND(F363+D364,2))))</x:f>
      </x:c>
      <x:c r="D364" s="18" t="str">
        <x:f>IF(B364="","",ROUND(IF($I$19="Факт / 365",F363*$I$12*(B364-B363)/$I$20,F363*$I$17),2))</x:f>
      </x:c>
      <x:c r="E364" s="18" t="str">
        <x:f>IF(B364="","",ROUND(C364-D364,2))</x:f>
      </x:c>
      <x:c r="F364" s="18" t="str">
        <x:f>IF(B364="","",ROUND(F363-E364,2))</x:f>
      </x:c>
      <x:c r="G364" s="2"/>
      <x:c r="H364" s="2"/>
      <x:c r="I364" s="2"/>
    </x:row>
    <x:row r="365" ht="24" customHeight="1">
      <x:c r="A365" s="1"/>
      <x:c r="B365" s="17" t="str">
        <x:f>IF(ROW()-ROW($B$9)&lt;=$I$16,MIN($I$14,EDATE($I$15,(ROW()-ROW($B$9)-1)*$I$13)),"")</x:f>
      </x:c>
      <x:c r="C365" s="18" t="str">
        <x:f>IF(B365="","",IF(ROW()-ROW($B$9)=$I$16,ROUND(F364+D365,2),MIN($I$18,ROUND(F364+D365,2))))</x:f>
      </x:c>
      <x:c r="D365" s="18" t="str">
        <x:f>IF(B365="","",ROUND(IF($I$19="Факт / 365",F364*$I$12*(B365-B364)/$I$20,F364*$I$17),2))</x:f>
      </x:c>
      <x:c r="E365" s="18" t="str">
        <x:f>IF(B365="","",ROUND(C365-D365,2))</x:f>
      </x:c>
      <x:c r="F365" s="18" t="str">
        <x:f>IF(B365="","",ROUND(F364-E365,2))</x:f>
      </x:c>
      <x:c r="G365" s="2"/>
      <x:c r="H365" s="2"/>
      <x:c r="I365" s="2"/>
    </x:row>
    <x:row r="366" ht="24" customHeight="1">
      <x:c r="A366" s="1"/>
      <x:c r="B366" s="17" t="str">
        <x:f>IF(ROW()-ROW($B$9)&lt;=$I$16,MIN($I$14,EDATE($I$15,(ROW()-ROW($B$9)-1)*$I$13)),"")</x:f>
      </x:c>
      <x:c r="C366" s="18" t="str">
        <x:f>IF(B366="","",IF(ROW()-ROW($B$9)=$I$16,ROUND(F365+D366,2),MIN($I$18,ROUND(F365+D366,2))))</x:f>
      </x:c>
      <x:c r="D366" s="18" t="str">
        <x:f>IF(B366="","",ROUND(IF($I$19="Факт / 365",F365*$I$12*(B366-B365)/$I$20,F365*$I$17),2))</x:f>
      </x:c>
      <x:c r="E366" s="18" t="str">
        <x:f>IF(B366="","",ROUND(C366-D366,2))</x:f>
      </x:c>
      <x:c r="F366" s="18" t="str">
        <x:f>IF(B366="","",ROUND(F365-E366,2))</x:f>
      </x:c>
      <x:c r="G366" s="2"/>
      <x:c r="H366" s="2"/>
      <x:c r="I366" s="2"/>
    </x:row>
    <x:row r="367" ht="24" customHeight="1">
      <x:c r="A367" s="1"/>
      <x:c r="B367" s="17" t="str">
        <x:f>IF(ROW()-ROW($B$9)&lt;=$I$16,MIN($I$14,EDATE($I$15,(ROW()-ROW($B$9)-1)*$I$13)),"")</x:f>
      </x:c>
      <x:c r="C367" s="18" t="str">
        <x:f>IF(B367="","",IF(ROW()-ROW($B$9)=$I$16,ROUND(F366+D367,2),MIN($I$18,ROUND(F366+D367,2))))</x:f>
      </x:c>
      <x:c r="D367" s="18" t="str">
        <x:f>IF(B367="","",ROUND(IF($I$19="Факт / 365",F366*$I$12*(B367-B366)/$I$20,F366*$I$17),2))</x:f>
      </x:c>
      <x:c r="E367" s="18" t="str">
        <x:f>IF(B367="","",ROUND(C367-D367,2))</x:f>
      </x:c>
      <x:c r="F367" s="18" t="str">
        <x:f>IF(B367="","",ROUND(F366-E367,2))</x:f>
      </x:c>
      <x:c r="G367" s="2"/>
      <x:c r="H367" s="2"/>
      <x:c r="I367" s="2"/>
    </x:row>
    <x:row r="368" ht="24" customHeight="1">
      <x:c r="A368" s="1"/>
      <x:c r="B368" s="17" t="str">
        <x:f>IF(ROW()-ROW($B$9)&lt;=$I$16,MIN($I$14,EDATE($I$15,(ROW()-ROW($B$9)-1)*$I$13)),"")</x:f>
      </x:c>
      <x:c r="C368" s="18" t="str">
        <x:f>IF(B368="","",IF(ROW()-ROW($B$9)=$I$16,ROUND(F367+D368,2),MIN($I$18,ROUND(F367+D368,2))))</x:f>
      </x:c>
      <x:c r="D368" s="18" t="str">
        <x:f>IF(B368="","",ROUND(IF($I$19="Факт / 365",F367*$I$12*(B368-B367)/$I$20,F367*$I$17),2))</x:f>
      </x:c>
      <x:c r="E368" s="18" t="str">
        <x:f>IF(B368="","",ROUND(C368-D368,2))</x:f>
      </x:c>
      <x:c r="F368" s="18" t="str">
        <x:f>IF(B368="","",ROUND(F367-E368,2))</x:f>
      </x:c>
      <x:c r="G368" s="2"/>
      <x:c r="H368" s="2"/>
      <x:c r="I368" s="2"/>
    </x:row>
    <x:row r="369" ht="24" customHeight="1">
      <x:c r="A369" s="1"/>
      <x:c r="B369" s="17" t="str">
        <x:f>IF(ROW()-ROW($B$9)&lt;=$I$16,MIN($I$14,EDATE($I$15,(ROW()-ROW($B$9)-1)*$I$13)),"")</x:f>
      </x:c>
      <x:c r="C369" s="18" t="str">
        <x:f>IF(B369="","",IF(ROW()-ROW($B$9)=$I$16,ROUND(F368+D369,2),MIN($I$18,ROUND(F368+D369,2))))</x:f>
      </x:c>
      <x:c r="D369" s="18" t="str">
        <x:f>IF(B369="","",ROUND(IF($I$19="Факт / 365",F368*$I$12*(B369-B368)/$I$20,F368*$I$17),2))</x:f>
      </x:c>
      <x:c r="E369" s="18" t="str">
        <x:f>IF(B369="","",ROUND(C369-D369,2))</x:f>
      </x:c>
      <x:c r="F369" s="18" t="str">
        <x:f>IF(B369="","",ROUND(F368-E369,2))</x:f>
      </x:c>
      <x:c r="G369" s="2"/>
      <x:c r="H369" s="2"/>
      <x:c r="I369" s="2"/>
    </x:row>
    <x:row r="370" ht="24" customHeight="1">
      <x:c r="A370" s="1"/>
      <x:c r="B370" s="17" t="str">
        <x:f>IF(ROW()-ROW($B$9)&lt;=$I$16,MIN($I$14,EDATE($I$15,(ROW()-ROW($B$9)-1)*$I$13)),"")</x:f>
      </x:c>
      <x:c r="C370" s="18" t="str">
        <x:f>IF(B370="","",IF(ROW()-ROW($B$9)=$I$16,ROUND(F369+D370,2),MIN($I$18,ROUND(F369+D370,2))))</x:f>
      </x:c>
      <x:c r="D370" s="18" t="str">
        <x:f>IF(B370="","",ROUND(IF($I$19="Факт / 365",F369*$I$12*(B370-B369)/$I$20,F369*$I$17),2))</x:f>
      </x:c>
      <x:c r="E370" s="18" t="str">
        <x:f>IF(B370="","",ROUND(C370-D370,2))</x:f>
      </x:c>
      <x:c r="F370" s="18" t="str">
        <x:f>IF(B370="","",ROUND(F369-E370,2))</x:f>
      </x:c>
      <x:c r="G370" s="2"/>
      <x:c r="H370" s="2"/>
      <x:c r="I370" s="2"/>
    </x:row>
    <x:row r="371" ht="24" customHeight="1">
      <x:c r="A371" s="1"/>
      <x:c r="B371" s="17" t="str">
        <x:f>IF(ROW()-ROW($B$9)&lt;=$I$16,MIN($I$14,EDATE($I$15,(ROW()-ROW($B$9)-1)*$I$13)),"")</x:f>
      </x:c>
      <x:c r="C371" s="18" t="str">
        <x:f>IF(B371="","",IF(ROW()-ROW($B$9)=$I$16,ROUND(F370+D371,2),MIN($I$18,ROUND(F370+D371,2))))</x:f>
      </x:c>
      <x:c r="D371" s="18" t="str">
        <x:f>IF(B371="","",ROUND(IF($I$19="Факт / 365",F370*$I$12*(B371-B370)/$I$20,F370*$I$17),2))</x:f>
      </x:c>
      <x:c r="E371" s="18" t="str">
        <x:f>IF(B371="","",ROUND(C371-D371,2))</x:f>
      </x:c>
      <x:c r="F371" s="18" t="str">
        <x:f>IF(B371="","",ROUND(F370-E371,2))</x:f>
      </x:c>
      <x:c r="G371" s="2"/>
      <x:c r="H371" s="2"/>
      <x:c r="I371" s="2"/>
    </x:row>
    <x:row r="372" ht="24" customHeight="1">
      <x:c r="A372" s="1"/>
      <x:c r="B372" s="17" t="str">
        <x:f>IF(ROW()-ROW($B$9)&lt;=$I$16,MIN($I$14,EDATE($I$15,(ROW()-ROW($B$9)-1)*$I$13)),"")</x:f>
      </x:c>
      <x:c r="C372" s="18" t="str">
        <x:f>IF(B372="","",IF(ROW()-ROW($B$9)=$I$16,ROUND(F371+D372,2),MIN($I$18,ROUND(F371+D372,2))))</x:f>
      </x:c>
      <x:c r="D372" s="18" t="str">
        <x:f>IF(B372="","",ROUND(IF($I$19="Факт / 365",F371*$I$12*(B372-B371)/$I$20,F371*$I$17),2))</x:f>
      </x:c>
      <x:c r="E372" s="18" t="str">
        <x:f>IF(B372="","",ROUND(C372-D372,2))</x:f>
      </x:c>
      <x:c r="F372" s="18" t="str">
        <x:f>IF(B372="","",ROUND(F371-E372,2))</x:f>
      </x:c>
      <x:c r="G372" s="2"/>
      <x:c r="H372" s="2"/>
      <x:c r="I372" s="2"/>
    </x:row>
    <x:row r="373" ht="24" customHeight="1">
      <x:c r="A373" s="1"/>
      <x:c r="B373" s="17" t="str">
        <x:f>IF(ROW()-ROW($B$9)&lt;=$I$16,MIN($I$14,EDATE($I$15,(ROW()-ROW($B$9)-1)*$I$13)),"")</x:f>
      </x:c>
      <x:c r="C373" s="18" t="str">
        <x:f>IF(B373="","",IF(ROW()-ROW($B$9)=$I$16,ROUND(F372+D373,2),MIN($I$18,ROUND(F372+D373,2))))</x:f>
      </x:c>
      <x:c r="D373" s="18" t="str">
        <x:f>IF(B373="","",ROUND(IF($I$19="Факт / 365",F372*$I$12*(B373-B372)/$I$20,F372*$I$17),2))</x:f>
      </x:c>
      <x:c r="E373" s="18" t="str">
        <x:f>IF(B373="","",ROUND(C373-D373,2))</x:f>
      </x:c>
      <x:c r="F373" s="18" t="str">
        <x:f>IF(B373="","",ROUND(F372-E373,2))</x:f>
      </x:c>
      <x:c r="G373" s="2"/>
      <x:c r="H373" s="2"/>
      <x:c r="I373" s="2"/>
    </x:row>
    <x:row r="374" ht="24" customHeight="1">
      <x:c r="A374" s="1"/>
      <x:c r="B374" s="17" t="str">
        <x:f>IF(ROW()-ROW($B$9)&lt;=$I$16,MIN($I$14,EDATE($I$15,(ROW()-ROW($B$9)-1)*$I$13)),"")</x:f>
      </x:c>
      <x:c r="C374" s="18" t="str">
        <x:f>IF(B374="","",IF(ROW()-ROW($B$9)=$I$16,ROUND(F373+D374,2),MIN($I$18,ROUND(F373+D374,2))))</x:f>
      </x:c>
      <x:c r="D374" s="18" t="str">
        <x:f>IF(B374="","",ROUND(IF($I$19="Факт / 365",F373*$I$12*(B374-B373)/$I$20,F373*$I$17),2))</x:f>
      </x:c>
      <x:c r="E374" s="18" t="str">
        <x:f>IF(B374="","",ROUND(C374-D374,2))</x:f>
      </x:c>
      <x:c r="F374" s="18" t="str">
        <x:f>IF(B374="","",ROUND(F373-E374,2))</x:f>
      </x:c>
      <x:c r="G374" s="2"/>
      <x:c r="H374" s="2"/>
      <x:c r="I374" s="2"/>
    </x:row>
    <x:row r="375" ht="24" customHeight="1">
      <x:c r="A375" s="1"/>
      <x:c r="B375" s="17" t="str">
        <x:f>IF(ROW()-ROW($B$9)&lt;=$I$16,MIN($I$14,EDATE($I$15,(ROW()-ROW($B$9)-1)*$I$13)),"")</x:f>
      </x:c>
      <x:c r="C375" s="18" t="str">
        <x:f>IF(B375="","",IF(ROW()-ROW($B$9)=$I$16,ROUND(F374+D375,2),MIN($I$18,ROUND(F374+D375,2))))</x:f>
      </x:c>
      <x:c r="D375" s="18" t="str">
        <x:f>IF(B375="","",ROUND(IF($I$19="Факт / 365",F374*$I$12*(B375-B374)/$I$20,F374*$I$17),2))</x:f>
      </x:c>
      <x:c r="E375" s="18" t="str">
        <x:f>IF(B375="","",ROUND(C375-D375,2))</x:f>
      </x:c>
      <x:c r="F375" s="18" t="str">
        <x:f>IF(B375="","",ROUND(F374-E375,2))</x:f>
      </x:c>
      <x:c r="G375" s="2"/>
      <x:c r="H375" s="2"/>
      <x:c r="I375" s="2"/>
    </x:row>
    <x:row r="376" ht="24" customHeight="1">
      <x:c r="A376" s="1"/>
      <x:c r="B376" s="17" t="str">
        <x:f>IF(ROW()-ROW($B$9)&lt;=$I$16,MIN($I$14,EDATE($I$15,(ROW()-ROW($B$9)-1)*$I$13)),"")</x:f>
      </x:c>
      <x:c r="C376" s="18" t="str">
        <x:f>IF(B376="","",IF(ROW()-ROW($B$9)=$I$16,ROUND(F375+D376,2),MIN($I$18,ROUND(F375+D376,2))))</x:f>
      </x:c>
      <x:c r="D376" s="18" t="str">
        <x:f>IF(B376="","",ROUND(IF($I$19="Факт / 365",F375*$I$12*(B376-B375)/$I$20,F375*$I$17),2))</x:f>
      </x:c>
      <x:c r="E376" s="18" t="str">
        <x:f>IF(B376="","",ROUND(C376-D376,2))</x:f>
      </x:c>
      <x:c r="F376" s="18" t="str">
        <x:f>IF(B376="","",ROUND(F375-E376,2))</x:f>
      </x:c>
      <x:c r="G376" s="2"/>
      <x:c r="H376" s="2"/>
      <x:c r="I376" s="2"/>
    </x:row>
    <x:row r="377" ht="24" customHeight="1">
      <x:c r="A377" s="1"/>
      <x:c r="B377" s="17" t="str">
        <x:f>IF(ROW()-ROW($B$9)&lt;=$I$16,MIN($I$14,EDATE($I$15,(ROW()-ROW($B$9)-1)*$I$13)),"")</x:f>
      </x:c>
      <x:c r="C377" s="18" t="str">
        <x:f>IF(B377="","",IF(ROW()-ROW($B$9)=$I$16,ROUND(F376+D377,2),MIN($I$18,ROUND(F376+D377,2))))</x:f>
      </x:c>
      <x:c r="D377" s="18" t="str">
        <x:f>IF(B377="","",ROUND(IF($I$19="Факт / 365",F376*$I$12*(B377-B376)/$I$20,F376*$I$17),2))</x:f>
      </x:c>
      <x:c r="E377" s="18" t="str">
        <x:f>IF(B377="","",ROUND(C377-D377,2))</x:f>
      </x:c>
      <x:c r="F377" s="18" t="str">
        <x:f>IF(B377="","",ROUND(F376-E377,2))</x:f>
      </x:c>
      <x:c r="G377" s="2"/>
      <x:c r="H377" s="2"/>
      <x:c r="I377" s="2"/>
    </x:row>
    <x:row r="378" ht="24" customHeight="1">
      <x:c r="A378" s="1"/>
      <x:c r="B378" s="17" t="str">
        <x:f>IF(ROW()-ROW($B$9)&lt;=$I$16,MIN($I$14,EDATE($I$15,(ROW()-ROW($B$9)-1)*$I$13)),"")</x:f>
      </x:c>
      <x:c r="C378" s="18" t="str">
        <x:f>IF(B378="","",IF(ROW()-ROW($B$9)=$I$16,ROUND(F377+D378,2),MIN($I$18,ROUND(F377+D378,2))))</x:f>
      </x:c>
      <x:c r="D378" s="18" t="str">
        <x:f>IF(B378="","",ROUND(IF($I$19="Факт / 365",F377*$I$12*(B378-B377)/$I$20,F377*$I$17),2))</x:f>
      </x:c>
      <x:c r="E378" s="18" t="str">
        <x:f>IF(B378="","",ROUND(C378-D378,2))</x:f>
      </x:c>
      <x:c r="F378" s="18" t="str">
        <x:f>IF(B378="","",ROUND(F377-E378,2))</x:f>
      </x:c>
      <x:c r="G378" s="2"/>
      <x:c r="H378" s="2"/>
      <x:c r="I378" s="2"/>
    </x:row>
    <x:row r="379" ht="24" customHeight="1">
      <x:c r="A379" s="1"/>
      <x:c r="B379" s="17" t="str">
        <x:f>IF(ROW()-ROW($B$9)&lt;=$I$16,MIN($I$14,EDATE($I$15,(ROW()-ROW($B$9)-1)*$I$13)),"")</x:f>
      </x:c>
      <x:c r="C379" s="18" t="str">
        <x:f>IF(B379="","",IF(ROW()-ROW($B$9)=$I$16,ROUND(F378+D379,2),MIN($I$18,ROUND(F378+D379,2))))</x:f>
      </x:c>
      <x:c r="D379" s="18" t="str">
        <x:f>IF(B379="","",ROUND(IF($I$19="Факт / 365",F378*$I$12*(B379-B378)/$I$20,F378*$I$17),2))</x:f>
      </x:c>
      <x:c r="E379" s="18" t="str">
        <x:f>IF(B379="","",ROUND(C379-D379,2))</x:f>
      </x:c>
      <x:c r="F379" s="18" t="str">
        <x:f>IF(B379="","",ROUND(F378-E379,2))</x:f>
      </x:c>
      <x:c r="G379" s="2"/>
      <x:c r="H379" s="2"/>
      <x:c r="I379" s="2"/>
    </x:row>
    <x:row r="380" ht="24" customHeight="1">
      <x:c r="A380" s="1"/>
      <x:c r="B380" s="17" t="str">
        <x:f>IF(ROW()-ROW($B$9)&lt;=$I$16,MIN($I$14,EDATE($I$15,(ROW()-ROW($B$9)-1)*$I$13)),"")</x:f>
      </x:c>
      <x:c r="C380" s="18" t="str">
        <x:f>IF(B380="","",IF(ROW()-ROW($B$9)=$I$16,ROUND(F379+D380,2),MIN($I$18,ROUND(F379+D380,2))))</x:f>
      </x:c>
      <x:c r="D380" s="18" t="str">
        <x:f>IF(B380="","",ROUND(IF($I$19="Факт / 365",F379*$I$12*(B380-B379)/$I$20,F379*$I$17),2))</x:f>
      </x:c>
      <x:c r="E380" s="18" t="str">
        <x:f>IF(B380="","",ROUND(C380-D380,2))</x:f>
      </x:c>
      <x:c r="F380" s="18" t="str">
        <x:f>IF(B380="","",ROUND(F379-E380,2))</x:f>
      </x:c>
      <x:c r="G380" s="2"/>
      <x:c r="H380" s="2"/>
      <x:c r="I380" s="2"/>
    </x:row>
    <x:row r="381" ht="24" customHeight="1">
      <x:c r="A381" s="1"/>
      <x:c r="B381" s="17" t="str">
        <x:f>IF(ROW()-ROW($B$9)&lt;=$I$16,MIN($I$14,EDATE($I$15,(ROW()-ROW($B$9)-1)*$I$13)),"")</x:f>
      </x:c>
      <x:c r="C381" s="18" t="str">
        <x:f>IF(B381="","",IF(ROW()-ROW($B$9)=$I$16,ROUND(F380+D381,2),MIN($I$18,ROUND(F380+D381,2))))</x:f>
      </x:c>
      <x:c r="D381" s="18" t="str">
        <x:f>IF(B381="","",ROUND(IF($I$19="Факт / 365",F380*$I$12*(B381-B380)/$I$20,F380*$I$17),2))</x:f>
      </x:c>
      <x:c r="E381" s="18" t="str">
        <x:f>IF(B381="","",ROUND(C381-D381,2))</x:f>
      </x:c>
      <x:c r="F381" s="18" t="str">
        <x:f>IF(B381="","",ROUND(F380-E381,2))</x:f>
      </x:c>
      <x:c r="G381" s="2"/>
      <x:c r="H381" s="2"/>
      <x:c r="I381" s="2"/>
    </x:row>
    <x:row r="382" ht="24" customHeight="1">
      <x:c r="A382" s="1"/>
      <x:c r="B382" s="17" t="str">
        <x:f>IF(ROW()-ROW($B$9)&lt;=$I$16,MIN($I$14,EDATE($I$15,(ROW()-ROW($B$9)-1)*$I$13)),"")</x:f>
      </x:c>
      <x:c r="C382" s="18" t="str">
        <x:f>IF(B382="","",IF(ROW()-ROW($B$9)=$I$16,ROUND(F381+D382,2),MIN($I$18,ROUND(F381+D382,2))))</x:f>
      </x:c>
      <x:c r="D382" s="18" t="str">
        <x:f>IF(B382="","",ROUND(IF($I$19="Факт / 365",F381*$I$12*(B382-B381)/$I$20,F381*$I$17),2))</x:f>
      </x:c>
      <x:c r="E382" s="18" t="str">
        <x:f>IF(B382="","",ROUND(C382-D382,2))</x:f>
      </x:c>
      <x:c r="F382" s="18" t="str">
        <x:f>IF(B382="","",ROUND(F381-E382,2))</x:f>
      </x:c>
      <x:c r="G382" s="2"/>
      <x:c r="H382" s="2"/>
      <x:c r="I382" s="2"/>
    </x:row>
    <x:row r="383" ht="24" customHeight="1">
      <x:c r="A383" s="1"/>
      <x:c r="B383" s="17" t="str">
        <x:f>IF(ROW()-ROW($B$9)&lt;=$I$16,MIN($I$14,EDATE($I$15,(ROW()-ROW($B$9)-1)*$I$13)),"")</x:f>
      </x:c>
      <x:c r="C383" s="18" t="str">
        <x:f>IF(B383="","",IF(ROW()-ROW($B$9)=$I$16,ROUND(F382+D383,2),MIN($I$18,ROUND(F382+D383,2))))</x:f>
      </x:c>
      <x:c r="D383" s="18" t="str">
        <x:f>IF(B383="","",ROUND(IF($I$19="Факт / 365",F382*$I$12*(B383-B382)/$I$20,F382*$I$17),2))</x:f>
      </x:c>
      <x:c r="E383" s="18" t="str">
        <x:f>IF(B383="","",ROUND(C383-D383,2))</x:f>
      </x:c>
      <x:c r="F383" s="18" t="str">
        <x:f>IF(B383="","",ROUND(F382-E383,2))</x:f>
      </x:c>
      <x:c r="G383" s="2"/>
      <x:c r="H383" s="2"/>
      <x:c r="I383" s="2"/>
    </x:row>
    <x:row r="384" ht="24" customHeight="1">
      <x:c r="A384" s="1"/>
      <x:c r="B384" s="17" t="str">
        <x:f>IF(ROW()-ROW($B$9)&lt;=$I$16,MIN($I$14,EDATE($I$15,(ROW()-ROW($B$9)-1)*$I$13)),"")</x:f>
      </x:c>
      <x:c r="C384" s="18" t="str">
        <x:f>IF(B384="","",IF(ROW()-ROW($B$9)=$I$16,ROUND(F383+D384,2),MIN($I$18,ROUND(F383+D384,2))))</x:f>
      </x:c>
      <x:c r="D384" s="18" t="str">
        <x:f>IF(B384="","",ROUND(IF($I$19="Факт / 365",F383*$I$12*(B384-B383)/$I$20,F383*$I$17),2))</x:f>
      </x:c>
      <x:c r="E384" s="18" t="str">
        <x:f>IF(B384="","",ROUND(C384-D384,2))</x:f>
      </x:c>
      <x:c r="F384" s="18" t="str">
        <x:f>IF(B384="","",ROUND(F383-E384,2))</x:f>
      </x:c>
      <x:c r="G384" s="2"/>
      <x:c r="H384" s="2"/>
      <x:c r="I384" s="2"/>
    </x:row>
    <x:row r="385" ht="24" customHeight="1">
      <x:c r="A385" s="1"/>
      <x:c r="B385" s="17" t="str">
        <x:f>IF(ROW()-ROW($B$9)&lt;=$I$16,MIN($I$14,EDATE($I$15,(ROW()-ROW($B$9)-1)*$I$13)),"")</x:f>
      </x:c>
      <x:c r="C385" s="18" t="str">
        <x:f>IF(B385="","",IF(ROW()-ROW($B$9)=$I$16,ROUND(F384+D385,2),MIN($I$18,ROUND(F384+D385,2))))</x:f>
      </x:c>
      <x:c r="D385" s="18" t="str">
        <x:f>IF(B385="","",ROUND(IF($I$19="Факт / 365",F384*$I$12*(B385-B384)/$I$20,F384*$I$17),2))</x:f>
      </x:c>
      <x:c r="E385" s="18" t="str">
        <x:f>IF(B385="","",ROUND(C385-D385,2))</x:f>
      </x:c>
      <x:c r="F385" s="18" t="str">
        <x:f>IF(B385="","",ROUND(F384-E385,2))</x:f>
      </x:c>
      <x:c r="G385" s="2"/>
      <x:c r="H385" s="2"/>
      <x:c r="I385" s="2"/>
    </x:row>
    <x:row r="386" ht="24" customHeight="1">
      <x:c r="A386" s="1"/>
      <x:c r="B386" s="17" t="str">
        <x:f>IF(ROW()-ROW($B$9)&lt;=$I$16,MIN($I$14,EDATE($I$15,(ROW()-ROW($B$9)-1)*$I$13)),"")</x:f>
      </x:c>
      <x:c r="C386" s="18" t="str">
        <x:f>IF(B386="","",IF(ROW()-ROW($B$9)=$I$16,ROUND(F385+D386,2),MIN($I$18,ROUND(F385+D386,2))))</x:f>
      </x:c>
      <x:c r="D386" s="18" t="str">
        <x:f>IF(B386="","",ROUND(IF($I$19="Факт / 365",F385*$I$12*(B386-B385)/$I$20,F385*$I$17),2))</x:f>
      </x:c>
      <x:c r="E386" s="18" t="str">
        <x:f>IF(B386="","",ROUND(C386-D386,2))</x:f>
      </x:c>
      <x:c r="F386" s="18" t="str">
        <x:f>IF(B386="","",ROUND(F385-E386,2))</x:f>
      </x:c>
      <x:c r="G386" s="2"/>
      <x:c r="H386" s="2"/>
      <x:c r="I386" s="2"/>
    </x:row>
    <x:row r="387" ht="24" customHeight="1">
      <x:c r="A387" s="1"/>
      <x:c r="B387" s="17" t="str">
        <x:f>IF(ROW()-ROW($B$9)&lt;=$I$16,MIN($I$14,EDATE($I$15,(ROW()-ROW($B$9)-1)*$I$13)),"")</x:f>
      </x:c>
      <x:c r="C387" s="18" t="str">
        <x:f>IF(B387="","",IF(ROW()-ROW($B$9)=$I$16,ROUND(F386+D387,2),MIN($I$18,ROUND(F386+D387,2))))</x:f>
      </x:c>
      <x:c r="D387" s="18" t="str">
        <x:f>IF(B387="","",ROUND(IF($I$19="Факт / 365",F386*$I$12*(B387-B386)/$I$20,F386*$I$17),2))</x:f>
      </x:c>
      <x:c r="E387" s="18" t="str">
        <x:f>IF(B387="","",ROUND(C387-D387,2))</x:f>
      </x:c>
      <x:c r="F387" s="18" t="str">
        <x:f>IF(B387="","",ROUND(F386-E387,2))</x:f>
      </x:c>
      <x:c r="G387" s="2"/>
      <x:c r="H387" s="2"/>
      <x:c r="I387" s="2"/>
    </x:row>
    <x:row r="388" ht="24" customHeight="1">
      <x:c r="A388" s="1"/>
      <x:c r="B388" s="17" t="str">
        <x:f>IF(ROW()-ROW($B$9)&lt;=$I$16,MIN($I$14,EDATE($I$15,(ROW()-ROW($B$9)-1)*$I$13)),"")</x:f>
      </x:c>
      <x:c r="C388" s="18" t="str">
        <x:f>IF(B388="","",IF(ROW()-ROW($B$9)=$I$16,ROUND(F387+D388,2),MIN($I$18,ROUND(F387+D388,2))))</x:f>
      </x:c>
      <x:c r="D388" s="18" t="str">
        <x:f>IF(B388="","",ROUND(IF($I$19="Факт / 365",F387*$I$12*(B388-B387)/$I$20,F387*$I$17),2))</x:f>
      </x:c>
      <x:c r="E388" s="18" t="str">
        <x:f>IF(B388="","",ROUND(C388-D388,2))</x:f>
      </x:c>
      <x:c r="F388" s="18" t="str">
        <x:f>IF(B388="","",ROUND(F387-E388,2))</x:f>
      </x:c>
      <x:c r="G388" s="2"/>
      <x:c r="H388" s="2"/>
      <x:c r="I388" s="2"/>
    </x:row>
    <x:row r="389" ht="24" customHeight="1">
      <x:c r="A389" s="1"/>
      <x:c r="B389" s="17" t="str">
        <x:f>IF(ROW()-ROW($B$9)&lt;=$I$16,MIN($I$14,EDATE($I$15,(ROW()-ROW($B$9)-1)*$I$13)),"")</x:f>
      </x:c>
      <x:c r="C389" s="18" t="str">
        <x:f>IF(B389="","",IF(ROW()-ROW($B$9)=$I$16,ROUND(F388+D389,2),MIN($I$18,ROUND(F388+D389,2))))</x:f>
      </x:c>
      <x:c r="D389" s="18" t="str">
        <x:f>IF(B389="","",ROUND(IF($I$19="Факт / 365",F388*$I$12*(B389-B388)/$I$20,F388*$I$17),2))</x:f>
      </x:c>
      <x:c r="E389" s="18" t="str">
        <x:f>IF(B389="","",ROUND(C389-D389,2))</x:f>
      </x:c>
      <x:c r="F389" s="18" t="str">
        <x:f>IF(B389="","",ROUND(F388-E389,2))</x:f>
      </x:c>
      <x:c r="G389" s="2"/>
      <x:c r="H389" s="2"/>
      <x:c r="I389" s="2"/>
    </x:row>
    <x:row r="390" ht="24" customHeight="1">
      <x:c r="A390" s="1"/>
      <x:c r="B390" s="17" t="str">
        <x:f>IF(ROW()-ROW($B$9)&lt;=$I$16,MIN($I$14,EDATE($I$15,(ROW()-ROW($B$9)-1)*$I$13)),"")</x:f>
      </x:c>
      <x:c r="C390" s="18" t="str">
        <x:f>IF(B390="","",IF(ROW()-ROW($B$9)=$I$16,ROUND(F389+D390,2),MIN($I$18,ROUND(F389+D390,2))))</x:f>
      </x:c>
      <x:c r="D390" s="18" t="str">
        <x:f>IF(B390="","",ROUND(IF($I$19="Факт / 365",F389*$I$12*(B390-B389)/$I$20,F389*$I$17),2))</x:f>
      </x:c>
      <x:c r="E390" s="18" t="str">
        <x:f>IF(B390="","",ROUND(C390-D390,2))</x:f>
      </x:c>
      <x:c r="F390" s="18" t="str">
        <x:f>IF(B390="","",ROUND(F389-E390,2))</x:f>
      </x:c>
      <x:c r="G390" s="2"/>
      <x:c r="H390" s="2"/>
      <x:c r="I390" s="2"/>
    </x:row>
    <x:row r="391" ht="24" customHeight="1">
      <x:c r="A391" s="1"/>
      <x:c r="B391" s="17" t="str">
        <x:f>IF(ROW()-ROW($B$9)&lt;=$I$16,MIN($I$14,EDATE($I$15,(ROW()-ROW($B$9)-1)*$I$13)),"")</x:f>
      </x:c>
      <x:c r="C391" s="18" t="str">
        <x:f>IF(B391="","",IF(ROW()-ROW($B$9)=$I$16,ROUND(F390+D391,2),MIN($I$18,ROUND(F390+D391,2))))</x:f>
      </x:c>
      <x:c r="D391" s="18" t="str">
        <x:f>IF(B391="","",ROUND(IF($I$19="Факт / 365",F390*$I$12*(B391-B390)/$I$20,F390*$I$17),2))</x:f>
      </x:c>
      <x:c r="E391" s="18" t="str">
        <x:f>IF(B391="","",ROUND(C391-D391,2))</x:f>
      </x:c>
      <x:c r="F391" s="18" t="str">
        <x:f>IF(B391="","",ROUND(F390-E391,2))</x:f>
      </x:c>
      <x:c r="G391" s="2"/>
      <x:c r="H391" s="2"/>
      <x:c r="I391" s="2"/>
    </x:row>
    <x:row r="392" ht="24" customHeight="1">
      <x:c r="A392" s="1"/>
      <x:c r="B392" s="17" t="str">
        <x:f>IF(ROW()-ROW($B$9)&lt;=$I$16,MIN($I$14,EDATE($I$15,(ROW()-ROW($B$9)-1)*$I$13)),"")</x:f>
      </x:c>
      <x:c r="C392" s="18" t="str">
        <x:f>IF(B392="","",IF(ROW()-ROW($B$9)=$I$16,ROUND(F391+D392,2),MIN($I$18,ROUND(F391+D392,2))))</x:f>
      </x:c>
      <x:c r="D392" s="18" t="str">
        <x:f>IF(B392="","",ROUND(IF($I$19="Факт / 365",F391*$I$12*(B392-B391)/$I$20,F391*$I$17),2))</x:f>
      </x:c>
      <x:c r="E392" s="18" t="str">
        <x:f>IF(B392="","",ROUND(C392-D392,2))</x:f>
      </x:c>
      <x:c r="F392" s="18" t="str">
        <x:f>IF(B392="","",ROUND(F391-E392,2))</x:f>
      </x:c>
      <x:c r="G392" s="2"/>
      <x:c r="H392" s="2"/>
      <x:c r="I392" s="2"/>
    </x:row>
    <x:row r="393" ht="24" customHeight="1">
      <x:c r="A393" s="1"/>
      <x:c r="B393" s="17" t="str">
        <x:f>IF(ROW()-ROW($B$9)&lt;=$I$16,MIN($I$14,EDATE($I$15,(ROW()-ROW($B$9)-1)*$I$13)),"")</x:f>
      </x:c>
      <x:c r="C393" s="18" t="str">
        <x:f>IF(B393="","",IF(ROW()-ROW($B$9)=$I$16,ROUND(F392+D393,2),MIN($I$18,ROUND(F392+D393,2))))</x:f>
      </x:c>
      <x:c r="D393" s="18" t="str">
        <x:f>IF(B393="","",ROUND(IF($I$19="Факт / 365",F392*$I$12*(B393-B392)/$I$20,F392*$I$17),2))</x:f>
      </x:c>
      <x:c r="E393" s="18" t="str">
        <x:f>IF(B393="","",ROUND(C393-D393,2))</x:f>
      </x:c>
      <x:c r="F393" s="18" t="str">
        <x:f>IF(B393="","",ROUND(F392-E393,2))</x:f>
      </x:c>
      <x:c r="G393" s="2"/>
      <x:c r="H393" s="2"/>
      <x:c r="I393" s="2"/>
    </x:row>
    <x:row r="394" ht="24" customHeight="1">
      <x:c r="A394" s="1"/>
      <x:c r="B394" s="17" t="str">
        <x:f>IF(ROW()-ROW($B$9)&lt;=$I$16,MIN($I$14,EDATE($I$15,(ROW()-ROW($B$9)-1)*$I$13)),"")</x:f>
      </x:c>
      <x:c r="C394" s="18" t="str">
        <x:f>IF(B394="","",IF(ROW()-ROW($B$9)=$I$16,ROUND(F393+D394,2),MIN($I$18,ROUND(F393+D394,2))))</x:f>
      </x:c>
      <x:c r="D394" s="18" t="str">
        <x:f>IF(B394="","",ROUND(IF($I$19="Факт / 365",F393*$I$12*(B394-B393)/$I$20,F393*$I$17),2))</x:f>
      </x:c>
      <x:c r="E394" s="18" t="str">
        <x:f>IF(B394="","",ROUND(C394-D394,2))</x:f>
      </x:c>
      <x:c r="F394" s="18" t="str">
        <x:f>IF(B394="","",ROUND(F393-E394,2))</x:f>
      </x:c>
      <x:c r="G394" s="2"/>
      <x:c r="H394" s="2"/>
      <x:c r="I394" s="2"/>
    </x:row>
    <x:row r="395" ht="24" customHeight="1">
      <x:c r="A395" s="1"/>
      <x:c r="B395" s="17" t="str">
        <x:f>IF(ROW()-ROW($B$9)&lt;=$I$16,MIN($I$14,EDATE($I$15,(ROW()-ROW($B$9)-1)*$I$13)),"")</x:f>
      </x:c>
      <x:c r="C395" s="18" t="str">
        <x:f>IF(B395="","",IF(ROW()-ROW($B$9)=$I$16,ROUND(F394+D395,2),MIN($I$18,ROUND(F394+D395,2))))</x:f>
      </x:c>
      <x:c r="D395" s="18" t="str">
        <x:f>IF(B395="","",ROUND(IF($I$19="Факт / 365",F394*$I$12*(B395-B394)/$I$20,F394*$I$17),2))</x:f>
      </x:c>
      <x:c r="E395" s="18" t="str">
        <x:f>IF(B395="","",ROUND(C395-D395,2))</x:f>
      </x:c>
      <x:c r="F395" s="18" t="str">
        <x:f>IF(B395="","",ROUND(F394-E395,2))</x:f>
      </x:c>
      <x:c r="G395" s="2"/>
      <x:c r="H395" s="2"/>
      <x:c r="I395" s="2"/>
    </x:row>
    <x:row r="396" ht="24" customHeight="1">
      <x:c r="A396" s="1"/>
      <x:c r="B396" s="17" t="str">
        <x:f>IF(ROW()-ROW($B$9)&lt;=$I$16,MIN($I$14,EDATE($I$15,(ROW()-ROW($B$9)-1)*$I$13)),"")</x:f>
      </x:c>
      <x:c r="C396" s="18" t="str">
        <x:f>IF(B396="","",IF(ROW()-ROW($B$9)=$I$16,ROUND(F395+D396,2),MIN($I$18,ROUND(F395+D396,2))))</x:f>
      </x:c>
      <x:c r="D396" s="18" t="str">
        <x:f>IF(B396="","",ROUND(IF($I$19="Факт / 365",F395*$I$12*(B396-B395)/$I$20,F395*$I$17),2))</x:f>
      </x:c>
      <x:c r="E396" s="18" t="str">
        <x:f>IF(B396="","",ROUND(C396-D396,2))</x:f>
      </x:c>
      <x:c r="F396" s="18" t="str">
        <x:f>IF(B396="","",ROUND(F395-E396,2))</x:f>
      </x:c>
      <x:c r="G396" s="2"/>
      <x:c r="H396" s="2"/>
      <x:c r="I396" s="2"/>
    </x:row>
    <x:row r="397" ht="24" customHeight="1">
      <x:c r="A397" s="1"/>
      <x:c r="B397" s="17" t="str">
        <x:f>IF(ROW()-ROW($B$9)&lt;=$I$16,MIN($I$14,EDATE($I$15,(ROW()-ROW($B$9)-1)*$I$13)),"")</x:f>
      </x:c>
      <x:c r="C397" s="18" t="str">
        <x:f>IF(B397="","",IF(ROW()-ROW($B$9)=$I$16,ROUND(F396+D397,2),MIN($I$18,ROUND(F396+D397,2))))</x:f>
      </x:c>
      <x:c r="D397" s="18" t="str">
        <x:f>IF(B397="","",ROUND(IF($I$19="Факт / 365",F396*$I$12*(B397-B396)/$I$20,F396*$I$17),2))</x:f>
      </x:c>
      <x:c r="E397" s="18" t="str">
        <x:f>IF(B397="","",ROUND(C397-D397,2))</x:f>
      </x:c>
      <x:c r="F397" s="18" t="str">
        <x:f>IF(B397="","",ROUND(F396-E397,2))</x:f>
      </x:c>
      <x:c r="G397" s="2"/>
      <x:c r="H397" s="2"/>
      <x:c r="I397" s="2"/>
    </x:row>
    <x:row r="398" ht="24" customHeight="1">
      <x:c r="A398" s="1"/>
      <x:c r="B398" s="17" t="str">
        <x:f>IF(ROW()-ROW($B$9)&lt;=$I$16,MIN($I$14,EDATE($I$15,(ROW()-ROW($B$9)-1)*$I$13)),"")</x:f>
      </x:c>
      <x:c r="C398" s="18" t="str">
        <x:f>IF(B398="","",IF(ROW()-ROW($B$9)=$I$16,ROUND(F397+D398,2),MIN($I$18,ROUND(F397+D398,2))))</x:f>
      </x:c>
      <x:c r="D398" s="18" t="str">
        <x:f>IF(B398="","",ROUND(IF($I$19="Факт / 365",F397*$I$12*(B398-B397)/$I$20,F397*$I$17),2))</x:f>
      </x:c>
      <x:c r="E398" s="18" t="str">
        <x:f>IF(B398="","",ROUND(C398-D398,2))</x:f>
      </x:c>
      <x:c r="F398" s="18" t="str">
        <x:f>IF(B398="","",ROUND(F397-E398,2))</x:f>
      </x:c>
      <x:c r="G398" s="2"/>
      <x:c r="H398" s="2"/>
      <x:c r="I398" s="2"/>
    </x:row>
    <x:row r="399" ht="24" customHeight="1">
      <x:c r="A399" s="1"/>
      <x:c r="B399" s="17" t="str">
        <x:f>IF(ROW()-ROW($B$9)&lt;=$I$16,MIN($I$14,EDATE($I$15,(ROW()-ROW($B$9)-1)*$I$13)),"")</x:f>
      </x:c>
      <x:c r="C399" s="18" t="str">
        <x:f>IF(B399="","",IF(ROW()-ROW($B$9)=$I$16,ROUND(F398+D399,2),MIN($I$18,ROUND(F398+D399,2))))</x:f>
      </x:c>
      <x:c r="D399" s="18" t="str">
        <x:f>IF(B399="","",ROUND(IF($I$19="Факт / 365",F398*$I$12*(B399-B398)/$I$20,F398*$I$17),2))</x:f>
      </x:c>
      <x:c r="E399" s="18" t="str">
        <x:f>IF(B399="","",ROUND(C399-D399,2))</x:f>
      </x:c>
      <x:c r="F399" s="18" t="str">
        <x:f>IF(B399="","",ROUND(F398-E399,2))</x:f>
      </x:c>
      <x:c r="G399" s="2"/>
      <x:c r="H399" s="2"/>
      <x:c r="I399" s="2"/>
    </x:row>
    <x:row r="400" ht="24" customHeight="1">
      <x:c r="A400" s="1"/>
      <x:c r="B400" s="17" t="str">
        <x:f>IF(ROW()-ROW($B$9)&lt;=$I$16,MIN($I$14,EDATE($I$15,(ROW()-ROW($B$9)-1)*$I$13)),"")</x:f>
      </x:c>
      <x:c r="C400" s="18" t="str">
        <x:f>IF(B400="","",IF(ROW()-ROW($B$9)=$I$16,ROUND(F399+D400,2),MIN($I$18,ROUND(F399+D400,2))))</x:f>
      </x:c>
      <x:c r="D400" s="18" t="str">
        <x:f>IF(B400="","",ROUND(IF($I$19="Факт / 365",F399*$I$12*(B400-B399)/$I$20,F399*$I$17),2))</x:f>
      </x:c>
      <x:c r="E400" s="18" t="str">
        <x:f>IF(B400="","",ROUND(C400-D400,2))</x:f>
      </x:c>
      <x:c r="F400" s="18" t="str">
        <x:f>IF(B400="","",ROUND(F399-E400,2))</x:f>
      </x:c>
      <x:c r="G400" s="2"/>
      <x:c r="H400" s="2"/>
      <x:c r="I400" s="2"/>
    </x:row>
    <x:row r="401" ht="24" customHeight="1">
      <x:c r="A401" s="1"/>
      <x:c r="B401" s="17" t="str">
        <x:f>IF(ROW()-ROW($B$9)&lt;=$I$16,MIN($I$14,EDATE($I$15,(ROW()-ROW($B$9)-1)*$I$13)),"")</x:f>
      </x:c>
      <x:c r="C401" s="18" t="str">
        <x:f>IF(B401="","",IF(ROW()-ROW($B$9)=$I$16,ROUND(F400+D401,2),MIN($I$18,ROUND(F400+D401,2))))</x:f>
      </x:c>
      <x:c r="D401" s="18" t="str">
        <x:f>IF(B401="","",ROUND(IF($I$19="Факт / 365",F400*$I$12*(B401-B400)/$I$20,F400*$I$17),2))</x:f>
      </x:c>
      <x:c r="E401" s="18" t="str">
        <x:f>IF(B401="","",ROUND(C401-D401,2))</x:f>
      </x:c>
      <x:c r="F401" s="18" t="str">
        <x:f>IF(B401="","",ROUND(F400-E401,2))</x:f>
      </x:c>
      <x:c r="G401" s="2"/>
      <x:c r="H401" s="2"/>
      <x:c r="I401" s="2"/>
    </x:row>
    <x:row r="402" ht="24" customHeight="1">
      <x:c r="A402" s="1"/>
      <x:c r="B402" s="17" t="str">
        <x:f>IF(ROW()-ROW($B$9)&lt;=$I$16,MIN($I$14,EDATE($I$15,(ROW()-ROW($B$9)-1)*$I$13)),"")</x:f>
      </x:c>
      <x:c r="C402" s="18" t="str">
        <x:f>IF(B402="","",IF(ROW()-ROW($B$9)=$I$16,ROUND(F401+D402,2),MIN($I$18,ROUND(F401+D402,2))))</x:f>
      </x:c>
      <x:c r="D402" s="18" t="str">
        <x:f>IF(B402="","",ROUND(IF($I$19="Факт / 365",F401*$I$12*(B402-B401)/$I$20,F401*$I$17),2))</x:f>
      </x:c>
      <x:c r="E402" s="18" t="str">
        <x:f>IF(B402="","",ROUND(C402-D402,2))</x:f>
      </x:c>
      <x:c r="F402" s="18" t="str">
        <x:f>IF(B402="","",ROUND(F401-E402,2))</x:f>
      </x:c>
      <x:c r="G402" s="2"/>
      <x:c r="H402" s="2"/>
      <x:c r="I402" s="2"/>
    </x:row>
    <x:row r="403" ht="24" customHeight="1">
      <x:c r="A403" s="1"/>
      <x:c r="B403" s="17" t="str">
        <x:f>IF(ROW()-ROW($B$9)&lt;=$I$16,MIN($I$14,EDATE($I$15,(ROW()-ROW($B$9)-1)*$I$13)),"")</x:f>
      </x:c>
      <x:c r="C403" s="18" t="str">
        <x:f>IF(B403="","",IF(ROW()-ROW($B$9)=$I$16,ROUND(F402+D403,2),MIN($I$18,ROUND(F402+D403,2))))</x:f>
      </x:c>
      <x:c r="D403" s="18" t="str">
        <x:f>IF(B403="","",ROUND(IF($I$19="Факт / 365",F402*$I$12*(B403-B402)/$I$20,F402*$I$17),2))</x:f>
      </x:c>
      <x:c r="E403" s="18" t="str">
        <x:f>IF(B403="","",ROUND(C403-D403,2))</x:f>
      </x:c>
      <x:c r="F403" s="18" t="str">
        <x:f>IF(B403="","",ROUND(F402-E403,2))</x:f>
      </x:c>
      <x:c r="G403" s="2"/>
      <x:c r="H403" s="2"/>
      <x:c r="I403" s="2"/>
    </x:row>
    <x:row r="404" ht="24" customHeight="1">
      <x:c r="A404" s="1"/>
      <x:c r="B404" s="17" t="str">
        <x:f>IF(ROW()-ROW($B$9)&lt;=$I$16,MIN($I$14,EDATE($I$15,(ROW()-ROW($B$9)-1)*$I$13)),"")</x:f>
      </x:c>
      <x:c r="C404" s="18" t="str">
        <x:f>IF(B404="","",IF(ROW()-ROW($B$9)=$I$16,ROUND(F403+D404,2),MIN($I$18,ROUND(F403+D404,2))))</x:f>
      </x:c>
      <x:c r="D404" s="18" t="str">
        <x:f>IF(B404="","",ROUND(IF($I$19="Факт / 365",F403*$I$12*(B404-B403)/$I$20,F403*$I$17),2))</x:f>
      </x:c>
      <x:c r="E404" s="18" t="str">
        <x:f>IF(B404="","",ROUND(C404-D404,2))</x:f>
      </x:c>
      <x:c r="F404" s="18" t="str">
        <x:f>IF(B404="","",ROUND(F403-E404,2))</x:f>
      </x:c>
      <x:c r="G404" s="2"/>
      <x:c r="H404" s="2"/>
      <x:c r="I404" s="2"/>
    </x:row>
    <x:row r="405" ht="24" customHeight="1">
      <x:c r="A405" s="1"/>
      <x:c r="B405" s="17" t="str">
        <x:f>IF(ROW()-ROW($B$9)&lt;=$I$16,MIN($I$14,EDATE($I$15,(ROW()-ROW($B$9)-1)*$I$13)),"")</x:f>
      </x:c>
      <x:c r="C405" s="18" t="str">
        <x:f>IF(B405="","",IF(ROW()-ROW($B$9)=$I$16,ROUND(F404+D405,2),MIN($I$18,ROUND(F404+D405,2))))</x:f>
      </x:c>
      <x:c r="D405" s="18" t="str">
        <x:f>IF(B405="","",ROUND(IF($I$19="Факт / 365",F404*$I$12*(B405-B404)/$I$20,F404*$I$17),2))</x:f>
      </x:c>
      <x:c r="E405" s="18" t="str">
        <x:f>IF(B405="","",ROUND(C405-D405,2))</x:f>
      </x:c>
      <x:c r="F405" s="18" t="str">
        <x:f>IF(B405="","",ROUND(F404-E405,2))</x:f>
      </x:c>
      <x:c r="G405" s="2"/>
      <x:c r="H405" s="2"/>
      <x:c r="I405" s="2"/>
    </x:row>
    <x:row r="406" ht="24" customHeight="1">
      <x:c r="A406" s="1"/>
      <x:c r="B406" s="17" t="str">
        <x:f>IF(ROW()-ROW($B$9)&lt;=$I$16,MIN($I$14,EDATE($I$15,(ROW()-ROW($B$9)-1)*$I$13)),"")</x:f>
      </x:c>
      <x:c r="C406" s="18" t="str">
        <x:f>IF(B406="","",IF(ROW()-ROW($B$9)=$I$16,ROUND(F405+D406,2),MIN($I$18,ROUND(F405+D406,2))))</x:f>
      </x:c>
      <x:c r="D406" s="18" t="str">
        <x:f>IF(B406="","",ROUND(IF($I$19="Факт / 365",F405*$I$12*(B406-B405)/$I$20,F405*$I$17),2))</x:f>
      </x:c>
      <x:c r="E406" s="18" t="str">
        <x:f>IF(B406="","",ROUND(C406-D406,2))</x:f>
      </x:c>
      <x:c r="F406" s="18" t="str">
        <x:f>IF(B406="","",ROUND(F405-E406,2))</x:f>
      </x:c>
      <x:c r="G406" s="2"/>
      <x:c r="H406" s="2"/>
      <x:c r="I406" s="2"/>
    </x:row>
    <x:row r="407" ht="24" customHeight="1">
      <x:c r="A407" s="1"/>
      <x:c r="B407" s="17" t="str">
        <x:f>IF(ROW()-ROW($B$9)&lt;=$I$16,MIN($I$14,EDATE($I$15,(ROW()-ROW($B$9)-1)*$I$13)),"")</x:f>
      </x:c>
      <x:c r="C407" s="18" t="str">
        <x:f>IF(B407="","",IF(ROW()-ROW($B$9)=$I$16,ROUND(F406+D407,2),MIN($I$18,ROUND(F406+D407,2))))</x:f>
      </x:c>
      <x:c r="D407" s="18" t="str">
        <x:f>IF(B407="","",ROUND(IF($I$19="Факт / 365",F406*$I$12*(B407-B406)/$I$20,F406*$I$17),2))</x:f>
      </x:c>
      <x:c r="E407" s="18" t="str">
        <x:f>IF(B407="","",ROUND(C407-D407,2))</x:f>
      </x:c>
      <x:c r="F407" s="18" t="str">
        <x:f>IF(B407="","",ROUND(F406-E407,2))</x:f>
      </x:c>
      <x:c r="G407" s="2"/>
      <x:c r="H407" s="2"/>
      <x:c r="I407" s="2"/>
    </x:row>
    <x:row r="408" ht="24" customHeight="1">
      <x:c r="A408" s="1"/>
      <x:c r="B408" s="17" t="str">
        <x:f>IF(ROW()-ROW($B$9)&lt;=$I$16,MIN($I$14,EDATE($I$15,(ROW()-ROW($B$9)-1)*$I$13)),"")</x:f>
      </x:c>
      <x:c r="C408" s="18" t="str">
        <x:f>IF(B408="","",IF(ROW()-ROW($B$9)=$I$16,ROUND(F407+D408,2),MIN($I$18,ROUND(F407+D408,2))))</x:f>
      </x:c>
      <x:c r="D408" s="18" t="str">
        <x:f>IF(B408="","",ROUND(IF($I$19="Факт / 365",F407*$I$12*(B408-B407)/$I$20,F407*$I$17),2))</x:f>
      </x:c>
      <x:c r="E408" s="18" t="str">
        <x:f>IF(B408="","",ROUND(C408-D408,2))</x:f>
      </x:c>
      <x:c r="F408" s="18" t="str">
        <x:f>IF(B408="","",ROUND(F407-E408,2))</x:f>
      </x:c>
      <x:c r="G408" s="2"/>
      <x:c r="H408" s="2"/>
      <x:c r="I408" s="2"/>
    </x:row>
    <x:row r="409" ht="24" customHeight="1">
      <x:c r="A409" s="1"/>
      <x:c r="B409" s="17" t="str">
        <x:f>IF(ROW()-ROW($B$9)&lt;=$I$16,MIN($I$14,EDATE($I$15,(ROW()-ROW($B$9)-1)*$I$13)),"")</x:f>
      </x:c>
      <x:c r="C409" s="18" t="str">
        <x:f>IF(B409="","",IF(ROW()-ROW($B$9)=$I$16,ROUND(F408+D409,2),MIN($I$18,ROUND(F408+D409,2))))</x:f>
      </x:c>
      <x:c r="D409" s="18" t="str">
        <x:f>IF(B409="","",ROUND(IF($I$19="Факт / 365",F408*$I$12*(B409-B408)/$I$20,F408*$I$17),2))</x:f>
      </x:c>
      <x:c r="E409" s="18" t="str">
        <x:f>IF(B409="","",ROUND(C409-D409,2))</x:f>
      </x:c>
      <x:c r="F409" s="18" t="str">
        <x:f>IF(B409="","",ROUND(F408-E409,2))</x:f>
      </x:c>
      <x:c r="G409" s="2"/>
      <x:c r="H409" s="2"/>
      <x:c r="I409" s="2"/>
    </x:row>
    <x:row r="410" ht="24" customHeight="1">
      <x:c r="A410" s="1"/>
      <x:c r="B410" s="17" t="str">
        <x:f>IF(ROW()-ROW($B$9)&lt;=$I$16,MIN($I$14,EDATE($I$15,(ROW()-ROW($B$9)-1)*$I$13)),"")</x:f>
      </x:c>
      <x:c r="C410" s="18" t="str">
        <x:f>IF(B410="","",IF(ROW()-ROW($B$9)=$I$16,ROUND(F409+D410,2),MIN($I$18,ROUND(F409+D410,2))))</x:f>
      </x:c>
      <x:c r="D410" s="18" t="str">
        <x:f>IF(B410="","",ROUND(IF($I$19="Факт / 365",F409*$I$12*(B410-B409)/$I$20,F409*$I$17),2))</x:f>
      </x:c>
      <x:c r="E410" s="18" t="str">
        <x:f>IF(B410="","",ROUND(C410-D410,2))</x:f>
      </x:c>
      <x:c r="F410" s="18" t="str">
        <x:f>IF(B410="","",ROUND(F409-E410,2))</x:f>
      </x:c>
      <x:c r="G410" s="2"/>
      <x:c r="H410" s="2"/>
      <x:c r="I410" s="2"/>
    </x:row>
    <x:row r="411" ht="24" customHeight="1">
      <x:c r="A411" s="1"/>
      <x:c r="B411" s="17" t="str">
        <x:f>IF(ROW()-ROW($B$9)&lt;=$I$16,MIN($I$14,EDATE($I$15,(ROW()-ROW($B$9)-1)*$I$13)),"")</x:f>
      </x:c>
      <x:c r="C411" s="18" t="str">
        <x:f>IF(B411="","",IF(ROW()-ROW($B$9)=$I$16,ROUND(F410+D411,2),MIN($I$18,ROUND(F410+D411,2))))</x:f>
      </x:c>
      <x:c r="D411" s="18" t="str">
        <x:f>IF(B411="","",ROUND(IF($I$19="Факт / 365",F410*$I$12*(B411-B410)/$I$20,F410*$I$17),2))</x:f>
      </x:c>
      <x:c r="E411" s="18" t="str">
        <x:f>IF(B411="","",ROUND(C411-D411,2))</x:f>
      </x:c>
      <x:c r="F411" s="18" t="str">
        <x:f>IF(B411="","",ROUND(F410-E411,2))</x:f>
      </x:c>
      <x:c r="G411" s="2"/>
      <x:c r="H411" s="2"/>
      <x:c r="I411" s="2"/>
    </x:row>
    <x:row r="412" ht="24" customHeight="1">
      <x:c r="A412" s="1"/>
      <x:c r="B412" s="17" t="str">
        <x:f>IF(ROW()-ROW($B$9)&lt;=$I$16,MIN($I$14,EDATE($I$15,(ROW()-ROW($B$9)-1)*$I$13)),"")</x:f>
      </x:c>
      <x:c r="C412" s="18" t="str">
        <x:f>IF(B412="","",IF(ROW()-ROW($B$9)=$I$16,ROUND(F411+D412,2),MIN($I$18,ROUND(F411+D412,2))))</x:f>
      </x:c>
      <x:c r="D412" s="18" t="str">
        <x:f>IF(B412="","",ROUND(IF($I$19="Факт / 365",F411*$I$12*(B412-B411)/$I$20,F411*$I$17),2))</x:f>
      </x:c>
      <x:c r="E412" s="18" t="str">
        <x:f>IF(B412="","",ROUND(C412-D412,2))</x:f>
      </x:c>
      <x:c r="F412" s="18" t="str">
        <x:f>IF(B412="","",ROUND(F411-E412,2))</x:f>
      </x:c>
      <x:c r="G412" s="2"/>
      <x:c r="H412" s="2"/>
      <x:c r="I412" s="2"/>
    </x:row>
    <x:row r="413" ht="24" customHeight="1">
      <x:c r="A413" s="1"/>
      <x:c r="B413" s="17" t="str">
        <x:f>IF(ROW()-ROW($B$9)&lt;=$I$16,MIN($I$14,EDATE($I$15,(ROW()-ROW($B$9)-1)*$I$13)),"")</x:f>
      </x:c>
      <x:c r="C413" s="18" t="str">
        <x:f>IF(B413="","",IF(ROW()-ROW($B$9)=$I$16,ROUND(F412+D413,2),MIN($I$18,ROUND(F412+D413,2))))</x:f>
      </x:c>
      <x:c r="D413" s="18" t="str">
        <x:f>IF(B413="","",ROUND(IF($I$19="Факт / 365",F412*$I$12*(B413-B412)/$I$20,F412*$I$17),2))</x:f>
      </x:c>
      <x:c r="E413" s="18" t="str">
        <x:f>IF(B413="","",ROUND(C413-D413,2))</x:f>
      </x:c>
      <x:c r="F413" s="18" t="str">
        <x:f>IF(B413="","",ROUND(F412-E413,2))</x:f>
      </x:c>
      <x:c r="G413" s="2"/>
      <x:c r="H413" s="2"/>
      <x:c r="I413" s="2"/>
    </x:row>
    <x:row r="414" ht="24" customHeight="1">
      <x:c r="A414" s="1"/>
      <x:c r="B414" s="17" t="str">
        <x:f>IF(ROW()-ROW($B$9)&lt;=$I$16,MIN($I$14,EDATE($I$15,(ROW()-ROW($B$9)-1)*$I$13)),"")</x:f>
      </x:c>
      <x:c r="C414" s="18" t="str">
        <x:f>IF(B414="","",IF(ROW()-ROW($B$9)=$I$16,ROUND(F413+D414,2),MIN($I$18,ROUND(F413+D414,2))))</x:f>
      </x:c>
      <x:c r="D414" s="18" t="str">
        <x:f>IF(B414="","",ROUND(IF($I$19="Факт / 365",F413*$I$12*(B414-B413)/$I$20,F413*$I$17),2))</x:f>
      </x:c>
      <x:c r="E414" s="18" t="str">
        <x:f>IF(B414="","",ROUND(C414-D414,2))</x:f>
      </x:c>
      <x:c r="F414" s="18" t="str">
        <x:f>IF(B414="","",ROUND(F413-E414,2))</x:f>
      </x:c>
      <x:c r="G414" s="2"/>
      <x:c r="H414" s="2"/>
      <x:c r="I414" s="2"/>
    </x:row>
    <x:row r="415" ht="24" customHeight="1">
      <x:c r="A415" s="1"/>
      <x:c r="B415" s="17" t="str">
        <x:f>IF(ROW()-ROW($B$9)&lt;=$I$16,MIN($I$14,EDATE($I$15,(ROW()-ROW($B$9)-1)*$I$13)),"")</x:f>
      </x:c>
      <x:c r="C415" s="18" t="str">
        <x:f>IF(B415="","",IF(ROW()-ROW($B$9)=$I$16,ROUND(F414+D415,2),MIN($I$18,ROUND(F414+D415,2))))</x:f>
      </x:c>
      <x:c r="D415" s="18" t="str">
        <x:f>IF(B415="","",ROUND(IF($I$19="Факт / 365",F414*$I$12*(B415-B414)/$I$20,F414*$I$17),2))</x:f>
      </x:c>
      <x:c r="E415" s="18" t="str">
        <x:f>IF(B415="","",ROUND(C415-D415,2))</x:f>
      </x:c>
      <x:c r="F415" s="18" t="str">
        <x:f>IF(B415="","",ROUND(F414-E415,2))</x:f>
      </x:c>
      <x:c r="G415" s="2"/>
      <x:c r="H415" s="2"/>
      <x:c r="I415" s="2"/>
    </x:row>
    <x:row r="416" ht="24" customHeight="1">
      <x:c r="A416" s="1"/>
      <x:c r="B416" s="17" t="str">
        <x:f>IF(ROW()-ROW($B$9)&lt;=$I$16,MIN($I$14,EDATE($I$15,(ROW()-ROW($B$9)-1)*$I$13)),"")</x:f>
      </x:c>
      <x:c r="C416" s="18" t="str">
        <x:f>IF(B416="","",IF(ROW()-ROW($B$9)=$I$16,ROUND(F415+D416,2),MIN($I$18,ROUND(F415+D416,2))))</x:f>
      </x:c>
      <x:c r="D416" s="18" t="str">
        <x:f>IF(B416="","",ROUND(IF($I$19="Факт / 365",F415*$I$12*(B416-B415)/$I$20,F415*$I$17),2))</x:f>
      </x:c>
      <x:c r="E416" s="18" t="str">
        <x:f>IF(B416="","",ROUND(C416-D416,2))</x:f>
      </x:c>
      <x:c r="F416" s="18" t="str">
        <x:f>IF(B416="","",ROUND(F415-E416,2))</x:f>
      </x:c>
      <x:c r="G416" s="2"/>
      <x:c r="H416" s="2"/>
      <x:c r="I416" s="2"/>
    </x:row>
    <x:row r="417" ht="24" customHeight="1">
      <x:c r="A417" s="1"/>
      <x:c r="B417" s="17" t="str">
        <x:f>IF(ROW()-ROW($B$9)&lt;=$I$16,MIN($I$14,EDATE($I$15,(ROW()-ROW($B$9)-1)*$I$13)),"")</x:f>
      </x:c>
      <x:c r="C417" s="18" t="str">
        <x:f>IF(B417="","",IF(ROW()-ROW($B$9)=$I$16,ROUND(F416+D417,2),MIN($I$18,ROUND(F416+D417,2))))</x:f>
      </x:c>
      <x:c r="D417" s="18" t="str">
        <x:f>IF(B417="","",ROUND(IF($I$19="Факт / 365",F416*$I$12*(B417-B416)/$I$20,F416*$I$17),2))</x:f>
      </x:c>
      <x:c r="E417" s="18" t="str">
        <x:f>IF(B417="","",ROUND(C417-D417,2))</x:f>
      </x:c>
      <x:c r="F417" s="18" t="str">
        <x:f>IF(B417="","",ROUND(F416-E417,2))</x:f>
      </x:c>
      <x:c r="G417" s="2"/>
      <x:c r="H417" s="2"/>
      <x:c r="I417" s="2"/>
    </x:row>
    <x:row r="418" ht="24" customHeight="1">
      <x:c r="A418" s="1"/>
      <x:c r="B418" s="17" t="str">
        <x:f>IF(ROW()-ROW($B$9)&lt;=$I$16,MIN($I$14,EDATE($I$15,(ROW()-ROW($B$9)-1)*$I$13)),"")</x:f>
      </x:c>
      <x:c r="C418" s="18" t="str">
        <x:f>IF(B418="","",IF(ROW()-ROW($B$9)=$I$16,ROUND(F417+D418,2),MIN($I$18,ROUND(F417+D418,2))))</x:f>
      </x:c>
      <x:c r="D418" s="18" t="str">
        <x:f>IF(B418="","",ROUND(IF($I$19="Факт / 365",F417*$I$12*(B418-B417)/$I$20,F417*$I$17),2))</x:f>
      </x:c>
      <x:c r="E418" s="18" t="str">
        <x:f>IF(B418="","",ROUND(C418-D418,2))</x:f>
      </x:c>
      <x:c r="F418" s="18" t="str">
        <x:f>IF(B418="","",ROUND(F417-E418,2))</x:f>
      </x:c>
      <x:c r="G418" s="2"/>
      <x:c r="H418" s="2"/>
      <x:c r="I418" s="2"/>
    </x:row>
    <x:row r="419" ht="24" customHeight="1">
      <x:c r="A419" s="1"/>
      <x:c r="B419" s="17" t="str">
        <x:f>IF(ROW()-ROW($B$9)&lt;=$I$16,MIN($I$14,EDATE($I$15,(ROW()-ROW($B$9)-1)*$I$13)),"")</x:f>
      </x:c>
      <x:c r="C419" s="18" t="str">
        <x:f>IF(B419="","",IF(ROW()-ROW($B$9)=$I$16,ROUND(F418+D419,2),MIN($I$18,ROUND(F418+D419,2))))</x:f>
      </x:c>
      <x:c r="D419" s="18" t="str">
        <x:f>IF(B419="","",ROUND(IF($I$19="Факт / 365",F418*$I$12*(B419-B418)/$I$20,F418*$I$17),2))</x:f>
      </x:c>
      <x:c r="E419" s="18" t="str">
        <x:f>IF(B419="","",ROUND(C419-D419,2))</x:f>
      </x:c>
      <x:c r="F419" s="18" t="str">
        <x:f>IF(B419="","",ROUND(F418-E419,2))</x:f>
      </x:c>
      <x:c r="G419" s="2"/>
      <x:c r="H419" s="2"/>
      <x:c r="I419" s="2"/>
    </x:row>
    <x:row r="420" ht="24" customHeight="1">
      <x:c r="A420" s="1"/>
      <x:c r="B420" s="17" t="str">
        <x:f>IF(ROW()-ROW($B$9)&lt;=$I$16,MIN($I$14,EDATE($I$15,(ROW()-ROW($B$9)-1)*$I$13)),"")</x:f>
      </x:c>
      <x:c r="C420" s="18" t="str">
        <x:f>IF(B420="","",IF(ROW()-ROW($B$9)=$I$16,ROUND(F419+D420,2),MIN($I$18,ROUND(F419+D420,2))))</x:f>
      </x:c>
      <x:c r="D420" s="18" t="str">
        <x:f>IF(B420="","",ROUND(IF($I$19="Факт / 365",F419*$I$12*(B420-B419)/$I$20,F419*$I$17),2))</x:f>
      </x:c>
      <x:c r="E420" s="18" t="str">
        <x:f>IF(B420="","",ROUND(C420-D420,2))</x:f>
      </x:c>
      <x:c r="F420" s="18" t="str">
        <x:f>IF(B420="","",ROUND(F419-E420,2))</x:f>
      </x:c>
      <x:c r="G420" s="2"/>
      <x:c r="H420" s="2"/>
      <x:c r="I420" s="2"/>
    </x:row>
    <x:row r="421" ht="24" customHeight="1">
      <x:c r="A421" s="1"/>
      <x:c r="B421" s="17" t="str">
        <x:f>IF(ROW()-ROW($B$9)&lt;=$I$16,MIN($I$14,EDATE($I$15,(ROW()-ROW($B$9)-1)*$I$13)),"")</x:f>
      </x:c>
      <x:c r="C421" s="18" t="str">
        <x:f>IF(B421="","",IF(ROW()-ROW($B$9)=$I$16,ROUND(F420+D421,2),MIN($I$18,ROUND(F420+D421,2))))</x:f>
      </x:c>
      <x:c r="D421" s="18" t="str">
        <x:f>IF(B421="","",ROUND(IF($I$19="Факт / 365",F420*$I$12*(B421-B420)/$I$20,F420*$I$17),2))</x:f>
      </x:c>
      <x:c r="E421" s="18" t="str">
        <x:f>IF(B421="","",ROUND(C421-D421,2))</x:f>
      </x:c>
      <x:c r="F421" s="18" t="str">
        <x:f>IF(B421="","",ROUND(F420-E421,2))</x:f>
      </x:c>
      <x:c r="G421" s="2"/>
      <x:c r="H421" s="2"/>
      <x:c r="I421" s="2"/>
    </x:row>
    <x:row r="422" ht="24" customHeight="1">
      <x:c r="A422" s="1"/>
      <x:c r="B422" s="17" t="str">
        <x:f>IF(ROW()-ROW($B$9)&lt;=$I$16,MIN($I$14,EDATE($I$15,(ROW()-ROW($B$9)-1)*$I$13)),"")</x:f>
      </x:c>
      <x:c r="C422" s="18" t="str">
        <x:f>IF(B422="","",IF(ROW()-ROW($B$9)=$I$16,ROUND(F421+D422,2),MIN($I$18,ROUND(F421+D422,2))))</x:f>
      </x:c>
      <x:c r="D422" s="18" t="str">
        <x:f>IF(B422="","",ROUND(IF($I$19="Факт / 365",F421*$I$12*(B422-B421)/$I$20,F421*$I$17),2))</x:f>
      </x:c>
      <x:c r="E422" s="18" t="str">
        <x:f>IF(B422="","",ROUND(C422-D422,2))</x:f>
      </x:c>
      <x:c r="F422" s="18" t="str">
        <x:f>IF(B422="","",ROUND(F421-E422,2))</x:f>
      </x:c>
      <x:c r="G422" s="2"/>
      <x:c r="H422" s="2"/>
      <x:c r="I422" s="2"/>
    </x:row>
    <x:row r="423" ht="24" customHeight="1">
      <x:c r="A423" s="1"/>
      <x:c r="B423" s="17" t="str">
        <x:f>IF(ROW()-ROW($B$9)&lt;=$I$16,MIN($I$14,EDATE($I$15,(ROW()-ROW($B$9)-1)*$I$13)),"")</x:f>
      </x:c>
      <x:c r="C423" s="18" t="str">
        <x:f>IF(B423="","",IF(ROW()-ROW($B$9)=$I$16,ROUND(F422+D423,2),MIN($I$18,ROUND(F422+D423,2))))</x:f>
      </x:c>
      <x:c r="D423" s="18" t="str">
        <x:f>IF(B423="","",ROUND(IF($I$19="Факт / 365",F422*$I$12*(B423-B422)/$I$20,F422*$I$17),2))</x:f>
      </x:c>
      <x:c r="E423" s="18" t="str">
        <x:f>IF(B423="","",ROUND(C423-D423,2))</x:f>
      </x:c>
      <x:c r="F423" s="18" t="str">
        <x:f>IF(B423="","",ROUND(F422-E423,2))</x:f>
      </x:c>
      <x:c r="G423" s="2"/>
      <x:c r="H423" s="2"/>
      <x:c r="I423" s="2"/>
    </x:row>
    <x:row r="424" ht="24" customHeight="1">
      <x:c r="A424" s="1"/>
      <x:c r="B424" s="17" t="str">
        <x:f>IF(ROW()-ROW($B$9)&lt;=$I$16,MIN($I$14,EDATE($I$15,(ROW()-ROW($B$9)-1)*$I$13)),"")</x:f>
      </x:c>
      <x:c r="C424" s="18" t="str">
        <x:f>IF(B424="","",IF(ROW()-ROW($B$9)=$I$16,ROUND(F423+D424,2),MIN($I$18,ROUND(F423+D424,2))))</x:f>
      </x:c>
      <x:c r="D424" s="18" t="str">
        <x:f>IF(B424="","",ROUND(IF($I$19="Факт / 365",F423*$I$12*(B424-B423)/$I$20,F423*$I$17),2))</x:f>
      </x:c>
      <x:c r="E424" s="18" t="str">
        <x:f>IF(B424="","",ROUND(C424-D424,2))</x:f>
      </x:c>
      <x:c r="F424" s="18" t="str">
        <x:f>IF(B424="","",ROUND(F423-E424,2))</x:f>
      </x:c>
      <x:c r="G424" s="2"/>
      <x:c r="H424" s="2"/>
      <x:c r="I424" s="2"/>
    </x:row>
    <x:row r="425" ht="24" customHeight="1">
      <x:c r="A425" s="1"/>
      <x:c r="B425" s="17" t="str">
        <x:f>IF(ROW()-ROW($B$9)&lt;=$I$16,MIN($I$14,EDATE($I$15,(ROW()-ROW($B$9)-1)*$I$13)),"")</x:f>
      </x:c>
      <x:c r="C425" s="18" t="str">
        <x:f>IF(B425="","",IF(ROW()-ROW($B$9)=$I$16,ROUND(F424+D425,2),MIN($I$18,ROUND(F424+D425,2))))</x:f>
      </x:c>
      <x:c r="D425" s="18" t="str">
        <x:f>IF(B425="","",ROUND(IF($I$19="Факт / 365",F424*$I$12*(B425-B424)/$I$20,F424*$I$17),2))</x:f>
      </x:c>
      <x:c r="E425" s="18" t="str">
        <x:f>IF(B425="","",ROUND(C425-D425,2))</x:f>
      </x:c>
      <x:c r="F425" s="18" t="str">
        <x:f>IF(B425="","",ROUND(F424-E425,2))</x:f>
      </x:c>
      <x:c r="G425" s="2"/>
      <x:c r="H425" s="2"/>
      <x:c r="I425" s="2"/>
    </x:row>
    <x:row r="426" ht="24" customHeight="1">
      <x:c r="A426" s="1"/>
      <x:c r="B426" s="17" t="str">
        <x:f>IF(ROW()-ROW($B$9)&lt;=$I$16,MIN($I$14,EDATE($I$15,(ROW()-ROW($B$9)-1)*$I$13)),"")</x:f>
      </x:c>
      <x:c r="C426" s="18" t="str">
        <x:f>IF(B426="","",IF(ROW()-ROW($B$9)=$I$16,ROUND(F425+D426,2),MIN($I$18,ROUND(F425+D426,2))))</x:f>
      </x:c>
      <x:c r="D426" s="18" t="str">
        <x:f>IF(B426="","",ROUND(IF($I$19="Факт / 365",F425*$I$12*(B426-B425)/$I$20,F425*$I$17),2))</x:f>
      </x:c>
      <x:c r="E426" s="18" t="str">
        <x:f>IF(B426="","",ROUND(C426-D426,2))</x:f>
      </x:c>
      <x:c r="F426" s="18" t="str">
        <x:f>IF(B426="","",ROUND(F425-E426,2))</x:f>
      </x:c>
      <x:c r="G426" s="2"/>
      <x:c r="H426" s="2"/>
      <x:c r="I426" s="2"/>
    </x:row>
    <x:row r="427" ht="24" customHeight="1">
      <x:c r="A427" s="1"/>
      <x:c r="B427" s="17" t="str">
        <x:f>IF(ROW()-ROW($B$9)&lt;=$I$16,MIN($I$14,EDATE($I$15,(ROW()-ROW($B$9)-1)*$I$13)),"")</x:f>
      </x:c>
      <x:c r="C427" s="18" t="str">
        <x:f>IF(B427="","",IF(ROW()-ROW($B$9)=$I$16,ROUND(F426+D427,2),MIN($I$18,ROUND(F426+D427,2))))</x:f>
      </x:c>
      <x:c r="D427" s="18" t="str">
        <x:f>IF(B427="","",ROUND(IF($I$19="Факт / 365",F426*$I$12*(B427-B426)/$I$20,F426*$I$17),2))</x:f>
      </x:c>
      <x:c r="E427" s="18" t="str">
        <x:f>IF(B427="","",ROUND(C427-D427,2))</x:f>
      </x:c>
      <x:c r="F427" s="18" t="str">
        <x:f>IF(B427="","",ROUND(F426-E427,2))</x:f>
      </x:c>
      <x:c r="G427" s="2"/>
      <x:c r="H427" s="2"/>
      <x:c r="I427" s="2"/>
    </x:row>
    <x:row r="428" ht="24" customHeight="1">
      <x:c r="A428" s="1"/>
      <x:c r="B428" s="17" t="str">
        <x:f>IF(ROW()-ROW($B$9)&lt;=$I$16,MIN($I$14,EDATE($I$15,(ROW()-ROW($B$9)-1)*$I$13)),"")</x:f>
      </x:c>
      <x:c r="C428" s="18" t="str">
        <x:f>IF(B428="","",IF(ROW()-ROW($B$9)=$I$16,ROUND(F427+D428,2),MIN($I$18,ROUND(F427+D428,2))))</x:f>
      </x:c>
      <x:c r="D428" s="18" t="str">
        <x:f>IF(B428="","",ROUND(IF($I$19="Факт / 365",F427*$I$12*(B428-B427)/$I$20,F427*$I$17),2))</x:f>
      </x:c>
      <x:c r="E428" s="18" t="str">
        <x:f>IF(B428="","",ROUND(C428-D428,2))</x:f>
      </x:c>
      <x:c r="F428" s="18" t="str">
        <x:f>IF(B428="","",ROUND(F427-E428,2))</x:f>
      </x:c>
      <x:c r="G428" s="2"/>
      <x:c r="H428" s="2"/>
      <x:c r="I428" s="2"/>
    </x:row>
    <x:row r="429" ht="24" customHeight="1">
      <x:c r="A429" s="1"/>
      <x:c r="B429" s="17" t="str">
        <x:f>IF(ROW()-ROW($B$9)&lt;=$I$16,MIN($I$14,EDATE($I$15,(ROW()-ROW($B$9)-1)*$I$13)),"")</x:f>
      </x:c>
      <x:c r="C429" s="18" t="str">
        <x:f>IF(B429="","",IF(ROW()-ROW($B$9)=$I$16,ROUND(F428+D429,2),MIN($I$18,ROUND(F428+D429,2))))</x:f>
      </x:c>
      <x:c r="D429" s="18" t="str">
        <x:f>IF(B429="","",ROUND(IF($I$19="Факт / 365",F428*$I$12*(B429-B428)/$I$20,F428*$I$17),2))</x:f>
      </x:c>
      <x:c r="E429" s="18" t="str">
        <x:f>IF(B429="","",ROUND(C429-D429,2))</x:f>
      </x:c>
      <x:c r="F429" s="18" t="str">
        <x:f>IF(B429="","",ROUND(F428-E429,2))</x:f>
      </x:c>
      <x:c r="G429" s="2"/>
      <x:c r="H429" s="2"/>
      <x:c r="I429" s="2"/>
    </x:row>
    <x:row r="430" ht="24" customHeight="1">
      <x:c r="A430" s="1"/>
      <x:c r="B430" s="17" t="str">
        <x:f>IF(ROW()-ROW($B$9)&lt;=$I$16,MIN($I$14,EDATE($I$15,(ROW()-ROW($B$9)-1)*$I$13)),"")</x:f>
      </x:c>
      <x:c r="C430" s="18" t="str">
        <x:f>IF(B430="","",IF(ROW()-ROW($B$9)=$I$16,ROUND(F429+D430,2),MIN($I$18,ROUND(F429+D430,2))))</x:f>
      </x:c>
      <x:c r="D430" s="18" t="str">
        <x:f>IF(B430="","",ROUND(IF($I$19="Факт / 365",F429*$I$12*(B430-B429)/$I$20,F429*$I$17),2))</x:f>
      </x:c>
      <x:c r="E430" s="18" t="str">
        <x:f>IF(B430="","",ROUND(C430-D430,2))</x:f>
      </x:c>
      <x:c r="F430" s="18" t="str">
        <x:f>IF(B430="","",ROUND(F429-E430,2))</x:f>
      </x:c>
      <x:c r="G430" s="2"/>
      <x:c r="H430" s="2"/>
      <x:c r="I430" s="2"/>
    </x:row>
    <x:row r="431" ht="24" customHeight="1">
      <x:c r="A431" s="1"/>
      <x:c r="B431" s="17" t="str">
        <x:f>IF(ROW()-ROW($B$9)&lt;=$I$16,MIN($I$14,EDATE($I$15,(ROW()-ROW($B$9)-1)*$I$13)),"")</x:f>
      </x:c>
      <x:c r="C431" s="18" t="str">
        <x:f>IF(B431="","",IF(ROW()-ROW($B$9)=$I$16,ROUND(F430+D431,2),MIN($I$18,ROUND(F430+D431,2))))</x:f>
      </x:c>
      <x:c r="D431" s="18" t="str">
        <x:f>IF(B431="","",ROUND(IF($I$19="Факт / 365",F430*$I$12*(B431-B430)/$I$20,F430*$I$17),2))</x:f>
      </x:c>
      <x:c r="E431" s="18" t="str">
        <x:f>IF(B431="","",ROUND(C431-D431,2))</x:f>
      </x:c>
      <x:c r="F431" s="18" t="str">
        <x:f>IF(B431="","",ROUND(F430-E431,2))</x:f>
      </x:c>
      <x:c r="G431" s="2"/>
      <x:c r="H431" s="2"/>
      <x:c r="I431" s="2"/>
    </x:row>
    <x:row r="432" ht="24" customHeight="1">
      <x:c r="A432" s="1"/>
      <x:c r="B432" s="17" t="str">
        <x:f>IF(ROW()-ROW($B$9)&lt;=$I$16,MIN($I$14,EDATE($I$15,(ROW()-ROW($B$9)-1)*$I$13)),"")</x:f>
      </x:c>
      <x:c r="C432" s="18" t="str">
        <x:f>IF(B432="","",IF(ROW()-ROW($B$9)=$I$16,ROUND(F431+D432,2),MIN($I$18,ROUND(F431+D432,2))))</x:f>
      </x:c>
      <x:c r="D432" s="18" t="str">
        <x:f>IF(B432="","",ROUND(IF($I$19="Факт / 365",F431*$I$12*(B432-B431)/$I$20,F431*$I$17),2))</x:f>
      </x:c>
      <x:c r="E432" s="18" t="str">
        <x:f>IF(B432="","",ROUND(C432-D432,2))</x:f>
      </x:c>
      <x:c r="F432" s="18" t="str">
        <x:f>IF(B432="","",ROUND(F431-E432,2))</x:f>
      </x:c>
      <x:c r="G432" s="2"/>
      <x:c r="H432" s="2"/>
      <x:c r="I432" s="2"/>
    </x:row>
    <x:row r="433" ht="24" customHeight="1">
      <x:c r="A433" s="1"/>
      <x:c r="B433" s="17" t="str">
        <x:f>IF(ROW()-ROW($B$9)&lt;=$I$16,MIN($I$14,EDATE($I$15,(ROW()-ROW($B$9)-1)*$I$13)),"")</x:f>
      </x:c>
      <x:c r="C433" s="18" t="str">
        <x:f>IF(B433="","",IF(ROW()-ROW($B$9)=$I$16,ROUND(F432+D433,2),MIN($I$18,ROUND(F432+D433,2))))</x:f>
      </x:c>
      <x:c r="D433" s="18" t="str">
        <x:f>IF(B433="","",ROUND(IF($I$19="Факт / 365",F432*$I$12*(B433-B432)/$I$20,F432*$I$17),2))</x:f>
      </x:c>
      <x:c r="E433" s="18" t="str">
        <x:f>IF(B433="","",ROUND(C433-D433,2))</x:f>
      </x:c>
      <x:c r="F433" s="18" t="str">
        <x:f>IF(B433="","",ROUND(F432-E433,2))</x:f>
      </x:c>
      <x:c r="G433" s="2"/>
      <x:c r="H433" s="2"/>
      <x:c r="I433" s="2"/>
    </x:row>
    <x:row r="434" ht="24" customHeight="1">
      <x:c r="A434" s="1"/>
      <x:c r="B434" s="17" t="str">
        <x:f>IF(ROW()-ROW($B$9)&lt;=$I$16,MIN($I$14,EDATE($I$15,(ROW()-ROW($B$9)-1)*$I$13)),"")</x:f>
      </x:c>
      <x:c r="C434" s="18" t="str">
        <x:f>IF(B434="","",IF(ROW()-ROW($B$9)=$I$16,ROUND(F433+D434,2),MIN($I$18,ROUND(F433+D434,2))))</x:f>
      </x:c>
      <x:c r="D434" s="18" t="str">
        <x:f>IF(B434="","",ROUND(IF($I$19="Факт / 365",F433*$I$12*(B434-B433)/$I$20,F433*$I$17),2))</x:f>
      </x:c>
      <x:c r="E434" s="18" t="str">
        <x:f>IF(B434="","",ROUND(C434-D434,2))</x:f>
      </x:c>
      <x:c r="F434" s="18" t="str">
        <x:f>IF(B434="","",ROUND(F433-E434,2))</x:f>
      </x:c>
      <x:c r="G434" s="2"/>
      <x:c r="H434" s="2"/>
      <x:c r="I434" s="2"/>
    </x:row>
    <x:row r="435" ht="24" customHeight="1">
      <x:c r="A435" s="1"/>
      <x:c r="B435" s="17" t="str">
        <x:f>IF(ROW()-ROW($B$9)&lt;=$I$16,MIN($I$14,EDATE($I$15,(ROW()-ROW($B$9)-1)*$I$13)),"")</x:f>
      </x:c>
      <x:c r="C435" s="18" t="str">
        <x:f>IF(B435="","",IF(ROW()-ROW($B$9)=$I$16,ROUND(F434+D435,2),MIN($I$18,ROUND(F434+D435,2))))</x:f>
      </x:c>
      <x:c r="D435" s="18" t="str">
        <x:f>IF(B435="","",ROUND(IF($I$19="Факт / 365",F434*$I$12*(B435-B434)/$I$20,F434*$I$17),2))</x:f>
      </x:c>
      <x:c r="E435" s="18" t="str">
        <x:f>IF(B435="","",ROUND(C435-D435,2))</x:f>
      </x:c>
      <x:c r="F435" s="18" t="str">
        <x:f>IF(B435="","",ROUND(F434-E435,2))</x:f>
      </x:c>
      <x:c r="G435" s="2"/>
      <x:c r="H435" s="2"/>
      <x:c r="I435" s="2"/>
    </x:row>
    <x:row r="436" ht="24" customHeight="1">
      <x:c r="A436" s="1"/>
      <x:c r="B436" s="17" t="str">
        <x:f>IF(ROW()-ROW($B$9)&lt;=$I$16,MIN($I$14,EDATE($I$15,(ROW()-ROW($B$9)-1)*$I$13)),"")</x:f>
      </x:c>
      <x:c r="C436" s="18" t="str">
        <x:f>IF(B436="","",IF(ROW()-ROW($B$9)=$I$16,ROUND(F435+D436,2),MIN($I$18,ROUND(F435+D436,2))))</x:f>
      </x:c>
      <x:c r="D436" s="18" t="str">
        <x:f>IF(B436="","",ROUND(IF($I$19="Факт / 365",F435*$I$12*(B436-B435)/$I$20,F435*$I$17),2))</x:f>
      </x:c>
      <x:c r="E436" s="18" t="str">
        <x:f>IF(B436="","",ROUND(C436-D436,2))</x:f>
      </x:c>
      <x:c r="F436" s="18" t="str">
        <x:f>IF(B436="","",ROUND(F435-E436,2))</x:f>
      </x:c>
      <x:c r="G436" s="2"/>
      <x:c r="H436" s="2"/>
      <x:c r="I436" s="2"/>
    </x:row>
    <x:row r="437" ht="24" customHeight="1">
      <x:c r="A437" s="1"/>
      <x:c r="B437" s="17" t="str">
        <x:f>IF(ROW()-ROW($B$9)&lt;=$I$16,MIN($I$14,EDATE($I$15,(ROW()-ROW($B$9)-1)*$I$13)),"")</x:f>
      </x:c>
      <x:c r="C437" s="18" t="str">
        <x:f>IF(B437="","",IF(ROW()-ROW($B$9)=$I$16,ROUND(F436+D437,2),MIN($I$18,ROUND(F436+D437,2))))</x:f>
      </x:c>
      <x:c r="D437" s="18" t="str">
        <x:f>IF(B437="","",ROUND(IF($I$19="Факт / 365",F436*$I$12*(B437-B436)/$I$20,F436*$I$17),2))</x:f>
      </x:c>
      <x:c r="E437" s="18" t="str">
        <x:f>IF(B437="","",ROUND(C437-D437,2))</x:f>
      </x:c>
      <x:c r="F437" s="18" t="str">
        <x:f>IF(B437="","",ROUND(F436-E437,2))</x:f>
      </x:c>
      <x:c r="G437" s="2"/>
      <x:c r="H437" s="2"/>
      <x:c r="I437" s="2"/>
    </x:row>
    <x:row r="438" ht="24" customHeight="1">
      <x:c r="A438" s="1"/>
      <x:c r="B438" s="17" t="str">
        <x:f>IF(ROW()-ROW($B$9)&lt;=$I$16,MIN($I$14,EDATE($I$15,(ROW()-ROW($B$9)-1)*$I$13)),"")</x:f>
      </x:c>
      <x:c r="C438" s="18" t="str">
        <x:f>IF(B438="","",IF(ROW()-ROW($B$9)=$I$16,ROUND(F437+D438,2),MIN($I$18,ROUND(F437+D438,2))))</x:f>
      </x:c>
      <x:c r="D438" s="18" t="str">
        <x:f>IF(B438="","",ROUND(IF($I$19="Факт / 365",F437*$I$12*(B438-B437)/$I$20,F437*$I$17),2))</x:f>
      </x:c>
      <x:c r="E438" s="18" t="str">
        <x:f>IF(B438="","",ROUND(C438-D438,2))</x:f>
      </x:c>
      <x:c r="F438" s="18" t="str">
        <x:f>IF(B438="","",ROUND(F437-E438,2))</x:f>
      </x:c>
      <x:c r="G438" s="2"/>
      <x:c r="H438" s="2"/>
      <x:c r="I438" s="2"/>
    </x:row>
    <x:row r="439" ht="24" customHeight="1">
      <x:c r="A439" s="1"/>
      <x:c r="B439" s="17" t="str">
        <x:f>IF(ROW()-ROW($B$9)&lt;=$I$16,MIN($I$14,EDATE($I$15,(ROW()-ROW($B$9)-1)*$I$13)),"")</x:f>
      </x:c>
      <x:c r="C439" s="18" t="str">
        <x:f>IF(B439="","",IF(ROW()-ROW($B$9)=$I$16,ROUND(F438+D439,2),MIN($I$18,ROUND(F438+D439,2))))</x:f>
      </x:c>
      <x:c r="D439" s="18" t="str">
        <x:f>IF(B439="","",ROUND(IF($I$19="Факт / 365",F438*$I$12*(B439-B438)/$I$20,F438*$I$17),2))</x:f>
      </x:c>
      <x:c r="E439" s="18" t="str">
        <x:f>IF(B439="","",ROUND(C439-D439,2))</x:f>
      </x:c>
      <x:c r="F439" s="18" t="str">
        <x:f>IF(B439="","",ROUND(F438-E439,2))</x:f>
      </x:c>
      <x:c r="G439" s="2"/>
      <x:c r="H439" s="2"/>
      <x:c r="I439" s="2"/>
    </x:row>
    <x:row r="440" ht="24" customHeight="1">
      <x:c r="A440" s="1"/>
      <x:c r="B440" s="17" t="str">
        <x:f>IF(ROW()-ROW($B$9)&lt;=$I$16,MIN($I$14,EDATE($I$15,(ROW()-ROW($B$9)-1)*$I$13)),"")</x:f>
      </x:c>
      <x:c r="C440" s="18" t="str">
        <x:f>IF(B440="","",IF(ROW()-ROW($B$9)=$I$16,ROUND(F439+D440,2),MIN($I$18,ROUND(F439+D440,2))))</x:f>
      </x:c>
      <x:c r="D440" s="18" t="str">
        <x:f>IF(B440="","",ROUND(IF($I$19="Факт / 365",F439*$I$12*(B440-B439)/$I$20,F439*$I$17),2))</x:f>
      </x:c>
      <x:c r="E440" s="18" t="str">
        <x:f>IF(B440="","",ROUND(C440-D440,2))</x:f>
      </x:c>
      <x:c r="F440" s="18" t="str">
        <x:f>IF(B440="","",ROUND(F439-E440,2))</x:f>
      </x:c>
      <x:c r="G440" s="2"/>
      <x:c r="H440" s="2"/>
      <x:c r="I440" s="2"/>
    </x:row>
    <x:row r="441" ht="24" customHeight="1">
      <x:c r="A441" s="1"/>
      <x:c r="B441" s="17" t="str">
        <x:f>IF(ROW()-ROW($B$9)&lt;=$I$16,MIN($I$14,EDATE($I$15,(ROW()-ROW($B$9)-1)*$I$13)),"")</x:f>
      </x:c>
      <x:c r="C441" s="18" t="str">
        <x:f>IF(B441="","",IF(ROW()-ROW($B$9)=$I$16,ROUND(F440+D441,2),MIN($I$18,ROUND(F440+D441,2))))</x:f>
      </x:c>
      <x:c r="D441" s="18" t="str">
        <x:f>IF(B441="","",ROUND(IF($I$19="Факт / 365",F440*$I$12*(B441-B440)/$I$20,F440*$I$17),2))</x:f>
      </x:c>
      <x:c r="E441" s="18" t="str">
        <x:f>IF(B441="","",ROUND(C441-D441,2))</x:f>
      </x:c>
      <x:c r="F441" s="18" t="str">
        <x:f>IF(B441="","",ROUND(F440-E441,2))</x:f>
      </x:c>
      <x:c r="G441" s="2"/>
      <x:c r="H441" s="2"/>
      <x:c r="I441" s="2"/>
    </x:row>
    <x:row r="442" ht="24" customHeight="1">
      <x:c r="A442" s="1"/>
      <x:c r="B442" s="17" t="str">
        <x:f>IF(ROW()-ROW($B$9)&lt;=$I$16,MIN($I$14,EDATE($I$15,(ROW()-ROW($B$9)-1)*$I$13)),"")</x:f>
      </x:c>
      <x:c r="C442" s="18" t="str">
        <x:f>IF(B442="","",IF(ROW()-ROW($B$9)=$I$16,ROUND(F441+D442,2),MIN($I$18,ROUND(F441+D442,2))))</x:f>
      </x:c>
      <x:c r="D442" s="18" t="str">
        <x:f>IF(B442="","",ROUND(IF($I$19="Факт / 365",F441*$I$12*(B442-B441)/$I$20,F441*$I$17),2))</x:f>
      </x:c>
      <x:c r="E442" s="18" t="str">
        <x:f>IF(B442="","",ROUND(C442-D442,2))</x:f>
      </x:c>
      <x:c r="F442" s="18" t="str">
        <x:f>IF(B442="","",ROUND(F441-E442,2))</x:f>
      </x:c>
      <x:c r="G442" s="2"/>
      <x:c r="H442" s="2"/>
      <x:c r="I442" s="2"/>
    </x:row>
    <x:row r="443" ht="24" customHeight="1">
      <x:c r="A443" s="1"/>
      <x:c r="B443" s="17" t="str">
        <x:f>IF(ROW()-ROW($B$9)&lt;=$I$16,MIN($I$14,EDATE($I$15,(ROW()-ROW($B$9)-1)*$I$13)),"")</x:f>
      </x:c>
      <x:c r="C443" s="18" t="str">
        <x:f>IF(B443="","",IF(ROW()-ROW($B$9)=$I$16,ROUND(F442+D443,2),MIN($I$18,ROUND(F442+D443,2))))</x:f>
      </x:c>
      <x:c r="D443" s="18" t="str">
        <x:f>IF(B443="","",ROUND(IF($I$19="Факт / 365",F442*$I$12*(B443-B442)/$I$20,F442*$I$17),2))</x:f>
      </x:c>
      <x:c r="E443" s="18" t="str">
        <x:f>IF(B443="","",ROUND(C443-D443,2))</x:f>
      </x:c>
      <x:c r="F443" s="18" t="str">
        <x:f>IF(B443="","",ROUND(F442-E443,2))</x:f>
      </x:c>
      <x:c r="G443" s="2"/>
      <x:c r="H443" s="2"/>
      <x:c r="I443" s="2"/>
    </x:row>
    <x:row r="444" ht="24" customHeight="1">
      <x:c r="A444" s="1"/>
      <x:c r="B444" s="17" t="str">
        <x:f>IF(ROW()-ROW($B$9)&lt;=$I$16,MIN($I$14,EDATE($I$15,(ROW()-ROW($B$9)-1)*$I$13)),"")</x:f>
      </x:c>
      <x:c r="C444" s="18" t="str">
        <x:f>IF(B444="","",IF(ROW()-ROW($B$9)=$I$16,ROUND(F443+D444,2),MIN($I$18,ROUND(F443+D444,2))))</x:f>
      </x:c>
      <x:c r="D444" s="18" t="str">
        <x:f>IF(B444="","",ROUND(IF($I$19="Факт / 365",F443*$I$12*(B444-B443)/$I$20,F443*$I$17),2))</x:f>
      </x:c>
      <x:c r="E444" s="18" t="str">
        <x:f>IF(B444="","",ROUND(C444-D444,2))</x:f>
      </x:c>
      <x:c r="F444" s="18" t="str">
        <x:f>IF(B444="","",ROUND(F443-E444,2))</x:f>
      </x:c>
      <x:c r="G444" s="2"/>
      <x:c r="H444" s="2"/>
      <x:c r="I444" s="2"/>
    </x:row>
    <x:row r="445" ht="24" customHeight="1">
      <x:c r="A445" s="1"/>
      <x:c r="B445" s="17" t="str">
        <x:f>IF(ROW()-ROW($B$9)&lt;=$I$16,MIN($I$14,EDATE($I$15,(ROW()-ROW($B$9)-1)*$I$13)),"")</x:f>
      </x:c>
      <x:c r="C445" s="18" t="str">
        <x:f>IF(B445="","",IF(ROW()-ROW($B$9)=$I$16,ROUND(F444+D445,2),MIN($I$18,ROUND(F444+D445,2))))</x:f>
      </x:c>
      <x:c r="D445" s="18" t="str">
        <x:f>IF(B445="","",ROUND(IF($I$19="Факт / 365",F444*$I$12*(B445-B444)/$I$20,F444*$I$17),2))</x:f>
      </x:c>
      <x:c r="E445" s="18" t="str">
        <x:f>IF(B445="","",ROUND(C445-D445,2))</x:f>
      </x:c>
      <x:c r="F445" s="18" t="str">
        <x:f>IF(B445="","",ROUND(F444-E445,2))</x:f>
      </x:c>
      <x:c r="G445" s="2"/>
      <x:c r="H445" s="2"/>
      <x:c r="I445" s="2"/>
    </x:row>
    <x:row r="446" ht="24" customHeight="1">
      <x:c r="A446" s="1"/>
      <x:c r="B446" s="17" t="str">
        <x:f>IF(ROW()-ROW($B$9)&lt;=$I$16,MIN($I$14,EDATE($I$15,(ROW()-ROW($B$9)-1)*$I$13)),"")</x:f>
      </x:c>
      <x:c r="C446" s="18" t="str">
        <x:f>IF(B446="","",IF(ROW()-ROW($B$9)=$I$16,ROUND(F445+D446,2),MIN($I$18,ROUND(F445+D446,2))))</x:f>
      </x:c>
      <x:c r="D446" s="18" t="str">
        <x:f>IF(B446="","",ROUND(IF($I$19="Факт / 365",F445*$I$12*(B446-B445)/$I$20,F445*$I$17),2))</x:f>
      </x:c>
      <x:c r="E446" s="18" t="str">
        <x:f>IF(B446="","",ROUND(C446-D446,2))</x:f>
      </x:c>
      <x:c r="F446" s="18" t="str">
        <x:f>IF(B446="","",ROUND(F445-E446,2))</x:f>
      </x:c>
      <x:c r="G446" s="2"/>
      <x:c r="H446" s="2"/>
      <x:c r="I446" s="2"/>
    </x:row>
    <x:row r="447" ht="24" customHeight="1">
      <x:c r="A447" s="1"/>
      <x:c r="B447" s="17" t="str">
        <x:f>IF(ROW()-ROW($B$9)&lt;=$I$16,MIN($I$14,EDATE($I$15,(ROW()-ROW($B$9)-1)*$I$13)),"")</x:f>
      </x:c>
      <x:c r="C447" s="18" t="str">
        <x:f>IF(B447="","",IF(ROW()-ROW($B$9)=$I$16,ROUND(F446+D447,2),MIN($I$18,ROUND(F446+D447,2))))</x:f>
      </x:c>
      <x:c r="D447" s="18" t="str">
        <x:f>IF(B447="","",ROUND(IF($I$19="Факт / 365",F446*$I$12*(B447-B446)/$I$20,F446*$I$17),2))</x:f>
      </x:c>
      <x:c r="E447" s="18" t="str">
        <x:f>IF(B447="","",ROUND(C447-D447,2))</x:f>
      </x:c>
      <x:c r="F447" s="18" t="str">
        <x:f>IF(B447="","",ROUND(F446-E447,2))</x:f>
      </x:c>
      <x:c r="G447" s="2"/>
      <x:c r="H447" s="2"/>
      <x:c r="I447" s="2"/>
    </x:row>
    <x:row r="448" ht="24" customHeight="1">
      <x:c r="A448" s="1"/>
      <x:c r="B448" s="17" t="str">
        <x:f>IF(ROW()-ROW($B$9)&lt;=$I$16,MIN($I$14,EDATE($I$15,(ROW()-ROW($B$9)-1)*$I$13)),"")</x:f>
      </x:c>
      <x:c r="C448" s="18" t="str">
        <x:f>IF(B448="","",IF(ROW()-ROW($B$9)=$I$16,ROUND(F447+D448,2),MIN($I$18,ROUND(F447+D448,2))))</x:f>
      </x:c>
      <x:c r="D448" s="18" t="str">
        <x:f>IF(B448="","",ROUND(IF($I$19="Факт / 365",F447*$I$12*(B448-B447)/$I$20,F447*$I$17),2))</x:f>
      </x:c>
      <x:c r="E448" s="18" t="str">
        <x:f>IF(B448="","",ROUND(C448-D448,2))</x:f>
      </x:c>
      <x:c r="F448" s="18" t="str">
        <x:f>IF(B448="","",ROUND(F447-E448,2))</x:f>
      </x:c>
      <x:c r="G448" s="2"/>
      <x:c r="H448" s="2"/>
      <x:c r="I448" s="2"/>
    </x:row>
    <x:row r="449" ht="24" customHeight="1">
      <x:c r="A449" s="1"/>
      <x:c r="B449" s="17" t="str">
        <x:f>IF(ROW()-ROW($B$9)&lt;=$I$16,MIN($I$14,EDATE($I$15,(ROW()-ROW($B$9)-1)*$I$13)),"")</x:f>
      </x:c>
      <x:c r="C449" s="18" t="str">
        <x:f>IF(B449="","",IF(ROW()-ROW($B$9)=$I$16,ROUND(F448+D449,2),MIN($I$18,ROUND(F448+D449,2))))</x:f>
      </x:c>
      <x:c r="D449" s="18" t="str">
        <x:f>IF(B449="","",ROUND(IF($I$19="Факт / 365",F448*$I$12*(B449-B448)/$I$20,F448*$I$17),2))</x:f>
      </x:c>
      <x:c r="E449" s="18" t="str">
        <x:f>IF(B449="","",ROUND(C449-D449,2))</x:f>
      </x:c>
      <x:c r="F449" s="18" t="str">
        <x:f>IF(B449="","",ROUND(F448-E449,2))</x:f>
      </x:c>
      <x:c r="G449" s="2"/>
      <x:c r="H449" s="2"/>
      <x:c r="I449" s="2"/>
    </x:row>
    <x:row r="450" ht="24" customHeight="1">
      <x:c r="A450" s="1"/>
      <x:c r="B450" s="17" t="str">
        <x:f>IF(ROW()-ROW($B$9)&lt;=$I$16,MIN($I$14,EDATE($I$15,(ROW()-ROW($B$9)-1)*$I$13)),"")</x:f>
      </x:c>
      <x:c r="C450" s="18" t="str">
        <x:f>IF(B450="","",IF(ROW()-ROW($B$9)=$I$16,ROUND(F449+D450,2),MIN($I$18,ROUND(F449+D450,2))))</x:f>
      </x:c>
      <x:c r="D450" s="18" t="str">
        <x:f>IF(B450="","",ROUND(IF($I$19="Факт / 365",F449*$I$12*(B450-B449)/$I$20,F449*$I$17),2))</x:f>
      </x:c>
      <x:c r="E450" s="18" t="str">
        <x:f>IF(B450="","",ROUND(C450-D450,2))</x:f>
      </x:c>
      <x:c r="F450" s="18" t="str">
        <x:f>IF(B450="","",ROUND(F449-E450,2))</x:f>
      </x:c>
      <x:c r="G450" s="2"/>
      <x:c r="H450" s="2"/>
      <x:c r="I450" s="2"/>
    </x:row>
    <x:row r="451" ht="24" customHeight="1">
      <x:c r="A451" s="1"/>
      <x:c r="B451" s="17" t="str">
        <x:f>IF(ROW()-ROW($B$9)&lt;=$I$16,MIN($I$14,EDATE($I$15,(ROW()-ROW($B$9)-1)*$I$13)),"")</x:f>
      </x:c>
      <x:c r="C451" s="18" t="str">
        <x:f>IF(B451="","",IF(ROW()-ROW($B$9)=$I$16,ROUND(F450+D451,2),MIN($I$18,ROUND(F450+D451,2))))</x:f>
      </x:c>
      <x:c r="D451" s="18" t="str">
        <x:f>IF(B451="","",ROUND(IF($I$19="Факт / 365",F450*$I$12*(B451-B450)/$I$20,F450*$I$17),2))</x:f>
      </x:c>
      <x:c r="E451" s="18" t="str">
        <x:f>IF(B451="","",ROUND(C451-D451,2))</x:f>
      </x:c>
      <x:c r="F451" s="18" t="str">
        <x:f>IF(B451="","",ROUND(F450-E451,2))</x:f>
      </x:c>
      <x:c r="G451" s="2"/>
      <x:c r="H451" s="2"/>
      <x:c r="I451" s="2"/>
    </x:row>
    <x:row r="452" ht="24" customHeight="1">
      <x:c r="A452" s="1"/>
      <x:c r="B452" s="17" t="str">
        <x:f>IF(ROW()-ROW($B$9)&lt;=$I$16,MIN($I$14,EDATE($I$15,(ROW()-ROW($B$9)-1)*$I$13)),"")</x:f>
      </x:c>
      <x:c r="C452" s="18" t="str">
        <x:f>IF(B452="","",IF(ROW()-ROW($B$9)=$I$16,ROUND(F451+D452,2),MIN($I$18,ROUND(F451+D452,2))))</x:f>
      </x:c>
      <x:c r="D452" s="18" t="str">
        <x:f>IF(B452="","",ROUND(IF($I$19="Факт / 365",F451*$I$12*(B452-B451)/$I$20,F451*$I$17),2))</x:f>
      </x:c>
      <x:c r="E452" s="18" t="str">
        <x:f>IF(B452="","",ROUND(C452-D452,2))</x:f>
      </x:c>
      <x:c r="F452" s="18" t="str">
        <x:f>IF(B452="","",ROUND(F451-E452,2))</x:f>
      </x:c>
      <x:c r="G452" s="2"/>
      <x:c r="H452" s="2"/>
      <x:c r="I452" s="2"/>
    </x:row>
    <x:row r="453" ht="24" customHeight="1">
      <x:c r="A453" s="1"/>
      <x:c r="B453" s="17" t="str">
        <x:f>IF(ROW()-ROW($B$9)&lt;=$I$16,MIN($I$14,EDATE($I$15,(ROW()-ROW($B$9)-1)*$I$13)),"")</x:f>
      </x:c>
      <x:c r="C453" s="18" t="str">
        <x:f>IF(B453="","",IF(ROW()-ROW($B$9)=$I$16,ROUND(F452+D453,2),MIN($I$18,ROUND(F452+D453,2))))</x:f>
      </x:c>
      <x:c r="D453" s="18" t="str">
        <x:f>IF(B453="","",ROUND(IF($I$19="Факт / 365",F452*$I$12*(B453-B452)/$I$20,F452*$I$17),2))</x:f>
      </x:c>
      <x:c r="E453" s="18" t="str">
        <x:f>IF(B453="","",ROUND(C453-D453,2))</x:f>
      </x:c>
      <x:c r="F453" s="18" t="str">
        <x:f>IF(B453="","",ROUND(F452-E453,2))</x:f>
      </x:c>
      <x:c r="G453" s="2"/>
      <x:c r="H453" s="2"/>
      <x:c r="I453" s="2"/>
    </x:row>
    <x:row r="454" ht="24" customHeight="1">
      <x:c r="A454" s="1"/>
      <x:c r="B454" s="17" t="str">
        <x:f>IF(ROW()-ROW($B$9)&lt;=$I$16,MIN($I$14,EDATE($I$15,(ROW()-ROW($B$9)-1)*$I$13)),"")</x:f>
      </x:c>
      <x:c r="C454" s="18" t="str">
        <x:f>IF(B454="","",IF(ROW()-ROW($B$9)=$I$16,ROUND(F453+D454,2),MIN($I$18,ROUND(F453+D454,2))))</x:f>
      </x:c>
      <x:c r="D454" s="18" t="str">
        <x:f>IF(B454="","",ROUND(IF($I$19="Факт / 365",F453*$I$12*(B454-B453)/$I$20,F453*$I$17),2))</x:f>
      </x:c>
      <x:c r="E454" s="18" t="str">
        <x:f>IF(B454="","",ROUND(C454-D454,2))</x:f>
      </x:c>
      <x:c r="F454" s="18" t="str">
        <x:f>IF(B454="","",ROUND(F453-E454,2))</x:f>
      </x:c>
      <x:c r="G454" s="2"/>
      <x:c r="H454" s="2"/>
      <x:c r="I454" s="2"/>
    </x:row>
    <x:row r="455" ht="24" customHeight="1">
      <x:c r="A455" s="1"/>
      <x:c r="B455" s="17" t="str">
        <x:f>IF(ROW()-ROW($B$9)&lt;=$I$16,MIN($I$14,EDATE($I$15,(ROW()-ROW($B$9)-1)*$I$13)),"")</x:f>
      </x:c>
      <x:c r="C455" s="18" t="str">
        <x:f>IF(B455="","",IF(ROW()-ROW($B$9)=$I$16,ROUND(F454+D455,2),MIN($I$18,ROUND(F454+D455,2))))</x:f>
      </x:c>
      <x:c r="D455" s="18" t="str">
        <x:f>IF(B455="","",ROUND(IF($I$19="Факт / 365",F454*$I$12*(B455-B454)/$I$20,F454*$I$17),2))</x:f>
      </x:c>
      <x:c r="E455" s="18" t="str">
        <x:f>IF(B455="","",ROUND(C455-D455,2))</x:f>
      </x:c>
      <x:c r="F455" s="18" t="str">
        <x:f>IF(B455="","",ROUND(F454-E455,2))</x:f>
      </x:c>
      <x:c r="G455" s="2"/>
      <x:c r="H455" s="2"/>
      <x:c r="I455" s="2"/>
    </x:row>
    <x:row r="456" ht="24" customHeight="1">
      <x:c r="A456" s="1"/>
      <x:c r="B456" s="17" t="str">
        <x:f>IF(ROW()-ROW($B$9)&lt;=$I$16,MIN($I$14,EDATE($I$15,(ROW()-ROW($B$9)-1)*$I$13)),"")</x:f>
      </x:c>
      <x:c r="C456" s="18" t="str">
        <x:f>IF(B456="","",IF(ROW()-ROW($B$9)=$I$16,ROUND(F455+D456,2),MIN($I$18,ROUND(F455+D456,2))))</x:f>
      </x:c>
      <x:c r="D456" s="18" t="str">
        <x:f>IF(B456="","",ROUND(IF($I$19="Факт / 365",F455*$I$12*(B456-B455)/$I$20,F455*$I$17),2))</x:f>
      </x:c>
      <x:c r="E456" s="18" t="str">
        <x:f>IF(B456="","",ROUND(C456-D456,2))</x:f>
      </x:c>
      <x:c r="F456" s="18" t="str">
        <x:f>IF(B456="","",ROUND(F455-E456,2))</x:f>
      </x:c>
      <x:c r="G456" s="2"/>
      <x:c r="H456" s="2"/>
      <x:c r="I456" s="2"/>
    </x:row>
    <x:row r="457" ht="24" customHeight="1">
      <x:c r="A457" s="1"/>
      <x:c r="B457" s="17" t="str">
        <x:f>IF(ROW()-ROW($B$9)&lt;=$I$16,MIN($I$14,EDATE($I$15,(ROW()-ROW($B$9)-1)*$I$13)),"")</x:f>
      </x:c>
      <x:c r="C457" s="18" t="str">
        <x:f>IF(B457="","",IF(ROW()-ROW($B$9)=$I$16,ROUND(F456+D457,2),MIN($I$18,ROUND(F456+D457,2))))</x:f>
      </x:c>
      <x:c r="D457" s="18" t="str">
        <x:f>IF(B457="","",ROUND(IF($I$19="Факт / 365",F456*$I$12*(B457-B456)/$I$20,F456*$I$17),2))</x:f>
      </x:c>
      <x:c r="E457" s="18" t="str">
        <x:f>IF(B457="","",ROUND(C457-D457,2))</x:f>
      </x:c>
      <x:c r="F457" s="18" t="str">
        <x:f>IF(B457="","",ROUND(F456-E457,2))</x:f>
      </x:c>
      <x:c r="G457" s="2"/>
      <x:c r="H457" s="2"/>
      <x:c r="I457" s="2"/>
    </x:row>
    <x:row r="458" ht="24" customHeight="1">
      <x:c r="A458" s="1"/>
      <x:c r="B458" s="17" t="str">
        <x:f>IF(ROW()-ROW($B$9)&lt;=$I$16,MIN($I$14,EDATE($I$15,(ROW()-ROW($B$9)-1)*$I$13)),"")</x:f>
      </x:c>
      <x:c r="C458" s="18" t="str">
        <x:f>IF(B458="","",IF(ROW()-ROW($B$9)=$I$16,ROUND(F457+D458,2),MIN($I$18,ROUND(F457+D458,2))))</x:f>
      </x:c>
      <x:c r="D458" s="18" t="str">
        <x:f>IF(B458="","",ROUND(IF($I$19="Факт / 365",F457*$I$12*(B458-B457)/$I$20,F457*$I$17),2))</x:f>
      </x:c>
      <x:c r="E458" s="18" t="str">
        <x:f>IF(B458="","",ROUND(C458-D458,2))</x:f>
      </x:c>
      <x:c r="F458" s="18" t="str">
        <x:f>IF(B458="","",ROUND(F457-E458,2))</x:f>
      </x:c>
      <x:c r="G458" s="2"/>
      <x:c r="H458" s="2"/>
      <x:c r="I458" s="2"/>
    </x:row>
    <x:row r="459" ht="24" customHeight="1">
      <x:c r="A459" s="1"/>
      <x:c r="B459" s="17" t="str">
        <x:f>IF(ROW()-ROW($B$9)&lt;=$I$16,MIN($I$14,EDATE($I$15,(ROW()-ROW($B$9)-1)*$I$13)),"")</x:f>
      </x:c>
      <x:c r="C459" s="18" t="str">
        <x:f>IF(B459="","",IF(ROW()-ROW($B$9)=$I$16,ROUND(F458+D459,2),MIN($I$18,ROUND(F458+D459,2))))</x:f>
      </x:c>
      <x:c r="D459" s="18" t="str">
        <x:f>IF(B459="","",ROUND(IF($I$19="Факт / 365",F458*$I$12*(B459-B458)/$I$20,F458*$I$17),2))</x:f>
      </x:c>
      <x:c r="E459" s="18" t="str">
        <x:f>IF(B459="","",ROUND(C459-D459,2))</x:f>
      </x:c>
      <x:c r="F459" s="18" t="str">
        <x:f>IF(B459="","",ROUND(F458-E459,2))</x:f>
      </x:c>
      <x:c r="G459" s="2"/>
      <x:c r="H459" s="2"/>
      <x:c r="I459" s="2"/>
    </x:row>
    <x:row r="460" ht="24" customHeight="1">
      <x:c r="A460" s="1"/>
      <x:c r="B460" s="17" t="str">
        <x:f>IF(ROW()-ROW($B$9)&lt;=$I$16,MIN($I$14,EDATE($I$15,(ROW()-ROW($B$9)-1)*$I$13)),"")</x:f>
      </x:c>
      <x:c r="C460" s="18" t="str">
        <x:f>IF(B460="","",IF(ROW()-ROW($B$9)=$I$16,ROUND(F459+D460,2),MIN($I$18,ROUND(F459+D460,2))))</x:f>
      </x:c>
      <x:c r="D460" s="18" t="str">
        <x:f>IF(B460="","",ROUND(IF($I$19="Факт / 365",F459*$I$12*(B460-B459)/$I$20,F459*$I$17),2))</x:f>
      </x:c>
      <x:c r="E460" s="18" t="str">
        <x:f>IF(B460="","",ROUND(C460-D460,2))</x:f>
      </x:c>
      <x:c r="F460" s="18" t="str">
        <x:f>IF(B460="","",ROUND(F459-E460,2))</x:f>
      </x:c>
      <x:c r="G460" s="2"/>
      <x:c r="H460" s="2"/>
      <x:c r="I460" s="2"/>
    </x:row>
    <x:row r="461" ht="24" customHeight="1">
      <x:c r="A461" s="1"/>
      <x:c r="B461" s="17" t="str">
        <x:f>IF(ROW()-ROW($B$9)&lt;=$I$16,MIN($I$14,EDATE($I$15,(ROW()-ROW($B$9)-1)*$I$13)),"")</x:f>
      </x:c>
      <x:c r="C461" s="18" t="str">
        <x:f>IF(B461="","",IF(ROW()-ROW($B$9)=$I$16,ROUND(F460+D461,2),MIN($I$18,ROUND(F460+D461,2))))</x:f>
      </x:c>
      <x:c r="D461" s="18" t="str">
        <x:f>IF(B461="","",ROUND(IF($I$19="Факт / 365",F460*$I$12*(B461-B460)/$I$20,F460*$I$17),2))</x:f>
      </x:c>
      <x:c r="E461" s="18" t="str">
        <x:f>IF(B461="","",ROUND(C461-D461,2))</x:f>
      </x:c>
      <x:c r="F461" s="18" t="str">
        <x:f>IF(B461="","",ROUND(F460-E461,2))</x:f>
      </x:c>
      <x:c r="G461" s="2"/>
      <x:c r="H461" s="2"/>
      <x:c r="I461" s="2"/>
    </x:row>
    <x:row r="462" ht="24" customHeight="1">
      <x:c r="A462" s="1"/>
      <x:c r="B462" s="17" t="str">
        <x:f>IF(ROW()-ROW($B$9)&lt;=$I$16,MIN($I$14,EDATE($I$15,(ROW()-ROW($B$9)-1)*$I$13)),"")</x:f>
      </x:c>
      <x:c r="C462" s="18" t="str">
        <x:f>IF(B462="","",IF(ROW()-ROW($B$9)=$I$16,ROUND(F461+D462,2),MIN($I$18,ROUND(F461+D462,2))))</x:f>
      </x:c>
      <x:c r="D462" s="18" t="str">
        <x:f>IF(B462="","",ROUND(IF($I$19="Факт / 365",F461*$I$12*(B462-B461)/$I$20,F461*$I$17),2))</x:f>
      </x:c>
      <x:c r="E462" s="18" t="str">
        <x:f>IF(B462="","",ROUND(C462-D462,2))</x:f>
      </x:c>
      <x:c r="F462" s="18" t="str">
        <x:f>IF(B462="","",ROUND(F461-E462,2))</x:f>
      </x:c>
      <x:c r="G462" s="2"/>
      <x:c r="H462" s="2"/>
      <x:c r="I462" s="2"/>
    </x:row>
    <x:row r="463" ht="24" customHeight="1">
      <x:c r="A463" s="1"/>
      <x:c r="B463" s="17" t="str">
        <x:f>IF(ROW()-ROW($B$9)&lt;=$I$16,MIN($I$14,EDATE($I$15,(ROW()-ROW($B$9)-1)*$I$13)),"")</x:f>
      </x:c>
      <x:c r="C463" s="18" t="str">
        <x:f>IF(B463="","",IF(ROW()-ROW($B$9)=$I$16,ROUND(F462+D463,2),MIN($I$18,ROUND(F462+D463,2))))</x:f>
      </x:c>
      <x:c r="D463" s="18" t="str">
        <x:f>IF(B463="","",ROUND(IF($I$19="Факт / 365",F462*$I$12*(B463-B462)/$I$20,F462*$I$17),2))</x:f>
      </x:c>
      <x:c r="E463" s="18" t="str">
        <x:f>IF(B463="","",ROUND(C463-D463,2))</x:f>
      </x:c>
      <x:c r="F463" s="18" t="str">
        <x:f>IF(B463="","",ROUND(F462-E463,2))</x:f>
      </x:c>
      <x:c r="G463" s="2"/>
      <x:c r="H463" s="2"/>
      <x:c r="I463" s="2"/>
    </x:row>
    <x:row r="464" ht="24" customHeight="1">
      <x:c r="A464" s="1"/>
      <x:c r="B464" s="17" t="str">
        <x:f>IF(ROW()-ROW($B$9)&lt;=$I$16,MIN($I$14,EDATE($I$15,(ROW()-ROW($B$9)-1)*$I$13)),"")</x:f>
      </x:c>
      <x:c r="C464" s="18" t="str">
        <x:f>IF(B464="","",IF(ROW()-ROW($B$9)=$I$16,ROUND(F463+D464,2),MIN($I$18,ROUND(F463+D464,2))))</x:f>
      </x:c>
      <x:c r="D464" s="18" t="str">
        <x:f>IF(B464="","",ROUND(IF($I$19="Факт / 365",F463*$I$12*(B464-B463)/$I$20,F463*$I$17),2))</x:f>
      </x:c>
      <x:c r="E464" s="18" t="str">
        <x:f>IF(B464="","",ROUND(C464-D464,2))</x:f>
      </x:c>
      <x:c r="F464" s="18" t="str">
        <x:f>IF(B464="","",ROUND(F463-E464,2))</x:f>
      </x:c>
      <x:c r="G464" s="2"/>
      <x:c r="H464" s="2"/>
      <x:c r="I464" s="2"/>
    </x:row>
    <x:row r="465" ht="24" customHeight="1">
      <x:c r="A465" s="1"/>
      <x:c r="B465" s="17" t="str">
        <x:f>IF(ROW()-ROW($B$9)&lt;=$I$16,MIN($I$14,EDATE($I$15,(ROW()-ROW($B$9)-1)*$I$13)),"")</x:f>
      </x:c>
      <x:c r="C465" s="18" t="str">
        <x:f>IF(B465="","",IF(ROW()-ROW($B$9)=$I$16,ROUND(F464+D465,2),MIN($I$18,ROUND(F464+D465,2))))</x:f>
      </x:c>
      <x:c r="D465" s="18" t="str">
        <x:f>IF(B465="","",ROUND(IF($I$19="Факт / 365",F464*$I$12*(B465-B464)/$I$20,F464*$I$17),2))</x:f>
      </x:c>
      <x:c r="E465" s="18" t="str">
        <x:f>IF(B465="","",ROUND(C465-D465,2))</x:f>
      </x:c>
      <x:c r="F465" s="18" t="str">
        <x:f>IF(B465="","",ROUND(F464-E465,2))</x:f>
      </x:c>
      <x:c r="G465" s="2"/>
      <x:c r="H465" s="2"/>
      <x:c r="I465" s="2"/>
    </x:row>
    <x:row r="466" ht="24" customHeight="1">
      <x:c r="A466" s="1"/>
      <x:c r="B466" s="17" t="str">
        <x:f>IF(ROW()-ROW($B$9)&lt;=$I$16,MIN($I$14,EDATE($I$15,(ROW()-ROW($B$9)-1)*$I$13)),"")</x:f>
      </x:c>
      <x:c r="C466" s="18" t="str">
        <x:f>IF(B466="","",IF(ROW()-ROW($B$9)=$I$16,ROUND(F465+D466,2),MIN($I$18,ROUND(F465+D466,2))))</x:f>
      </x:c>
      <x:c r="D466" s="18" t="str">
        <x:f>IF(B466="","",ROUND(IF($I$19="Факт / 365",F465*$I$12*(B466-B465)/$I$20,F465*$I$17),2))</x:f>
      </x:c>
      <x:c r="E466" s="18" t="str">
        <x:f>IF(B466="","",ROUND(C466-D466,2))</x:f>
      </x:c>
      <x:c r="F466" s="18" t="str">
        <x:f>IF(B466="","",ROUND(F465-E466,2))</x:f>
      </x:c>
      <x:c r="G466" s="2"/>
      <x:c r="H466" s="2"/>
      <x:c r="I466" s="2"/>
    </x:row>
    <x:row r="467" ht="24" customHeight="1">
      <x:c r="A467" s="1"/>
      <x:c r="B467" s="17" t="str">
        <x:f>IF(ROW()-ROW($B$9)&lt;=$I$16,MIN($I$14,EDATE($I$15,(ROW()-ROW($B$9)-1)*$I$13)),"")</x:f>
      </x:c>
      <x:c r="C467" s="18" t="str">
        <x:f>IF(B467="","",IF(ROW()-ROW($B$9)=$I$16,ROUND(F466+D467,2),MIN($I$18,ROUND(F466+D467,2))))</x:f>
      </x:c>
      <x:c r="D467" s="18" t="str">
        <x:f>IF(B467="","",ROUND(IF($I$19="Факт / 365",F466*$I$12*(B467-B466)/$I$20,F466*$I$17),2))</x:f>
      </x:c>
      <x:c r="E467" s="18" t="str">
        <x:f>IF(B467="","",ROUND(C467-D467,2))</x:f>
      </x:c>
      <x:c r="F467" s="18" t="str">
        <x:f>IF(B467="","",ROUND(F466-E467,2))</x:f>
      </x:c>
      <x:c r="G467" s="2"/>
      <x:c r="H467" s="2"/>
      <x:c r="I467" s="2"/>
    </x:row>
    <x:row r="468" ht="24" customHeight="1">
      <x:c r="A468" s="1"/>
      <x:c r="B468" s="17" t="str">
        <x:f>IF(ROW()-ROW($B$9)&lt;=$I$16,MIN($I$14,EDATE($I$15,(ROW()-ROW($B$9)-1)*$I$13)),"")</x:f>
      </x:c>
      <x:c r="C468" s="18" t="str">
        <x:f>IF(B468="","",IF(ROW()-ROW($B$9)=$I$16,ROUND(F467+D468,2),MIN($I$18,ROUND(F467+D468,2))))</x:f>
      </x:c>
      <x:c r="D468" s="18" t="str">
        <x:f>IF(B468="","",ROUND(IF($I$19="Факт / 365",F467*$I$12*(B468-B467)/$I$20,F467*$I$17),2))</x:f>
      </x:c>
      <x:c r="E468" s="18" t="str">
        <x:f>IF(B468="","",ROUND(C468-D468,2))</x:f>
      </x:c>
      <x:c r="F468" s="18" t="str">
        <x:f>IF(B468="","",ROUND(F467-E468,2))</x:f>
      </x:c>
      <x:c r="G468" s="2"/>
      <x:c r="H468" s="2"/>
      <x:c r="I468" s="2"/>
    </x:row>
    <x:row r="469" ht="24" customHeight="1">
      <x:c r="A469" s="1"/>
      <x:c r="B469" s="17" t="str">
        <x:f>IF(ROW()-ROW($B$9)&lt;=$I$16,MIN($I$14,EDATE($I$15,(ROW()-ROW($B$9)-1)*$I$13)),"")</x:f>
      </x:c>
      <x:c r="C469" s="18" t="str">
        <x:f>IF(B469="","",IF(ROW()-ROW($B$9)=$I$16,ROUND(F468+D469,2),MIN($I$18,ROUND(F468+D469,2))))</x:f>
      </x:c>
      <x:c r="D469" s="18" t="str">
        <x:f>IF(B469="","",ROUND(IF($I$19="Факт / 365",F468*$I$12*(B469-B468)/$I$20,F468*$I$17),2))</x:f>
      </x:c>
      <x:c r="E469" s="18" t="str">
        <x:f>IF(B469="","",ROUND(C469-D469,2))</x:f>
      </x:c>
      <x:c r="F469" s="18" t="str">
        <x:f>IF(B469="","",ROUND(F468-E469,2))</x:f>
      </x:c>
      <x:c r="G469" s="2"/>
      <x:c r="H469" s="2"/>
      <x:c r="I469" s="2"/>
    </x:row>
    <x:row r="470" ht="24" customHeight="1">
      <x:c r="A470" s="1"/>
      <x:c r="B470" s="17" t="str">
        <x:f>IF(ROW()-ROW($B$9)&lt;=$I$16,MIN($I$14,EDATE($I$15,(ROW()-ROW($B$9)-1)*$I$13)),"")</x:f>
      </x:c>
      <x:c r="C470" s="18" t="str">
        <x:f>IF(B470="","",IF(ROW()-ROW($B$9)=$I$16,ROUND(F469+D470,2),MIN($I$18,ROUND(F469+D470,2))))</x:f>
      </x:c>
      <x:c r="D470" s="18" t="str">
        <x:f>IF(B470="","",ROUND(IF($I$19="Факт / 365",F469*$I$12*(B470-B469)/$I$20,F469*$I$17),2))</x:f>
      </x:c>
      <x:c r="E470" s="18" t="str">
        <x:f>IF(B470="","",ROUND(C470-D470,2))</x:f>
      </x:c>
      <x:c r="F470" s="18" t="str">
        <x:f>IF(B470="","",ROUND(F469-E470,2))</x:f>
      </x:c>
      <x:c r="G470" s="2"/>
      <x:c r="H470" s="2"/>
      <x:c r="I470" s="2"/>
    </x:row>
    <x:row r="471" ht="24" customHeight="1">
      <x:c r="A471" s="1"/>
      <x:c r="B471" s="17" t="str">
        <x:f>IF(ROW()-ROW($B$9)&lt;=$I$16,MIN($I$14,EDATE($I$15,(ROW()-ROW($B$9)-1)*$I$13)),"")</x:f>
      </x:c>
      <x:c r="C471" s="18" t="str">
        <x:f>IF(B471="","",IF(ROW()-ROW($B$9)=$I$16,ROUND(F470+D471,2),MIN($I$18,ROUND(F470+D471,2))))</x:f>
      </x:c>
      <x:c r="D471" s="18" t="str">
        <x:f>IF(B471="","",ROUND(IF($I$19="Факт / 365",F470*$I$12*(B471-B470)/$I$20,F470*$I$17),2))</x:f>
      </x:c>
      <x:c r="E471" s="18" t="str">
        <x:f>IF(B471="","",ROUND(C471-D471,2))</x:f>
      </x:c>
      <x:c r="F471" s="18" t="str">
        <x:f>IF(B471="","",ROUND(F470-E471,2))</x:f>
      </x:c>
      <x:c r="G471" s="2"/>
      <x:c r="H471" s="2"/>
      <x:c r="I471" s="2"/>
    </x:row>
    <x:row r="472" ht="24" customHeight="1">
      <x:c r="A472" s="1"/>
      <x:c r="B472" s="17" t="str">
        <x:f>IF(ROW()-ROW($B$9)&lt;=$I$16,MIN($I$14,EDATE($I$15,(ROW()-ROW($B$9)-1)*$I$13)),"")</x:f>
      </x:c>
      <x:c r="C472" s="18" t="str">
        <x:f>IF(B472="","",IF(ROW()-ROW($B$9)=$I$16,ROUND(F471+D472,2),MIN($I$18,ROUND(F471+D472,2))))</x:f>
      </x:c>
      <x:c r="D472" s="18" t="str">
        <x:f>IF(B472="","",ROUND(IF($I$19="Факт / 365",F471*$I$12*(B472-B471)/$I$20,F471*$I$17),2))</x:f>
      </x:c>
      <x:c r="E472" s="18" t="str">
        <x:f>IF(B472="","",ROUND(C472-D472,2))</x:f>
      </x:c>
      <x:c r="F472" s="18" t="str">
        <x:f>IF(B472="","",ROUND(F471-E472,2))</x:f>
      </x:c>
      <x:c r="G472" s="2"/>
      <x:c r="H472" s="2"/>
      <x:c r="I472" s="2"/>
    </x:row>
    <x:row r="473" ht="24" customHeight="1">
      <x:c r="A473" s="1"/>
      <x:c r="B473" s="17" t="str">
        <x:f>IF(ROW()-ROW($B$9)&lt;=$I$16,MIN($I$14,EDATE($I$15,(ROW()-ROW($B$9)-1)*$I$13)),"")</x:f>
      </x:c>
      <x:c r="C473" s="18" t="str">
        <x:f>IF(B473="","",IF(ROW()-ROW($B$9)=$I$16,ROUND(F472+D473,2),MIN($I$18,ROUND(F472+D473,2))))</x:f>
      </x:c>
      <x:c r="D473" s="18" t="str">
        <x:f>IF(B473="","",ROUND(IF($I$19="Факт / 365",F472*$I$12*(B473-B472)/$I$20,F472*$I$17),2))</x:f>
      </x:c>
      <x:c r="E473" s="18" t="str">
        <x:f>IF(B473="","",ROUND(C473-D473,2))</x:f>
      </x:c>
      <x:c r="F473" s="18" t="str">
        <x:f>IF(B473="","",ROUND(F472-E473,2))</x:f>
      </x:c>
      <x:c r="G473" s="2"/>
      <x:c r="H473" s="2"/>
      <x:c r="I473" s="2"/>
    </x:row>
    <x:row r="474" ht="24" customHeight="1">
      <x:c r="A474" s="1"/>
      <x:c r="B474" s="17" t="str">
        <x:f>IF(ROW()-ROW($B$9)&lt;=$I$16,MIN($I$14,EDATE($I$15,(ROW()-ROW($B$9)-1)*$I$13)),"")</x:f>
      </x:c>
      <x:c r="C474" s="18" t="str">
        <x:f>IF(B474="","",IF(ROW()-ROW($B$9)=$I$16,ROUND(F473+D474,2),MIN($I$18,ROUND(F473+D474,2))))</x:f>
      </x:c>
      <x:c r="D474" s="18" t="str">
        <x:f>IF(B474="","",ROUND(IF($I$19="Факт / 365",F473*$I$12*(B474-B473)/$I$20,F473*$I$17),2))</x:f>
      </x:c>
      <x:c r="E474" s="18" t="str">
        <x:f>IF(B474="","",ROUND(C474-D474,2))</x:f>
      </x:c>
      <x:c r="F474" s="18" t="str">
        <x:f>IF(B474="","",ROUND(F473-E474,2))</x:f>
      </x:c>
      <x:c r="G474" s="2"/>
      <x:c r="H474" s="2"/>
      <x:c r="I474" s="2"/>
    </x:row>
    <x:row r="475" ht="24" customHeight="1">
      <x:c r="A475" s="1"/>
      <x:c r="B475" s="17" t="str">
        <x:f>IF(ROW()-ROW($B$9)&lt;=$I$16,MIN($I$14,EDATE($I$15,(ROW()-ROW($B$9)-1)*$I$13)),"")</x:f>
      </x:c>
      <x:c r="C475" s="18" t="str">
        <x:f>IF(B475="","",IF(ROW()-ROW($B$9)=$I$16,ROUND(F474+D475,2),MIN($I$18,ROUND(F474+D475,2))))</x:f>
      </x:c>
      <x:c r="D475" s="18" t="str">
        <x:f>IF(B475="","",ROUND(IF($I$19="Факт / 365",F474*$I$12*(B475-B474)/$I$20,F474*$I$17),2))</x:f>
      </x:c>
      <x:c r="E475" s="18" t="str">
        <x:f>IF(B475="","",ROUND(C475-D475,2))</x:f>
      </x:c>
      <x:c r="F475" s="18" t="str">
        <x:f>IF(B475="","",ROUND(F474-E475,2))</x:f>
      </x:c>
      <x:c r="G475" s="2"/>
      <x:c r="H475" s="2"/>
      <x:c r="I475" s="2"/>
    </x:row>
    <x:row r="476" ht="24" customHeight="1">
      <x:c r="A476" s="1"/>
      <x:c r="B476" s="17" t="str">
        <x:f>IF(ROW()-ROW($B$9)&lt;=$I$16,MIN($I$14,EDATE($I$15,(ROW()-ROW($B$9)-1)*$I$13)),"")</x:f>
      </x:c>
      <x:c r="C476" s="18" t="str">
        <x:f>IF(B476="","",IF(ROW()-ROW($B$9)=$I$16,ROUND(F475+D476,2),MIN($I$18,ROUND(F475+D476,2))))</x:f>
      </x:c>
      <x:c r="D476" s="18" t="str">
        <x:f>IF(B476="","",ROUND(IF($I$19="Факт / 365",F475*$I$12*(B476-B475)/$I$20,F475*$I$17),2))</x:f>
      </x:c>
      <x:c r="E476" s="18" t="str">
        <x:f>IF(B476="","",ROUND(C476-D476,2))</x:f>
      </x:c>
      <x:c r="F476" s="18" t="str">
        <x:f>IF(B476="","",ROUND(F475-E476,2))</x:f>
      </x:c>
      <x:c r="G476" s="2"/>
      <x:c r="H476" s="2"/>
      <x:c r="I476" s="2"/>
    </x:row>
    <x:row r="477" ht="24" customHeight="1">
      <x:c r="A477" s="1"/>
      <x:c r="B477" s="17" t="str">
        <x:f>IF(ROW()-ROW($B$9)&lt;=$I$16,MIN($I$14,EDATE($I$15,(ROW()-ROW($B$9)-1)*$I$13)),"")</x:f>
      </x:c>
      <x:c r="C477" s="18" t="str">
        <x:f>IF(B477="","",IF(ROW()-ROW($B$9)=$I$16,ROUND(F476+D477,2),MIN($I$18,ROUND(F476+D477,2))))</x:f>
      </x:c>
      <x:c r="D477" s="18" t="str">
        <x:f>IF(B477="","",ROUND(IF($I$19="Факт / 365",F476*$I$12*(B477-B476)/$I$20,F476*$I$17),2))</x:f>
      </x:c>
      <x:c r="E477" s="18" t="str">
        <x:f>IF(B477="","",ROUND(C477-D477,2))</x:f>
      </x:c>
      <x:c r="F477" s="18" t="str">
        <x:f>IF(B477="","",ROUND(F476-E477,2))</x:f>
      </x:c>
      <x:c r="G477" s="2"/>
      <x:c r="H477" s="2"/>
      <x:c r="I477" s="2"/>
    </x:row>
    <x:row r="478" ht="24" customHeight="1">
      <x:c r="A478" s="1"/>
      <x:c r="B478" s="17" t="str">
        <x:f>IF(ROW()-ROW($B$9)&lt;=$I$16,MIN($I$14,EDATE($I$15,(ROW()-ROW($B$9)-1)*$I$13)),"")</x:f>
      </x:c>
      <x:c r="C478" s="18" t="str">
        <x:f>IF(B478="","",IF(ROW()-ROW($B$9)=$I$16,ROUND(F477+D478,2),MIN($I$18,ROUND(F477+D478,2))))</x:f>
      </x:c>
      <x:c r="D478" s="18" t="str">
        <x:f>IF(B478="","",ROUND(IF($I$19="Факт / 365",F477*$I$12*(B478-B477)/$I$20,F477*$I$17),2))</x:f>
      </x:c>
      <x:c r="E478" s="18" t="str">
        <x:f>IF(B478="","",ROUND(C478-D478,2))</x:f>
      </x:c>
      <x:c r="F478" s="18" t="str">
        <x:f>IF(B478="","",ROUND(F477-E478,2))</x:f>
      </x:c>
      <x:c r="G478" s="2"/>
      <x:c r="H478" s="2"/>
      <x:c r="I478" s="2"/>
    </x:row>
    <x:row r="479" ht="24" customHeight="1">
      <x:c r="A479" s="1"/>
      <x:c r="B479" s="17" t="str">
        <x:f>IF(ROW()-ROW($B$9)&lt;=$I$16,MIN($I$14,EDATE($I$15,(ROW()-ROW($B$9)-1)*$I$13)),"")</x:f>
      </x:c>
      <x:c r="C479" s="18" t="str">
        <x:f>IF(B479="","",IF(ROW()-ROW($B$9)=$I$16,ROUND(F478+D479,2),MIN($I$18,ROUND(F478+D479,2))))</x:f>
      </x:c>
      <x:c r="D479" s="18" t="str">
        <x:f>IF(B479="","",ROUND(IF($I$19="Факт / 365",F478*$I$12*(B479-B478)/$I$20,F478*$I$17),2))</x:f>
      </x:c>
      <x:c r="E479" s="18" t="str">
        <x:f>IF(B479="","",ROUND(C479-D479,2))</x:f>
      </x:c>
      <x:c r="F479" s="18" t="str">
        <x:f>IF(B479="","",ROUND(F478-E479,2))</x:f>
      </x:c>
      <x:c r="G479" s="2"/>
      <x:c r="H479" s="2"/>
      <x:c r="I479" s="2"/>
    </x:row>
    <x:row r="480" ht="24" customHeight="1">
      <x:c r="A480" s="1"/>
      <x:c r="B480" s="17" t="str">
        <x:f>IF(ROW()-ROW($B$9)&lt;=$I$16,MIN($I$14,EDATE($I$15,(ROW()-ROW($B$9)-1)*$I$13)),"")</x:f>
      </x:c>
      <x:c r="C480" s="18" t="str">
        <x:f>IF(B480="","",IF(ROW()-ROW($B$9)=$I$16,ROUND(F479+D480,2),MIN($I$18,ROUND(F479+D480,2))))</x:f>
      </x:c>
      <x:c r="D480" s="18" t="str">
        <x:f>IF(B480="","",ROUND(IF($I$19="Факт / 365",F479*$I$12*(B480-B479)/$I$20,F479*$I$17),2))</x:f>
      </x:c>
      <x:c r="E480" s="18" t="str">
        <x:f>IF(B480="","",ROUND(C480-D480,2))</x:f>
      </x:c>
      <x:c r="F480" s="18" t="str">
        <x:f>IF(B480="","",ROUND(F479-E480,2))</x:f>
      </x:c>
      <x:c r="G480" s="2"/>
      <x:c r="H480" s="2"/>
      <x:c r="I480" s="2"/>
    </x:row>
    <x:row r="481" ht="24" customHeight="1">
      <x:c r="A481" s="1"/>
      <x:c r="B481" s="17" t="str">
        <x:f>IF(ROW()-ROW($B$9)&lt;=$I$16,MIN($I$14,EDATE($I$15,(ROW()-ROW($B$9)-1)*$I$13)),"")</x:f>
      </x:c>
      <x:c r="C481" s="18" t="str">
        <x:f>IF(B481="","",IF(ROW()-ROW($B$9)=$I$16,ROUND(F480+D481,2),MIN($I$18,ROUND(F480+D481,2))))</x:f>
      </x:c>
      <x:c r="D481" s="18" t="str">
        <x:f>IF(B481="","",ROUND(IF($I$19="Факт / 365",F480*$I$12*(B481-B480)/$I$20,F480*$I$17),2))</x:f>
      </x:c>
      <x:c r="E481" s="18" t="str">
        <x:f>IF(B481="","",ROUND(C481-D481,2))</x:f>
      </x:c>
      <x:c r="F481" s="18" t="str">
        <x:f>IF(B481="","",ROUND(F480-E481,2))</x:f>
      </x:c>
      <x:c r="G481" s="2"/>
      <x:c r="H481" s="2"/>
      <x:c r="I481" s="2"/>
    </x:row>
    <x:row r="482" ht="24" customHeight="1">
      <x:c r="A482" s="1"/>
      <x:c r="B482" s="17" t="str">
        <x:f>IF(ROW()-ROW($B$9)&lt;=$I$16,MIN($I$14,EDATE($I$15,(ROW()-ROW($B$9)-1)*$I$13)),"")</x:f>
      </x:c>
      <x:c r="C482" s="18" t="str">
        <x:f>IF(B482="","",IF(ROW()-ROW($B$9)=$I$16,ROUND(F481+D482,2),MIN($I$18,ROUND(F481+D482,2))))</x:f>
      </x:c>
      <x:c r="D482" s="18" t="str">
        <x:f>IF(B482="","",ROUND(IF($I$19="Факт / 365",F481*$I$12*(B482-B481)/$I$20,F481*$I$17),2))</x:f>
      </x:c>
      <x:c r="E482" s="18" t="str">
        <x:f>IF(B482="","",ROUND(C482-D482,2))</x:f>
      </x:c>
      <x:c r="F482" s="18" t="str">
        <x:f>IF(B482="","",ROUND(F481-E482,2))</x:f>
      </x:c>
      <x:c r="G482" s="2"/>
      <x:c r="H482" s="2"/>
      <x:c r="I482" s="2"/>
    </x:row>
    <x:row r="483" ht="24" customHeight="1">
      <x:c r="A483" s="1"/>
      <x:c r="B483" s="17" t="str">
        <x:f>IF(ROW()-ROW($B$9)&lt;=$I$16,MIN($I$14,EDATE($I$15,(ROW()-ROW($B$9)-1)*$I$13)),"")</x:f>
      </x:c>
      <x:c r="C483" s="18" t="str">
        <x:f>IF(B483="","",IF(ROW()-ROW($B$9)=$I$16,ROUND(F482+D483,2),MIN($I$18,ROUND(F482+D483,2))))</x:f>
      </x:c>
      <x:c r="D483" s="18" t="str">
        <x:f>IF(B483="","",ROUND(IF($I$19="Факт / 365",F482*$I$12*(B483-B482)/$I$20,F482*$I$17),2))</x:f>
      </x:c>
      <x:c r="E483" s="18" t="str">
        <x:f>IF(B483="","",ROUND(C483-D483,2))</x:f>
      </x:c>
      <x:c r="F483" s="18" t="str">
        <x:f>IF(B483="","",ROUND(F482-E483,2))</x:f>
      </x:c>
      <x:c r="G483" s="2"/>
      <x:c r="H483" s="2"/>
      <x:c r="I483" s="2"/>
    </x:row>
    <x:row r="484" ht="24" customHeight="1">
      <x:c r="A484" s="1"/>
      <x:c r="B484" s="17" t="str">
        <x:f>IF(ROW()-ROW($B$9)&lt;=$I$16,MIN($I$14,EDATE($I$15,(ROW()-ROW($B$9)-1)*$I$13)),"")</x:f>
      </x:c>
      <x:c r="C484" s="18" t="str">
        <x:f>IF(B484="","",IF(ROW()-ROW($B$9)=$I$16,ROUND(F483+D484,2),MIN($I$18,ROUND(F483+D484,2))))</x:f>
      </x:c>
      <x:c r="D484" s="18" t="str">
        <x:f>IF(B484="","",ROUND(IF($I$19="Факт / 365",F483*$I$12*(B484-B483)/$I$20,F483*$I$17),2))</x:f>
      </x:c>
      <x:c r="E484" s="18" t="str">
        <x:f>IF(B484="","",ROUND(C484-D484,2))</x:f>
      </x:c>
      <x:c r="F484" s="18" t="str">
        <x:f>IF(B484="","",ROUND(F483-E484,2))</x:f>
      </x:c>
      <x:c r="G484" s="2"/>
      <x:c r="H484" s="2"/>
      <x:c r="I484" s="2"/>
    </x:row>
    <x:row r="485" ht="24" customHeight="1">
      <x:c r="A485" s="1"/>
      <x:c r="B485" s="17" t="str">
        <x:f>IF(ROW()-ROW($B$9)&lt;=$I$16,MIN($I$14,EDATE($I$15,(ROW()-ROW($B$9)-1)*$I$13)),"")</x:f>
      </x:c>
      <x:c r="C485" s="18" t="str">
        <x:f>IF(B485="","",IF(ROW()-ROW($B$9)=$I$16,ROUND(F484+D485,2),MIN($I$18,ROUND(F484+D485,2))))</x:f>
      </x:c>
      <x:c r="D485" s="18" t="str">
        <x:f>IF(B485="","",ROUND(IF($I$19="Факт / 365",F484*$I$12*(B485-B484)/$I$20,F484*$I$17),2))</x:f>
      </x:c>
      <x:c r="E485" s="18" t="str">
        <x:f>IF(B485="","",ROUND(C485-D485,2))</x:f>
      </x:c>
      <x:c r="F485" s="18" t="str">
        <x:f>IF(B485="","",ROUND(F484-E485,2))</x:f>
      </x:c>
      <x:c r="G485" s="2"/>
      <x:c r="H485" s="2"/>
      <x:c r="I485" s="2"/>
    </x:row>
    <x:row r="486" ht="24" customHeight="1">
      <x:c r="A486" s="1"/>
      <x:c r="B486" s="17" t="str">
        <x:f>IF(ROW()-ROW($B$9)&lt;=$I$16,MIN($I$14,EDATE($I$15,(ROW()-ROW($B$9)-1)*$I$13)),"")</x:f>
      </x:c>
      <x:c r="C486" s="18" t="str">
        <x:f>IF(B486="","",IF(ROW()-ROW($B$9)=$I$16,ROUND(F485+D486,2),MIN($I$18,ROUND(F485+D486,2))))</x:f>
      </x:c>
      <x:c r="D486" s="18" t="str">
        <x:f>IF(B486="","",ROUND(IF($I$19="Факт / 365",F485*$I$12*(B486-B485)/$I$20,F485*$I$17),2))</x:f>
      </x:c>
      <x:c r="E486" s="18" t="str">
        <x:f>IF(B486="","",ROUND(C486-D486,2))</x:f>
      </x:c>
      <x:c r="F486" s="18" t="str">
        <x:f>IF(B486="","",ROUND(F485-E486,2))</x:f>
      </x:c>
      <x:c r="G486" s="2"/>
      <x:c r="H486" s="2"/>
      <x:c r="I486" s="2"/>
    </x:row>
    <x:row r="487" ht="24" customHeight="1">
      <x:c r="A487" s="1"/>
      <x:c r="B487" s="17" t="str">
        <x:f>IF(ROW()-ROW($B$9)&lt;=$I$16,MIN($I$14,EDATE($I$15,(ROW()-ROW($B$9)-1)*$I$13)),"")</x:f>
      </x:c>
      <x:c r="C487" s="18" t="str">
        <x:f>IF(B487="","",IF(ROW()-ROW($B$9)=$I$16,ROUND(F486+D487,2),MIN($I$18,ROUND(F486+D487,2))))</x:f>
      </x:c>
      <x:c r="D487" s="18" t="str">
        <x:f>IF(B487="","",ROUND(IF($I$19="Факт / 365",F486*$I$12*(B487-B486)/$I$20,F486*$I$17),2))</x:f>
      </x:c>
      <x:c r="E487" s="18" t="str">
        <x:f>IF(B487="","",ROUND(C487-D487,2))</x:f>
      </x:c>
      <x:c r="F487" s="18" t="str">
        <x:f>IF(B487="","",ROUND(F486-E487,2))</x:f>
      </x:c>
      <x:c r="G487" s="2"/>
      <x:c r="H487" s="2"/>
      <x:c r="I487" s="2"/>
    </x:row>
    <x:row r="488" ht="24" customHeight="1">
      <x:c r="A488" s="1"/>
      <x:c r="B488" s="17" t="str">
        <x:f>IF(ROW()-ROW($B$9)&lt;=$I$16,MIN($I$14,EDATE($I$15,(ROW()-ROW($B$9)-1)*$I$13)),"")</x:f>
      </x:c>
      <x:c r="C488" s="18" t="str">
        <x:f>IF(B488="","",IF(ROW()-ROW($B$9)=$I$16,ROUND(F487+D488,2),MIN($I$18,ROUND(F487+D488,2))))</x:f>
      </x:c>
      <x:c r="D488" s="18" t="str">
        <x:f>IF(B488="","",ROUND(IF($I$19="Факт / 365",F487*$I$12*(B488-B487)/$I$20,F487*$I$17),2))</x:f>
      </x:c>
      <x:c r="E488" s="18" t="str">
        <x:f>IF(B488="","",ROUND(C488-D488,2))</x:f>
      </x:c>
      <x:c r="F488" s="18" t="str">
        <x:f>IF(B488="","",ROUND(F487-E488,2))</x:f>
      </x:c>
      <x:c r="G488" s="2"/>
      <x:c r="H488" s="2"/>
      <x:c r="I488" s="2"/>
    </x:row>
    <x:row r="489" ht="24" customHeight="1">
      <x:c r="A489" s="1"/>
      <x:c r="B489" s="17" t="str">
        <x:f>IF(ROW()-ROW($B$9)&lt;=$I$16,MIN($I$14,EDATE($I$15,(ROW()-ROW($B$9)-1)*$I$13)),"")</x:f>
      </x:c>
      <x:c r="C489" s="18" t="str">
        <x:f>IF(B489="","",IF(ROW()-ROW($B$9)=$I$16,ROUND(F488+D489,2),MIN($I$18,ROUND(F488+D489,2))))</x:f>
      </x:c>
      <x:c r="D489" s="18" t="str">
        <x:f>IF(B489="","",ROUND(IF($I$19="Факт / 365",F488*$I$12*(B489-B488)/$I$20,F488*$I$17),2))</x:f>
      </x:c>
      <x:c r="E489" s="18" t="str">
        <x:f>IF(B489="","",ROUND(C489-D489,2))</x:f>
      </x:c>
      <x:c r="F489" s="18" t="str">
        <x:f>IF(B489="","",ROUND(F488-E489,2))</x:f>
      </x:c>
      <x:c r="G489" s="2"/>
      <x:c r="H489" s="2"/>
      <x:c r="I489" s="2"/>
    </x:row>
    <x:row r="490" ht="24" customHeight="1">
      <x:c r="A490" s="1"/>
      <x:c r="B490" s="17" t="str">
        <x:f>IF(ROW()-ROW($B$9)&lt;=$I$16,MIN($I$14,EDATE($I$15,(ROW()-ROW($B$9)-1)*$I$13)),"")</x:f>
      </x:c>
      <x:c r="C490" s="18" t="str">
        <x:f>IF(B490="","",IF(ROW()-ROW($B$9)=$I$16,ROUND(F489+D490,2),MIN($I$18,ROUND(F489+D490,2))))</x:f>
      </x:c>
      <x:c r="D490" s="18" t="str">
        <x:f>IF(B490="","",ROUND(IF($I$19="Факт / 365",F489*$I$12*(B490-B489)/$I$20,F489*$I$17),2))</x:f>
      </x:c>
      <x:c r="E490" s="18" t="str">
        <x:f>IF(B490="","",ROUND(C490-D490,2))</x:f>
      </x:c>
      <x:c r="F490" s="18" t="str">
        <x:f>IF(B490="","",ROUND(F489-E490,2))</x:f>
      </x:c>
      <x:c r="G490" s="2"/>
      <x:c r="H490" s="2"/>
      <x:c r="I490" s="2"/>
    </x:row>
    <x:row r="491" ht="24" customHeight="1">
      <x:c r="A491" s="1"/>
      <x:c r="B491" s="17" t="str">
        <x:f>IF(ROW()-ROW($B$9)&lt;=$I$16,MIN($I$14,EDATE($I$15,(ROW()-ROW($B$9)-1)*$I$13)),"")</x:f>
      </x:c>
      <x:c r="C491" s="18" t="str">
        <x:f>IF(B491="","",IF(ROW()-ROW($B$9)=$I$16,ROUND(F490+D491,2),MIN($I$18,ROUND(F490+D491,2))))</x:f>
      </x:c>
      <x:c r="D491" s="18" t="str">
        <x:f>IF(B491="","",ROUND(IF($I$19="Факт / 365",F490*$I$12*(B491-B490)/$I$20,F490*$I$17),2))</x:f>
      </x:c>
      <x:c r="E491" s="18" t="str">
        <x:f>IF(B491="","",ROUND(C491-D491,2))</x:f>
      </x:c>
      <x:c r="F491" s="18" t="str">
        <x:f>IF(B491="","",ROUND(F490-E491,2))</x:f>
      </x:c>
      <x:c r="G491" s="2"/>
      <x:c r="H491" s="2"/>
      <x:c r="I491" s="2"/>
    </x:row>
    <x:row r="492" ht="24" customHeight="1">
      <x:c r="A492" s="1"/>
      <x:c r="B492" s="17" t="str">
        <x:f>IF(ROW()-ROW($B$9)&lt;=$I$16,MIN($I$14,EDATE($I$15,(ROW()-ROW($B$9)-1)*$I$13)),"")</x:f>
      </x:c>
      <x:c r="C492" s="18" t="str">
        <x:f>IF(B492="","",IF(ROW()-ROW($B$9)=$I$16,ROUND(F491+D492,2),MIN($I$18,ROUND(F491+D492,2))))</x:f>
      </x:c>
      <x:c r="D492" s="18" t="str">
        <x:f>IF(B492="","",ROUND(IF($I$19="Факт / 365",F491*$I$12*(B492-B491)/$I$20,F491*$I$17),2))</x:f>
      </x:c>
      <x:c r="E492" s="18" t="str">
        <x:f>IF(B492="","",ROUND(C492-D492,2))</x:f>
      </x:c>
      <x:c r="F492" s="18" t="str">
        <x:f>IF(B492="","",ROUND(F491-E492,2))</x:f>
      </x:c>
      <x:c r="G492" s="2"/>
      <x:c r="H492" s="2"/>
      <x:c r="I492" s="2"/>
    </x:row>
    <x:row r="493" ht="24" customHeight="1">
      <x:c r="A493" s="1"/>
      <x:c r="B493" s="17" t="str">
        <x:f>IF(ROW()-ROW($B$9)&lt;=$I$16,MIN($I$14,EDATE($I$15,(ROW()-ROW($B$9)-1)*$I$13)),"")</x:f>
      </x:c>
      <x:c r="C493" s="18" t="str">
        <x:f>IF(B493="","",IF(ROW()-ROW($B$9)=$I$16,ROUND(F492+D493,2),MIN($I$18,ROUND(F492+D493,2))))</x:f>
      </x:c>
      <x:c r="D493" s="18" t="str">
        <x:f>IF(B493="","",ROUND(IF($I$19="Факт / 365",F492*$I$12*(B493-B492)/$I$20,F492*$I$17),2))</x:f>
      </x:c>
      <x:c r="E493" s="18" t="str">
        <x:f>IF(B493="","",ROUND(C493-D493,2))</x:f>
      </x:c>
      <x:c r="F493" s="18" t="str">
        <x:f>IF(B493="","",ROUND(F492-E493,2))</x:f>
      </x:c>
      <x:c r="G493" s="2"/>
      <x:c r="H493" s="2"/>
      <x:c r="I493" s="2"/>
    </x:row>
    <x:row r="494" ht="24" customHeight="1">
      <x:c r="A494" s="1"/>
      <x:c r="B494" s="17" t="str">
        <x:f>IF(ROW()-ROW($B$9)&lt;=$I$16,MIN($I$14,EDATE($I$15,(ROW()-ROW($B$9)-1)*$I$13)),"")</x:f>
      </x:c>
      <x:c r="C494" s="18" t="str">
        <x:f>IF(B494="","",IF(ROW()-ROW($B$9)=$I$16,ROUND(F493+D494,2),MIN($I$18,ROUND(F493+D494,2))))</x:f>
      </x:c>
      <x:c r="D494" s="18" t="str">
        <x:f>IF(B494="","",ROUND(IF($I$19="Факт / 365",F493*$I$12*(B494-B493)/$I$20,F493*$I$17),2))</x:f>
      </x:c>
      <x:c r="E494" s="18" t="str">
        <x:f>IF(B494="","",ROUND(C494-D494,2))</x:f>
      </x:c>
      <x:c r="F494" s="18" t="str">
        <x:f>IF(B494="","",ROUND(F493-E494,2))</x:f>
      </x:c>
      <x:c r="G494" s="2"/>
      <x:c r="H494" s="2"/>
      <x:c r="I494" s="2"/>
    </x:row>
    <x:row r="495" ht="24" customHeight="1">
      <x:c r="A495" s="1"/>
      <x:c r="B495" s="17" t="str">
        <x:f>IF(ROW()-ROW($B$9)&lt;=$I$16,MIN($I$14,EDATE($I$15,(ROW()-ROW($B$9)-1)*$I$13)),"")</x:f>
      </x:c>
      <x:c r="C495" s="18" t="str">
        <x:f>IF(B495="","",IF(ROW()-ROW($B$9)=$I$16,ROUND(F494+D495,2),MIN($I$18,ROUND(F494+D495,2))))</x:f>
      </x:c>
      <x:c r="D495" s="18" t="str">
        <x:f>IF(B495="","",ROUND(IF($I$19="Факт / 365",F494*$I$12*(B495-B494)/$I$20,F494*$I$17),2))</x:f>
      </x:c>
      <x:c r="E495" s="18" t="str">
        <x:f>IF(B495="","",ROUND(C495-D495,2))</x:f>
      </x:c>
      <x:c r="F495" s="18" t="str">
        <x:f>IF(B495="","",ROUND(F494-E495,2))</x:f>
      </x:c>
      <x:c r="G495" s="2"/>
      <x:c r="H495" s="2"/>
      <x:c r="I495" s="2"/>
    </x:row>
    <x:row r="496" ht="24" customHeight="1">
      <x:c r="A496" s="1"/>
      <x:c r="B496" s="17" t="str">
        <x:f>IF(ROW()-ROW($B$9)&lt;=$I$16,MIN($I$14,EDATE($I$15,(ROW()-ROW($B$9)-1)*$I$13)),"")</x:f>
      </x:c>
      <x:c r="C496" s="18" t="str">
        <x:f>IF(B496="","",IF(ROW()-ROW($B$9)=$I$16,ROUND(F495+D496,2),MIN($I$18,ROUND(F495+D496,2))))</x:f>
      </x:c>
      <x:c r="D496" s="18" t="str">
        <x:f>IF(B496="","",ROUND(IF($I$19="Факт / 365",F495*$I$12*(B496-B495)/$I$20,F495*$I$17),2))</x:f>
      </x:c>
      <x:c r="E496" s="18" t="str">
        <x:f>IF(B496="","",ROUND(C496-D496,2))</x:f>
      </x:c>
      <x:c r="F496" s="18" t="str">
        <x:f>IF(B496="","",ROUND(F495-E496,2))</x:f>
      </x:c>
      <x:c r="G496" s="2"/>
      <x:c r="H496" s="2"/>
      <x:c r="I496" s="2"/>
    </x:row>
    <x:row r="497" ht="24" customHeight="1">
      <x:c r="A497" s="1"/>
      <x:c r="B497" s="17" t="str">
        <x:f>IF(ROW()-ROW($B$9)&lt;=$I$16,MIN($I$14,EDATE($I$15,(ROW()-ROW($B$9)-1)*$I$13)),"")</x:f>
      </x:c>
      <x:c r="C497" s="18" t="str">
        <x:f>IF(B497="","",IF(ROW()-ROW($B$9)=$I$16,ROUND(F496+D497,2),MIN($I$18,ROUND(F496+D497,2))))</x:f>
      </x:c>
      <x:c r="D497" s="18" t="str">
        <x:f>IF(B497="","",ROUND(IF($I$19="Факт / 365",F496*$I$12*(B497-B496)/$I$20,F496*$I$17),2))</x:f>
      </x:c>
      <x:c r="E497" s="18" t="str">
        <x:f>IF(B497="","",ROUND(C497-D497,2))</x:f>
      </x:c>
      <x:c r="F497" s="18" t="str">
        <x:f>IF(B497="","",ROUND(F496-E497,2))</x:f>
      </x:c>
      <x:c r="G497" s="2"/>
      <x:c r="H497" s="2"/>
      <x:c r="I497" s="2"/>
    </x:row>
    <x:row r="498" ht="24" customHeight="1">
      <x:c r="A498" s="1"/>
      <x:c r="B498" s="17" t="str">
        <x:f>IF(ROW()-ROW($B$9)&lt;=$I$16,MIN($I$14,EDATE($I$15,(ROW()-ROW($B$9)-1)*$I$13)),"")</x:f>
      </x:c>
      <x:c r="C498" s="18" t="str">
        <x:f>IF(B498="","",IF(ROW()-ROW($B$9)=$I$16,ROUND(F497+D498,2),MIN($I$18,ROUND(F497+D498,2))))</x:f>
      </x:c>
      <x:c r="D498" s="18" t="str">
        <x:f>IF(B498="","",ROUND(IF($I$19="Факт / 365",F497*$I$12*(B498-B497)/$I$20,F497*$I$17),2))</x:f>
      </x:c>
      <x:c r="E498" s="18" t="str">
        <x:f>IF(B498="","",ROUND(C498-D498,2))</x:f>
      </x:c>
      <x:c r="F498" s="18" t="str">
        <x:f>IF(B498="","",ROUND(F497-E498,2))</x:f>
      </x:c>
      <x:c r="G498" s="2"/>
      <x:c r="H498" s="2"/>
      <x:c r="I498" s="2"/>
    </x:row>
    <x:row r="499" ht="24" customHeight="1">
      <x:c r="A499" s="1"/>
      <x:c r="B499" s="17" t="str">
        <x:f>IF(ROW()-ROW($B$9)&lt;=$I$16,MIN($I$14,EDATE($I$15,(ROW()-ROW($B$9)-1)*$I$13)),"")</x:f>
      </x:c>
      <x:c r="C499" s="18" t="str">
        <x:f>IF(B499="","",IF(ROW()-ROW($B$9)=$I$16,ROUND(F498+D499,2),MIN($I$18,ROUND(F498+D499,2))))</x:f>
      </x:c>
      <x:c r="D499" s="18" t="str">
        <x:f>IF(B499="","",ROUND(IF($I$19="Факт / 365",F498*$I$12*(B499-B498)/$I$20,F498*$I$17),2))</x:f>
      </x:c>
      <x:c r="E499" s="18" t="str">
        <x:f>IF(B499="","",ROUND(C499-D499,2))</x:f>
      </x:c>
      <x:c r="F499" s="18" t="str">
        <x:f>IF(B499="","",ROUND(F498-E499,2))</x:f>
      </x:c>
      <x:c r="G499" s="2"/>
      <x:c r="H499" s="2"/>
      <x:c r="I499" s="2"/>
    </x:row>
    <x:row r="500" ht="24" customHeight="1">
      <x:c r="A500" s="1"/>
      <x:c r="B500" s="17" t="str">
        <x:f>IF(ROW()-ROW($B$9)&lt;=$I$16,MIN($I$14,EDATE($I$15,(ROW()-ROW($B$9)-1)*$I$13)),"")</x:f>
      </x:c>
      <x:c r="C500" s="18" t="str">
        <x:f>IF(B500="","",IF(ROW()-ROW($B$9)=$I$16,ROUND(F499+D500,2),MIN($I$18,ROUND(F499+D500,2))))</x:f>
      </x:c>
      <x:c r="D500" s="18" t="str">
        <x:f>IF(B500="","",ROUND(IF($I$19="Факт / 365",F499*$I$12*(B500-B499)/$I$20,F499*$I$17),2))</x:f>
      </x:c>
      <x:c r="E500" s="18" t="str">
        <x:f>IF(B500="","",ROUND(C500-D500,2))</x:f>
      </x:c>
      <x:c r="F500" s="18" t="str">
        <x:f>IF(B500="","",ROUND(F499-E500,2))</x:f>
      </x:c>
      <x:c r="G500" s="2"/>
      <x:c r="H500" s="2"/>
      <x:c r="I500" s="2"/>
    </x:row>
    <x:row r="501" ht="24" customHeight="1">
      <x:c r="A501" s="1"/>
      <x:c r="B501" s="17" t="str">
        <x:f>IF(ROW()-ROW($B$9)&lt;=$I$16,MIN($I$14,EDATE($I$15,(ROW()-ROW($B$9)-1)*$I$13)),"")</x:f>
      </x:c>
      <x:c r="C501" s="18" t="str">
        <x:f>IF(B501="","",IF(ROW()-ROW($B$9)=$I$16,ROUND(F500+D501,2),MIN($I$18,ROUND(F500+D501,2))))</x:f>
      </x:c>
      <x:c r="D501" s="18" t="str">
        <x:f>IF(B501="","",ROUND(IF($I$19="Факт / 365",F500*$I$12*(B501-B500)/$I$20,F500*$I$17),2))</x:f>
      </x:c>
      <x:c r="E501" s="18" t="str">
        <x:f>IF(B501="","",ROUND(C501-D501,2))</x:f>
      </x:c>
      <x:c r="F501" s="18" t="str">
        <x:f>IF(B501="","",ROUND(F500-E501,2))</x:f>
      </x:c>
      <x:c r="G501" s="2"/>
      <x:c r="H501" s="2"/>
      <x:c r="I501" s="2"/>
    </x:row>
    <x:row r="502" ht="24" customHeight="1">
      <x:c r="A502" s="1"/>
      <x:c r="B502" s="17" t="str">
        <x:f>IF(ROW()-ROW($B$9)&lt;=$I$16,MIN($I$14,EDATE($I$15,(ROW()-ROW($B$9)-1)*$I$13)),"")</x:f>
      </x:c>
      <x:c r="C502" s="18" t="str">
        <x:f>IF(B502="","",IF(ROW()-ROW($B$9)=$I$16,ROUND(F501+D502,2),MIN($I$18,ROUND(F501+D502,2))))</x:f>
      </x:c>
      <x:c r="D502" s="18" t="str">
        <x:f>IF(B502="","",ROUND(IF($I$19="Факт / 365",F501*$I$12*(B502-B501)/$I$20,F501*$I$17),2))</x:f>
      </x:c>
      <x:c r="E502" s="18" t="str">
        <x:f>IF(B502="","",ROUND(C502-D502,2))</x:f>
      </x:c>
      <x:c r="F502" s="18" t="str">
        <x:f>IF(B502="","",ROUND(F501-E502,2))</x:f>
      </x:c>
      <x:c r="G502" s="2"/>
      <x:c r="H502" s="2"/>
      <x:c r="I502" s="2"/>
    </x:row>
    <x:row r="503" ht="24" customHeight="1">
      <x:c r="A503" s="1"/>
      <x:c r="B503" s="17" t="str">
        <x:f>IF(ROW()-ROW($B$9)&lt;=$I$16,MIN($I$14,EDATE($I$15,(ROW()-ROW($B$9)-1)*$I$13)),"")</x:f>
      </x:c>
      <x:c r="C503" s="18" t="str">
        <x:f>IF(B503="","",IF(ROW()-ROW($B$9)=$I$16,ROUND(F502+D503,2),MIN($I$18,ROUND(F502+D503,2))))</x:f>
      </x:c>
      <x:c r="D503" s="18" t="str">
        <x:f>IF(B503="","",ROUND(IF($I$19="Факт / 365",F502*$I$12*(B503-B502)/$I$20,F502*$I$17),2))</x:f>
      </x:c>
      <x:c r="E503" s="18" t="str">
        <x:f>IF(B503="","",ROUND(C503-D503,2))</x:f>
      </x:c>
      <x:c r="F503" s="18" t="str">
        <x:f>IF(B503="","",ROUND(F502-E503,2))</x:f>
      </x:c>
      <x:c r="G503" s="2"/>
      <x:c r="H503" s="2"/>
      <x:c r="I503" s="2"/>
    </x:row>
    <x:row r="504" ht="24" customHeight="1">
      <x:c r="A504" s="1"/>
      <x:c r="B504" s="17" t="str">
        <x:f>IF(ROW()-ROW($B$9)&lt;=$I$16,MIN($I$14,EDATE($I$15,(ROW()-ROW($B$9)-1)*$I$13)),"")</x:f>
      </x:c>
      <x:c r="C504" s="18" t="str">
        <x:f>IF(B504="","",IF(ROW()-ROW($B$9)=$I$16,ROUND(F503+D504,2),MIN($I$18,ROUND(F503+D504,2))))</x:f>
      </x:c>
      <x:c r="D504" s="18" t="str">
        <x:f>IF(B504="","",ROUND(IF($I$19="Факт / 365",F503*$I$12*(B504-B503)/$I$20,F503*$I$17),2))</x:f>
      </x:c>
      <x:c r="E504" s="18" t="str">
        <x:f>IF(B504="","",ROUND(C504-D504,2))</x:f>
      </x:c>
      <x:c r="F504" s="18" t="str">
        <x:f>IF(B504="","",ROUND(F503-E504,2))</x:f>
      </x:c>
      <x:c r="G504" s="2"/>
      <x:c r="H504" s="2"/>
      <x:c r="I504" s="2"/>
    </x:row>
    <x:row r="505" ht="24" customHeight="1">
      <x:c r="A505" s="1"/>
      <x:c r="B505" s="17" t="str">
        <x:f>IF(ROW()-ROW($B$9)&lt;=$I$16,MIN($I$14,EDATE($I$15,(ROW()-ROW($B$9)-1)*$I$13)),"")</x:f>
      </x:c>
      <x:c r="C505" s="18" t="str">
        <x:f>IF(B505="","",IF(ROW()-ROW($B$9)=$I$16,ROUND(F504+D505,2),MIN($I$18,ROUND(F504+D505,2))))</x:f>
      </x:c>
      <x:c r="D505" s="18" t="str">
        <x:f>IF(B505="","",ROUND(IF($I$19="Факт / 365",F504*$I$12*(B505-B504)/$I$20,F504*$I$17),2))</x:f>
      </x:c>
      <x:c r="E505" s="18" t="str">
        <x:f>IF(B505="","",ROUND(C505-D505,2))</x:f>
      </x:c>
      <x:c r="F505" s="18" t="str">
        <x:f>IF(B505="","",ROUND(F504-E505,2))</x:f>
      </x:c>
      <x:c r="G505" s="2"/>
      <x:c r="H505" s="2"/>
      <x:c r="I505" s="2"/>
    </x:row>
    <x:row r="506" ht="24" customHeight="1">
      <x:c r="A506" s="1"/>
      <x:c r="B506" s="17" t="str">
        <x:f>IF(ROW()-ROW($B$9)&lt;=$I$16,MIN($I$14,EDATE($I$15,(ROW()-ROW($B$9)-1)*$I$13)),"")</x:f>
      </x:c>
      <x:c r="C506" s="18" t="str">
        <x:f>IF(B506="","",IF(ROW()-ROW($B$9)=$I$16,ROUND(F505+D506,2),MIN($I$18,ROUND(F505+D506,2))))</x:f>
      </x:c>
      <x:c r="D506" s="18" t="str">
        <x:f>IF(B506="","",ROUND(IF($I$19="Факт / 365",F505*$I$12*(B506-B505)/$I$20,F505*$I$17),2))</x:f>
      </x:c>
      <x:c r="E506" s="18" t="str">
        <x:f>IF(B506="","",ROUND(C506-D506,2))</x:f>
      </x:c>
      <x:c r="F506" s="18" t="str">
        <x:f>IF(B506="","",ROUND(F505-E506,2))</x:f>
      </x:c>
      <x:c r="G506" s="2"/>
      <x:c r="H506" s="2"/>
      <x:c r="I506" s="2"/>
    </x:row>
    <x:row r="507" ht="24" customHeight="1">
      <x:c r="A507" s="1"/>
      <x:c r="B507" s="17" t="str">
        <x:f>IF(ROW()-ROW($B$9)&lt;=$I$16,MIN($I$14,EDATE($I$15,(ROW()-ROW($B$9)-1)*$I$13)),"")</x:f>
      </x:c>
      <x:c r="C507" s="18" t="str">
        <x:f>IF(B507="","",IF(ROW()-ROW($B$9)=$I$16,ROUND(F506+D507,2),MIN($I$18,ROUND(F506+D507,2))))</x:f>
      </x:c>
      <x:c r="D507" s="18" t="str">
        <x:f>IF(B507="","",ROUND(IF($I$19="Факт / 365",F506*$I$12*(B507-B506)/$I$20,F506*$I$17),2))</x:f>
      </x:c>
      <x:c r="E507" s="18" t="str">
        <x:f>IF(B507="","",ROUND(C507-D507,2))</x:f>
      </x:c>
      <x:c r="F507" s="18" t="str">
        <x:f>IF(B507="","",ROUND(F506-E507,2))</x:f>
      </x:c>
      <x:c r="G507" s="2"/>
      <x:c r="H507" s="2"/>
      <x:c r="I507" s="2"/>
    </x:row>
    <x:row r="508" ht="24" customHeight="1">
      <x:c r="A508" s="1"/>
      <x:c r="B508" s="17" t="str">
        <x:f>IF(ROW()-ROW($B$9)&lt;=$I$16,MIN($I$14,EDATE($I$15,(ROW()-ROW($B$9)-1)*$I$13)),"")</x:f>
      </x:c>
      <x:c r="C508" s="18" t="str">
        <x:f>IF(B508="","",IF(ROW()-ROW($B$9)=$I$16,ROUND(F507+D508,2),MIN($I$18,ROUND(F507+D508,2))))</x:f>
      </x:c>
      <x:c r="D508" s="18" t="str">
        <x:f>IF(B508="","",ROUND(IF($I$19="Факт / 365",F507*$I$12*(B508-B507)/$I$20,F507*$I$17),2))</x:f>
      </x:c>
      <x:c r="E508" s="18" t="str">
        <x:f>IF(B508="","",ROUND(C508-D508,2))</x:f>
      </x:c>
      <x:c r="F508" s="18" t="str">
        <x:f>IF(B508="","",ROUND(F507-E508,2))</x:f>
      </x:c>
      <x:c r="G508" s="2"/>
      <x:c r="H508" s="2"/>
      <x:c r="I508" s="2"/>
    </x:row>
    <x:row r="509" ht="24" customHeight="1">
      <x:c r="A509" s="1"/>
      <x:c r="B509" s="17" t="str">
        <x:f>IF(ROW()-ROW($B$9)&lt;=$I$16,MIN($I$14,EDATE($I$15,(ROW()-ROW($B$9)-1)*$I$13)),"")</x:f>
      </x:c>
      <x:c r="C509" s="18" t="str">
        <x:f>IF(B509="","",IF(ROW()-ROW($B$9)=$I$16,ROUND(F508+D509,2),MIN($I$18,ROUND(F508+D509,2))))</x:f>
      </x:c>
      <x:c r="D509" s="18" t="str">
        <x:f>IF(B509="","",ROUND(IF($I$19="Факт / 365",F508*$I$12*(B509-B508)/$I$20,F508*$I$17),2))</x:f>
      </x:c>
      <x:c r="E509" s="18" t="str">
        <x:f>IF(B509="","",ROUND(C509-D509,2))</x:f>
      </x:c>
      <x:c r="F509" s="18" t="str">
        <x:f>IF(B509="","",ROUND(F508-E509,2))</x:f>
      </x:c>
      <x:c r="G509" s="2"/>
      <x:c r="H509" s="2"/>
      <x:c r="I509" s="2"/>
    </x:row>
    <x:row r="510" ht="24" customHeight="1">
      <x:c r="A510" s="1"/>
      <x:c r="B510" s="17" t="str">
        <x:f>IF(ROW()-ROW($B$9)&lt;=$I$16,MIN($I$14,EDATE($I$15,(ROW()-ROW($B$9)-1)*$I$13)),"")</x:f>
      </x:c>
      <x:c r="C510" s="18" t="str">
        <x:f>IF(B510="","",IF(ROW()-ROW($B$9)=$I$16,ROUND(F509+D510,2),MIN($I$18,ROUND(F509+D510,2))))</x:f>
      </x:c>
      <x:c r="D510" s="18" t="str">
        <x:f>IF(B510="","",ROUND(IF($I$19="Факт / 365",F509*$I$12*(B510-B509)/$I$20,F509*$I$17),2))</x:f>
      </x:c>
      <x:c r="E510" s="18" t="str">
        <x:f>IF(B510="","",ROUND(C510-D510,2))</x:f>
      </x:c>
      <x:c r="F510" s="18" t="str">
        <x:f>IF(B510="","",ROUND(F509-E510,2))</x:f>
      </x:c>
      <x:c r="G510" s="2"/>
      <x:c r="H510" s="2"/>
      <x:c r="I510" s="2"/>
    </x:row>
    <x:row r="511" ht="24" customHeight="1">
      <x:c r="A511" s="1"/>
      <x:c r="B511" s="17" t="str">
        <x:f>IF(ROW()-ROW($B$9)&lt;=$I$16,MIN($I$14,EDATE($I$15,(ROW()-ROW($B$9)-1)*$I$13)),"")</x:f>
      </x:c>
      <x:c r="C511" s="18" t="str">
        <x:f>IF(B511="","",IF(ROW()-ROW($B$9)=$I$16,ROUND(F510+D511,2),MIN($I$18,ROUND(F510+D511,2))))</x:f>
      </x:c>
      <x:c r="D511" s="18" t="str">
        <x:f>IF(B511="","",ROUND(IF($I$19="Факт / 365",F510*$I$12*(B511-B510)/$I$20,F510*$I$17),2))</x:f>
      </x:c>
      <x:c r="E511" s="18" t="str">
        <x:f>IF(B511="","",ROUND(C511-D511,2))</x:f>
      </x:c>
      <x:c r="F511" s="18" t="str">
        <x:f>IF(B511="","",ROUND(F510-E511,2))</x:f>
      </x:c>
      <x:c r="G511" s="2"/>
      <x:c r="H511" s="2"/>
      <x:c r="I511" s="2"/>
    </x:row>
    <x:row r="512" ht="24" customHeight="1">
      <x:c r="A512" s="1"/>
      <x:c r="B512" s="17" t="str">
        <x:f>IF(ROW()-ROW($B$9)&lt;=$I$16,MIN($I$14,EDATE($I$15,(ROW()-ROW($B$9)-1)*$I$13)),"")</x:f>
      </x:c>
      <x:c r="C512" s="18" t="str">
        <x:f>IF(B512="","",IF(ROW()-ROW($B$9)=$I$16,ROUND(F511+D512,2),MIN($I$18,ROUND(F511+D512,2))))</x:f>
      </x:c>
      <x:c r="D512" s="18" t="str">
        <x:f>IF(B512="","",ROUND(IF($I$19="Факт / 365",F511*$I$12*(B512-B511)/$I$20,F511*$I$17),2))</x:f>
      </x:c>
      <x:c r="E512" s="18" t="str">
        <x:f>IF(B512="","",ROUND(C512-D512,2))</x:f>
      </x:c>
      <x:c r="F512" s="18" t="str">
        <x:f>IF(B512="","",ROUND(F511-E512,2))</x:f>
      </x:c>
      <x:c r="G512" s="2"/>
      <x:c r="H512" s="2"/>
      <x:c r="I512" s="2"/>
    </x:row>
    <x:row r="513" ht="24" customHeight="1">
      <x:c r="A513" s="1"/>
      <x:c r="B513" s="17" t="str">
        <x:f>IF(ROW()-ROW($B$9)&lt;=$I$16,MIN($I$14,EDATE($I$15,(ROW()-ROW($B$9)-1)*$I$13)),"")</x:f>
      </x:c>
      <x:c r="C513" s="18" t="str">
        <x:f>IF(B513="","",IF(ROW()-ROW($B$9)=$I$16,ROUND(F512+D513,2),MIN($I$18,ROUND(F512+D513,2))))</x:f>
      </x:c>
      <x:c r="D513" s="18" t="str">
        <x:f>IF(B513="","",ROUND(IF($I$19="Факт / 365",F512*$I$12*(B513-B512)/$I$20,F512*$I$17),2))</x:f>
      </x:c>
      <x:c r="E513" s="18" t="str">
        <x:f>IF(B513="","",ROUND(C513-D513,2))</x:f>
      </x:c>
      <x:c r="F513" s="18" t="str">
        <x:f>IF(B513="","",ROUND(F512-E513,2))</x:f>
      </x:c>
      <x:c r="G513" s="2"/>
      <x:c r="H513" s="2"/>
      <x:c r="I513" s="2"/>
    </x:row>
    <x:row r="514" ht="24" customHeight="1">
      <x:c r="A514" s="1"/>
      <x:c r="B514" s="17" t="str">
        <x:f>IF(ROW()-ROW($B$9)&lt;=$I$16,MIN($I$14,EDATE($I$15,(ROW()-ROW($B$9)-1)*$I$13)),"")</x:f>
      </x:c>
      <x:c r="C514" s="18" t="str">
        <x:f>IF(B514="","",IF(ROW()-ROW($B$9)=$I$16,ROUND(F513+D514,2),MIN($I$18,ROUND(F513+D514,2))))</x:f>
      </x:c>
      <x:c r="D514" s="18" t="str">
        <x:f>IF(B514="","",ROUND(IF($I$19="Факт / 365",F513*$I$12*(B514-B513)/$I$20,F513*$I$17),2))</x:f>
      </x:c>
      <x:c r="E514" s="18" t="str">
        <x:f>IF(B514="","",ROUND(C514-D514,2))</x:f>
      </x:c>
      <x:c r="F514" s="18" t="str">
        <x:f>IF(B514="","",ROUND(F513-E514,2))</x:f>
      </x:c>
      <x:c r="G514" s="2"/>
      <x:c r="H514" s="2"/>
      <x:c r="I514" s="2"/>
    </x:row>
    <x:row r="515" ht="24" customHeight="1">
      <x:c r="A515" s="1"/>
      <x:c r="B515" s="17" t="str">
        <x:f>IF(ROW()-ROW($B$9)&lt;=$I$16,MIN($I$14,EDATE($I$15,(ROW()-ROW($B$9)-1)*$I$13)),"")</x:f>
      </x:c>
      <x:c r="C515" s="18" t="str">
        <x:f>IF(B515="","",IF(ROW()-ROW($B$9)=$I$16,ROUND(F514+D515,2),MIN($I$18,ROUND(F514+D515,2))))</x:f>
      </x:c>
      <x:c r="D515" s="18" t="str">
        <x:f>IF(B515="","",ROUND(IF($I$19="Факт / 365",F514*$I$12*(B515-B514)/$I$20,F514*$I$17),2))</x:f>
      </x:c>
      <x:c r="E515" s="18" t="str">
        <x:f>IF(B515="","",ROUND(C515-D515,2))</x:f>
      </x:c>
      <x:c r="F515" s="18" t="str">
        <x:f>IF(B515="","",ROUND(F514-E515,2))</x:f>
      </x:c>
      <x:c r="G515" s="2"/>
      <x:c r="H515" s="2"/>
      <x:c r="I515" s="2"/>
    </x:row>
    <x:row r="516" ht="24" customHeight="1">
      <x:c r="A516" s="1"/>
      <x:c r="B516" s="17" t="str">
        <x:f>IF(ROW()-ROW($B$9)&lt;=$I$16,MIN($I$14,EDATE($I$15,(ROW()-ROW($B$9)-1)*$I$13)),"")</x:f>
      </x:c>
      <x:c r="C516" s="18" t="str">
        <x:f>IF(B516="","",IF(ROW()-ROW($B$9)=$I$16,ROUND(F515+D516,2),MIN($I$18,ROUND(F515+D516,2))))</x:f>
      </x:c>
      <x:c r="D516" s="18" t="str">
        <x:f>IF(B516="","",ROUND(IF($I$19="Факт / 365",F515*$I$12*(B516-B515)/$I$20,F515*$I$17),2))</x:f>
      </x:c>
      <x:c r="E516" s="18" t="str">
        <x:f>IF(B516="","",ROUND(C516-D516,2))</x:f>
      </x:c>
      <x:c r="F516" s="18" t="str">
        <x:f>IF(B516="","",ROUND(F515-E516,2))</x:f>
      </x:c>
      <x:c r="G516" s="2"/>
      <x:c r="H516" s="2"/>
      <x:c r="I516" s="2"/>
    </x:row>
    <x:row r="517" ht="24" customHeight="1">
      <x:c r="A517" s="1"/>
      <x:c r="B517" s="17" t="str">
        <x:f>IF(ROW()-ROW($B$9)&lt;=$I$16,MIN($I$14,EDATE($I$15,(ROW()-ROW($B$9)-1)*$I$13)),"")</x:f>
      </x:c>
      <x:c r="C517" s="18" t="str">
        <x:f>IF(B517="","",IF(ROW()-ROW($B$9)=$I$16,ROUND(F516+D517,2),MIN($I$18,ROUND(F516+D517,2))))</x:f>
      </x:c>
      <x:c r="D517" s="18" t="str">
        <x:f>IF(B517="","",ROUND(IF($I$19="Факт / 365",F516*$I$12*(B517-B516)/$I$20,F516*$I$17),2))</x:f>
      </x:c>
      <x:c r="E517" s="18" t="str">
        <x:f>IF(B517="","",ROUND(C517-D517,2))</x:f>
      </x:c>
      <x:c r="F517" s="18" t="str">
        <x:f>IF(B517="","",ROUND(F516-E517,2))</x:f>
      </x:c>
      <x:c r="G517" s="2"/>
      <x:c r="H517" s="2"/>
      <x:c r="I517" s="2"/>
    </x:row>
    <x:row r="518" ht="24" customHeight="1">
      <x:c r="A518" s="1"/>
      <x:c r="B518" s="17" t="str">
        <x:f>IF(ROW()-ROW($B$9)&lt;=$I$16,MIN($I$14,EDATE($I$15,(ROW()-ROW($B$9)-1)*$I$13)),"")</x:f>
      </x:c>
      <x:c r="C518" s="18" t="str">
        <x:f>IF(B518="","",IF(ROW()-ROW($B$9)=$I$16,ROUND(F517+D518,2),MIN($I$18,ROUND(F517+D518,2))))</x:f>
      </x:c>
      <x:c r="D518" s="18" t="str">
        <x:f>IF(B518="","",ROUND(IF($I$19="Факт / 365",F517*$I$12*(B518-B517)/$I$20,F517*$I$17),2))</x:f>
      </x:c>
      <x:c r="E518" s="18" t="str">
        <x:f>IF(B518="","",ROUND(C518-D518,2))</x:f>
      </x:c>
      <x:c r="F518" s="18" t="str">
        <x:f>IF(B518="","",ROUND(F517-E518,2))</x:f>
      </x:c>
      <x:c r="G518" s="2"/>
      <x:c r="H518" s="2"/>
      <x:c r="I518" s="2"/>
    </x:row>
    <x:row r="519" ht="24" customHeight="1">
      <x:c r="A519" s="1"/>
      <x:c r="B519" s="17" t="str">
        <x:f>IF(ROW()-ROW($B$9)&lt;=$I$16,MIN($I$14,EDATE($I$15,(ROW()-ROW($B$9)-1)*$I$13)),"")</x:f>
      </x:c>
      <x:c r="C519" s="18" t="str">
        <x:f>IF(B519="","",IF(ROW()-ROW($B$9)=$I$16,ROUND(F518+D519,2),MIN($I$18,ROUND(F518+D519,2))))</x:f>
      </x:c>
      <x:c r="D519" s="18" t="str">
        <x:f>IF(B519="","",ROUND(IF($I$19="Факт / 365",F518*$I$12*(B519-B518)/$I$20,F518*$I$17),2))</x:f>
      </x:c>
      <x:c r="E519" s="18" t="str">
        <x:f>IF(B519="","",ROUND(C519-D519,2))</x:f>
      </x:c>
      <x:c r="F519" s="18" t="str">
        <x:f>IF(B519="","",ROUND(F518-E519,2))</x:f>
      </x:c>
      <x:c r="G519" s="2"/>
      <x:c r="H519" s="2"/>
      <x:c r="I519" s="2"/>
    </x:row>
    <x:row r="520" ht="24" customHeight="1">
      <x:c r="A520" s="1"/>
      <x:c r="B520" s="17" t="str">
        <x:f>IF(ROW()-ROW($B$9)&lt;=$I$16,MIN($I$14,EDATE($I$15,(ROW()-ROW($B$9)-1)*$I$13)),"")</x:f>
      </x:c>
      <x:c r="C520" s="18" t="str">
        <x:f>IF(B520="","",IF(ROW()-ROW($B$9)=$I$16,ROUND(F519+D520,2),MIN($I$18,ROUND(F519+D520,2))))</x:f>
      </x:c>
      <x:c r="D520" s="18" t="str">
        <x:f>IF(B520="","",ROUND(IF($I$19="Факт / 365",F519*$I$12*(B520-B519)/$I$20,F519*$I$17),2))</x:f>
      </x:c>
      <x:c r="E520" s="18" t="str">
        <x:f>IF(B520="","",ROUND(C520-D520,2))</x:f>
      </x:c>
      <x:c r="F520" s="18" t="str">
        <x:f>IF(B520="","",ROUND(F519-E520,2))</x:f>
      </x:c>
      <x:c r="G520" s="2"/>
      <x:c r="H520" s="2"/>
      <x:c r="I520" s="2"/>
    </x:row>
    <x:row r="521" ht="24" customHeight="1">
      <x:c r="A521" s="1"/>
      <x:c r="B521" s="17" t="str">
        <x:f>IF(ROW()-ROW($B$9)&lt;=$I$16,MIN($I$14,EDATE($I$15,(ROW()-ROW($B$9)-1)*$I$13)),"")</x:f>
      </x:c>
      <x:c r="C521" s="18" t="str">
        <x:f>IF(B521="","",IF(ROW()-ROW($B$9)=$I$16,ROUND(F520+D521,2),MIN($I$18,ROUND(F520+D521,2))))</x:f>
      </x:c>
      <x:c r="D521" s="18" t="str">
        <x:f>IF(B521="","",ROUND(IF($I$19="Факт / 365",F520*$I$12*(B521-B520)/$I$20,F520*$I$17),2))</x:f>
      </x:c>
      <x:c r="E521" s="18" t="str">
        <x:f>IF(B521="","",ROUND(C521-D521,2))</x:f>
      </x:c>
      <x:c r="F521" s="18" t="str">
        <x:f>IF(B521="","",ROUND(F520-E521,2))</x:f>
      </x:c>
      <x:c r="G521" s="2"/>
      <x:c r="H521" s="2"/>
      <x:c r="I521" s="2"/>
    </x:row>
    <x:row r="522" ht="24" customHeight="1">
      <x:c r="A522" s="1"/>
      <x:c r="B522" s="17" t="str">
        <x:f>IF(ROW()-ROW($B$9)&lt;=$I$16,MIN($I$14,EDATE($I$15,(ROW()-ROW($B$9)-1)*$I$13)),"")</x:f>
      </x:c>
      <x:c r="C522" s="18" t="str">
        <x:f>IF(B522="","",IF(ROW()-ROW($B$9)=$I$16,ROUND(F521+D522,2),MIN($I$18,ROUND(F521+D522,2))))</x:f>
      </x:c>
      <x:c r="D522" s="18" t="str">
        <x:f>IF(B522="","",ROUND(IF($I$19="Факт / 365",F521*$I$12*(B522-B521)/$I$20,F521*$I$17),2))</x:f>
      </x:c>
      <x:c r="E522" s="18" t="str">
        <x:f>IF(B522="","",ROUND(C522-D522,2))</x:f>
      </x:c>
      <x:c r="F522" s="18" t="str">
        <x:f>IF(B522="","",ROUND(F521-E522,2))</x:f>
      </x:c>
      <x:c r="G522" s="2"/>
      <x:c r="H522" s="2"/>
      <x:c r="I522" s="2"/>
    </x:row>
    <x:row r="523" ht="24" customHeight="1">
      <x:c r="A523" s="1"/>
      <x:c r="B523" s="17" t="str">
        <x:f>IF(ROW()-ROW($B$9)&lt;=$I$16,MIN($I$14,EDATE($I$15,(ROW()-ROW($B$9)-1)*$I$13)),"")</x:f>
      </x:c>
      <x:c r="C523" s="18" t="str">
        <x:f>IF(B523="","",IF(ROW()-ROW($B$9)=$I$16,ROUND(F522+D523,2),MIN($I$18,ROUND(F522+D523,2))))</x:f>
      </x:c>
      <x:c r="D523" s="18" t="str">
        <x:f>IF(B523="","",ROUND(IF($I$19="Факт / 365",F522*$I$12*(B523-B522)/$I$20,F522*$I$17),2))</x:f>
      </x:c>
      <x:c r="E523" s="18" t="str">
        <x:f>IF(B523="","",ROUND(C523-D523,2))</x:f>
      </x:c>
      <x:c r="F523" s="18" t="str">
        <x:f>IF(B523="","",ROUND(F522-E523,2))</x:f>
      </x:c>
      <x:c r="G523" s="2"/>
      <x:c r="H523" s="2"/>
      <x:c r="I523" s="2"/>
    </x:row>
    <x:row r="524" ht="24" customHeight="1">
      <x:c r="A524" s="1"/>
      <x:c r="B524" s="17" t="str">
        <x:f>IF(ROW()-ROW($B$9)&lt;=$I$16,MIN($I$14,EDATE($I$15,(ROW()-ROW($B$9)-1)*$I$13)),"")</x:f>
      </x:c>
      <x:c r="C524" s="18" t="str">
        <x:f>IF(B524="","",IF(ROW()-ROW($B$9)=$I$16,ROUND(F523+D524,2),MIN($I$18,ROUND(F523+D524,2))))</x:f>
      </x:c>
      <x:c r="D524" s="18" t="str">
        <x:f>IF(B524="","",ROUND(IF($I$19="Факт / 365",F523*$I$12*(B524-B523)/$I$20,F523*$I$17),2))</x:f>
      </x:c>
      <x:c r="E524" s="18" t="str">
        <x:f>IF(B524="","",ROUND(C524-D524,2))</x:f>
      </x:c>
      <x:c r="F524" s="18" t="str">
        <x:f>IF(B524="","",ROUND(F523-E524,2))</x:f>
      </x:c>
      <x:c r="G524" s="2"/>
      <x:c r="H524" s="2"/>
      <x:c r="I524" s="2"/>
    </x:row>
    <x:row r="525" ht="24" customHeight="1">
      <x:c r="A525" s="1"/>
      <x:c r="B525" s="17" t="str">
        <x:f>IF(ROW()-ROW($B$9)&lt;=$I$16,MIN($I$14,EDATE($I$15,(ROW()-ROW($B$9)-1)*$I$13)),"")</x:f>
      </x:c>
      <x:c r="C525" s="18" t="str">
        <x:f>IF(B525="","",IF(ROW()-ROW($B$9)=$I$16,ROUND(F524+D525,2),MIN($I$18,ROUND(F524+D525,2))))</x:f>
      </x:c>
      <x:c r="D525" s="18" t="str">
        <x:f>IF(B525="","",ROUND(IF($I$19="Факт / 365",F524*$I$12*(B525-B524)/$I$20,F524*$I$17),2))</x:f>
      </x:c>
      <x:c r="E525" s="18" t="str">
        <x:f>IF(B525="","",ROUND(C525-D525,2))</x:f>
      </x:c>
      <x:c r="F525" s="18" t="str">
        <x:f>IF(B525="","",ROUND(F524-E525,2))</x:f>
      </x:c>
      <x:c r="G525" s="2"/>
      <x:c r="H525" s="2"/>
      <x:c r="I525" s="2"/>
    </x:row>
    <x:row r="526" ht="24" customHeight="1">
      <x:c r="A526" s="1"/>
      <x:c r="B526" s="17" t="str">
        <x:f>IF(ROW()-ROW($B$9)&lt;=$I$16,MIN($I$14,EDATE($I$15,(ROW()-ROW($B$9)-1)*$I$13)),"")</x:f>
      </x:c>
      <x:c r="C526" s="18" t="str">
        <x:f>IF(B526="","",IF(ROW()-ROW($B$9)=$I$16,ROUND(F525+D526,2),MIN($I$18,ROUND(F525+D526,2))))</x:f>
      </x:c>
      <x:c r="D526" s="18" t="str">
        <x:f>IF(B526="","",ROUND(IF($I$19="Факт / 365",F525*$I$12*(B526-B525)/$I$20,F525*$I$17),2))</x:f>
      </x:c>
      <x:c r="E526" s="18" t="str">
        <x:f>IF(B526="","",ROUND(C526-D526,2))</x:f>
      </x:c>
      <x:c r="F526" s="18" t="str">
        <x:f>IF(B526="","",ROUND(F525-E526,2))</x:f>
      </x:c>
      <x:c r="G526" s="2"/>
      <x:c r="H526" s="2"/>
      <x:c r="I526" s="2"/>
    </x:row>
    <x:row r="527" ht="24" customHeight="1">
      <x:c r="A527" s="1"/>
      <x:c r="B527" s="17" t="str">
        <x:f>IF(ROW()-ROW($B$9)&lt;=$I$16,MIN($I$14,EDATE($I$15,(ROW()-ROW($B$9)-1)*$I$13)),"")</x:f>
      </x:c>
      <x:c r="C527" s="18" t="str">
        <x:f>IF(B527="","",IF(ROW()-ROW($B$9)=$I$16,ROUND(F526+D527,2),MIN($I$18,ROUND(F526+D527,2))))</x:f>
      </x:c>
      <x:c r="D527" s="18" t="str">
        <x:f>IF(B527="","",ROUND(IF($I$19="Факт / 365",F526*$I$12*(B527-B526)/$I$20,F526*$I$17),2))</x:f>
      </x:c>
      <x:c r="E527" s="18" t="str">
        <x:f>IF(B527="","",ROUND(C527-D527,2))</x:f>
      </x:c>
      <x:c r="F527" s="18" t="str">
        <x:f>IF(B527="","",ROUND(F526-E527,2))</x:f>
      </x:c>
      <x:c r="G527" s="2"/>
      <x:c r="H527" s="2"/>
      <x:c r="I527" s="2"/>
    </x:row>
    <x:row r="528" ht="24" customHeight="1">
      <x:c r="A528" s="1"/>
      <x:c r="B528" s="17" t="str">
        <x:f>IF(ROW()-ROW($B$9)&lt;=$I$16,MIN($I$14,EDATE($I$15,(ROW()-ROW($B$9)-1)*$I$13)),"")</x:f>
      </x:c>
      <x:c r="C528" s="18" t="str">
        <x:f>IF(B528="","",IF(ROW()-ROW($B$9)=$I$16,ROUND(F527+D528,2),MIN($I$18,ROUND(F527+D528,2))))</x:f>
      </x:c>
      <x:c r="D528" s="18" t="str">
        <x:f>IF(B528="","",ROUND(IF($I$19="Факт / 365",F527*$I$12*(B528-B527)/$I$20,F527*$I$17),2))</x:f>
      </x:c>
      <x:c r="E528" s="18" t="str">
        <x:f>IF(B528="","",ROUND(C528-D528,2))</x:f>
      </x:c>
      <x:c r="F528" s="18" t="str">
        <x:f>IF(B528="","",ROUND(F527-E528,2))</x:f>
      </x:c>
      <x:c r="G528" s="2"/>
      <x:c r="H528" s="2"/>
      <x:c r="I528" s="2"/>
    </x:row>
    <x:row r="529" ht="24" customHeight="1">
      <x:c r="A529" s="1"/>
      <x:c r="B529" s="17" t="str">
        <x:f>IF(ROW()-ROW($B$9)&lt;=$I$16,MIN($I$14,EDATE($I$15,(ROW()-ROW($B$9)-1)*$I$13)),"")</x:f>
      </x:c>
      <x:c r="C529" s="18" t="str">
        <x:f>IF(B529="","",IF(ROW()-ROW($B$9)=$I$16,ROUND(F528+D529,2),MIN($I$18,ROUND(F528+D529,2))))</x:f>
      </x:c>
      <x:c r="D529" s="18" t="str">
        <x:f>IF(B529="","",ROUND(IF($I$19="Факт / 365",F528*$I$12*(B529-B528)/$I$20,F528*$I$17),2))</x:f>
      </x:c>
      <x:c r="E529" s="18" t="str">
        <x:f>IF(B529="","",ROUND(C529-D529,2))</x:f>
      </x:c>
      <x:c r="F529" s="18" t="str">
        <x:f>IF(B529="","",ROUND(F528-E529,2))</x:f>
      </x:c>
      <x:c r="G529" s="2"/>
      <x:c r="H529" s="2"/>
      <x:c r="I529" s="2"/>
    </x:row>
    <x:row r="530" ht="24" customHeight="1">
      <x:c r="A530" s="1"/>
      <x:c r="B530" s="17" t="str">
        <x:f>IF(ROW()-ROW($B$9)&lt;=$I$16,MIN($I$14,EDATE($I$15,(ROW()-ROW($B$9)-1)*$I$13)),"")</x:f>
      </x:c>
      <x:c r="C530" s="18" t="str">
        <x:f>IF(B530="","",IF(ROW()-ROW($B$9)=$I$16,ROUND(F529+D530,2),MIN($I$18,ROUND(F529+D530,2))))</x:f>
      </x:c>
      <x:c r="D530" s="18" t="str">
        <x:f>IF(B530="","",ROUND(IF($I$19="Факт / 365",F529*$I$12*(B530-B529)/$I$20,F529*$I$17),2))</x:f>
      </x:c>
      <x:c r="E530" s="18" t="str">
        <x:f>IF(B530="","",ROUND(C530-D530,2))</x:f>
      </x:c>
      <x:c r="F530" s="18" t="str">
        <x:f>IF(B530="","",ROUND(F529-E530,2))</x:f>
      </x:c>
      <x:c r="G530" s="2"/>
      <x:c r="H530" s="2"/>
      <x:c r="I530" s="2"/>
    </x:row>
    <x:row r="531" ht="24" customHeight="1">
      <x:c r="A531" s="1"/>
      <x:c r="B531" s="17" t="str">
        <x:f>IF(ROW()-ROW($B$9)&lt;=$I$16,MIN($I$14,EDATE($I$15,(ROW()-ROW($B$9)-1)*$I$13)),"")</x:f>
      </x:c>
      <x:c r="C531" s="18" t="str">
        <x:f>IF(B531="","",IF(ROW()-ROW($B$9)=$I$16,ROUND(F530+D531,2),MIN($I$18,ROUND(F530+D531,2))))</x:f>
      </x:c>
      <x:c r="D531" s="18" t="str">
        <x:f>IF(B531="","",ROUND(IF($I$19="Факт / 365",F530*$I$12*(B531-B530)/$I$20,F530*$I$17),2))</x:f>
      </x:c>
      <x:c r="E531" s="18" t="str">
        <x:f>IF(B531="","",ROUND(C531-D531,2))</x:f>
      </x:c>
      <x:c r="F531" s="18" t="str">
        <x:f>IF(B531="","",ROUND(F530-E531,2))</x:f>
      </x:c>
      <x:c r="G531" s="2"/>
      <x:c r="H531" s="2"/>
      <x:c r="I531" s="2"/>
    </x:row>
    <x:row r="532" ht="24" customHeight="1">
      <x:c r="A532" s="1"/>
      <x:c r="B532" s="17" t="str">
        <x:f>IF(ROW()-ROW($B$9)&lt;=$I$16,MIN($I$14,EDATE($I$15,(ROW()-ROW($B$9)-1)*$I$13)),"")</x:f>
      </x:c>
      <x:c r="C532" s="18" t="str">
        <x:f>IF(B532="","",IF(ROW()-ROW($B$9)=$I$16,ROUND(F531+D532,2),MIN($I$18,ROUND(F531+D532,2))))</x:f>
      </x:c>
      <x:c r="D532" s="18" t="str">
        <x:f>IF(B532="","",ROUND(IF($I$19="Факт / 365",F531*$I$12*(B532-B531)/$I$20,F531*$I$17),2))</x:f>
      </x:c>
      <x:c r="E532" s="18" t="str">
        <x:f>IF(B532="","",ROUND(C532-D532,2))</x:f>
      </x:c>
      <x:c r="F532" s="18" t="str">
        <x:f>IF(B532="","",ROUND(F531-E532,2))</x:f>
      </x:c>
      <x:c r="G532" s="2"/>
      <x:c r="H532" s="2"/>
      <x:c r="I532" s="2"/>
    </x:row>
    <x:row r="533" ht="24" customHeight="1">
      <x:c r="A533" s="1"/>
      <x:c r="B533" s="17" t="str">
        <x:f>IF(ROW()-ROW($B$9)&lt;=$I$16,MIN($I$14,EDATE($I$15,(ROW()-ROW($B$9)-1)*$I$13)),"")</x:f>
      </x:c>
      <x:c r="C533" s="18" t="str">
        <x:f>IF(B533="","",IF(ROW()-ROW($B$9)=$I$16,ROUND(F532+D533,2),MIN($I$18,ROUND(F532+D533,2))))</x:f>
      </x:c>
      <x:c r="D533" s="18" t="str">
        <x:f>IF(B533="","",ROUND(IF($I$19="Факт / 365",F532*$I$12*(B533-B532)/$I$20,F532*$I$17),2))</x:f>
      </x:c>
      <x:c r="E533" s="18" t="str">
        <x:f>IF(B533="","",ROUND(C533-D533,2))</x:f>
      </x:c>
      <x:c r="F533" s="18" t="str">
        <x:f>IF(B533="","",ROUND(F532-E533,2))</x:f>
      </x:c>
      <x:c r="G533" s="2"/>
      <x:c r="H533" s="2"/>
      <x:c r="I533" s="2"/>
    </x:row>
    <x:row r="534" ht="24" customHeight="1">
      <x:c r="A534" s="1"/>
      <x:c r="B534" s="17" t="str">
        <x:f>IF(ROW()-ROW($B$9)&lt;=$I$16,MIN($I$14,EDATE($I$15,(ROW()-ROW($B$9)-1)*$I$13)),"")</x:f>
      </x:c>
      <x:c r="C534" s="18" t="str">
        <x:f>IF(B534="","",IF(ROW()-ROW($B$9)=$I$16,ROUND(F533+D534,2),MIN($I$18,ROUND(F533+D534,2))))</x:f>
      </x:c>
      <x:c r="D534" s="18" t="str">
        <x:f>IF(B534="","",ROUND(IF($I$19="Факт / 365",F533*$I$12*(B534-B533)/$I$20,F533*$I$17),2))</x:f>
      </x:c>
      <x:c r="E534" s="18" t="str">
        <x:f>IF(B534="","",ROUND(C534-D534,2))</x:f>
      </x:c>
      <x:c r="F534" s="18" t="str">
        <x:f>IF(B534="","",ROUND(F533-E534,2))</x:f>
      </x:c>
      <x:c r="G534" s="2"/>
      <x:c r="H534" s="2"/>
      <x:c r="I534" s="2"/>
    </x:row>
    <x:row r="535" ht="24" customHeight="1">
      <x:c r="A535" s="1"/>
      <x:c r="B535" s="17" t="str">
        <x:f>IF(ROW()-ROW($B$9)&lt;=$I$16,MIN($I$14,EDATE($I$15,(ROW()-ROW($B$9)-1)*$I$13)),"")</x:f>
      </x:c>
      <x:c r="C535" s="18" t="str">
        <x:f>IF(B535="","",IF(ROW()-ROW($B$9)=$I$16,ROUND(F534+D535,2),MIN($I$18,ROUND(F534+D535,2))))</x:f>
      </x:c>
      <x:c r="D535" s="18" t="str">
        <x:f>IF(B535="","",ROUND(IF($I$19="Факт / 365",F534*$I$12*(B535-B534)/$I$20,F534*$I$17),2))</x:f>
      </x:c>
      <x:c r="E535" s="18" t="str">
        <x:f>IF(B535="","",ROUND(C535-D535,2))</x:f>
      </x:c>
      <x:c r="F535" s="18" t="str">
        <x:f>IF(B535="","",ROUND(F534-E535,2))</x:f>
      </x:c>
      <x:c r="G535" s="2"/>
      <x:c r="H535" s="2"/>
      <x:c r="I535" s="2"/>
    </x:row>
    <x:row r="536" ht="24" customHeight="1">
      <x:c r="A536" s="1"/>
      <x:c r="B536" s="17" t="str">
        <x:f>IF(ROW()-ROW($B$9)&lt;=$I$16,MIN($I$14,EDATE($I$15,(ROW()-ROW($B$9)-1)*$I$13)),"")</x:f>
      </x:c>
      <x:c r="C536" s="18" t="str">
        <x:f>IF(B536="","",IF(ROW()-ROW($B$9)=$I$16,ROUND(F535+D536,2),MIN($I$18,ROUND(F535+D536,2))))</x:f>
      </x:c>
      <x:c r="D536" s="18" t="str">
        <x:f>IF(B536="","",ROUND(IF($I$19="Факт / 365",F535*$I$12*(B536-B535)/$I$20,F535*$I$17),2))</x:f>
      </x:c>
      <x:c r="E536" s="18" t="str">
        <x:f>IF(B536="","",ROUND(C536-D536,2))</x:f>
      </x:c>
      <x:c r="F536" s="18" t="str">
        <x:f>IF(B536="","",ROUND(F535-E536,2))</x:f>
      </x:c>
      <x:c r="G536" s="2"/>
      <x:c r="H536" s="2"/>
      <x:c r="I536" s="2"/>
    </x:row>
    <x:row r="537" ht="24" customHeight="1">
      <x:c r="A537" s="1"/>
      <x:c r="B537" s="17" t="str">
        <x:f>IF(ROW()-ROW($B$9)&lt;=$I$16,MIN($I$14,EDATE($I$15,(ROW()-ROW($B$9)-1)*$I$13)),"")</x:f>
      </x:c>
      <x:c r="C537" s="18" t="str">
        <x:f>IF(B537="","",IF(ROW()-ROW($B$9)=$I$16,ROUND(F536+D537,2),MIN($I$18,ROUND(F536+D537,2))))</x:f>
      </x:c>
      <x:c r="D537" s="18" t="str">
        <x:f>IF(B537="","",ROUND(IF($I$19="Факт / 365",F536*$I$12*(B537-B536)/$I$20,F536*$I$17),2))</x:f>
      </x:c>
      <x:c r="E537" s="18" t="str">
        <x:f>IF(B537="","",ROUND(C537-D537,2))</x:f>
      </x:c>
      <x:c r="F537" s="18" t="str">
        <x:f>IF(B537="","",ROUND(F536-E537,2))</x:f>
      </x:c>
      <x:c r="G537" s="2"/>
      <x:c r="H537" s="2"/>
      <x:c r="I537" s="2"/>
    </x:row>
    <x:row r="538" ht="24" customHeight="1">
      <x:c r="A538" s="1"/>
      <x:c r="B538" s="17" t="str">
        <x:f>IF(ROW()-ROW($B$9)&lt;=$I$16,MIN($I$14,EDATE($I$15,(ROW()-ROW($B$9)-1)*$I$13)),"")</x:f>
      </x:c>
      <x:c r="C538" s="18" t="str">
        <x:f>IF(B538="","",IF(ROW()-ROW($B$9)=$I$16,ROUND(F537+D538,2),MIN($I$18,ROUND(F537+D538,2))))</x:f>
      </x:c>
      <x:c r="D538" s="18" t="str">
        <x:f>IF(B538="","",ROUND(IF($I$19="Факт / 365",F537*$I$12*(B538-B537)/$I$20,F537*$I$17),2))</x:f>
      </x:c>
      <x:c r="E538" s="18" t="str">
        <x:f>IF(B538="","",ROUND(C538-D538,2))</x:f>
      </x:c>
      <x:c r="F538" s="18" t="str">
        <x:f>IF(B538="","",ROUND(F537-E538,2))</x:f>
      </x:c>
      <x:c r="G538" s="2"/>
      <x:c r="H538" s="2"/>
      <x:c r="I538" s="2"/>
    </x:row>
    <x:row r="539" ht="24" customHeight="1">
      <x:c r="A539" s="1"/>
      <x:c r="B539" s="17" t="str">
        <x:f>IF(ROW()-ROW($B$9)&lt;=$I$16,MIN($I$14,EDATE($I$15,(ROW()-ROW($B$9)-1)*$I$13)),"")</x:f>
      </x:c>
      <x:c r="C539" s="18" t="str">
        <x:f>IF(B539="","",IF(ROW()-ROW($B$9)=$I$16,ROUND(F538+D539,2),MIN($I$18,ROUND(F538+D539,2))))</x:f>
      </x:c>
      <x:c r="D539" s="18" t="str">
        <x:f>IF(B539="","",ROUND(IF($I$19="Факт / 365",F538*$I$12*(B539-B538)/$I$20,F538*$I$17),2))</x:f>
      </x:c>
      <x:c r="E539" s="18" t="str">
        <x:f>IF(B539="","",ROUND(C539-D539,2))</x:f>
      </x:c>
      <x:c r="F539" s="18" t="str">
        <x:f>IF(B539="","",ROUND(F538-E539,2))</x:f>
      </x:c>
      <x:c r="G539" s="2"/>
      <x:c r="H539" s="2"/>
      <x:c r="I539" s="2"/>
    </x:row>
    <x:row r="540" ht="24" customHeight="1">
      <x:c r="A540" s="1"/>
      <x:c r="B540" s="17" t="str">
        <x:f>IF(ROW()-ROW($B$9)&lt;=$I$16,MIN($I$14,EDATE($I$15,(ROW()-ROW($B$9)-1)*$I$13)),"")</x:f>
      </x:c>
      <x:c r="C540" s="18" t="str">
        <x:f>IF(B540="","",IF(ROW()-ROW($B$9)=$I$16,ROUND(F539+D540,2),MIN($I$18,ROUND(F539+D540,2))))</x:f>
      </x:c>
      <x:c r="D540" s="18" t="str">
        <x:f>IF(B540="","",ROUND(IF($I$19="Факт / 365",F539*$I$12*(B540-B539)/$I$20,F539*$I$17),2))</x:f>
      </x:c>
      <x:c r="E540" s="18" t="str">
        <x:f>IF(B540="","",ROUND(C540-D540,2))</x:f>
      </x:c>
      <x:c r="F540" s="18" t="str">
        <x:f>IF(B540="","",ROUND(F539-E540,2))</x:f>
      </x:c>
      <x:c r="G540" s="2"/>
      <x:c r="H540" s="2"/>
      <x:c r="I540" s="2"/>
    </x:row>
    <x:row r="541" ht="24" customHeight="1">
      <x:c r="A541" s="1"/>
      <x:c r="B541" s="17" t="str">
        <x:f>IF(ROW()-ROW($B$9)&lt;=$I$16,MIN($I$14,EDATE($I$15,(ROW()-ROW($B$9)-1)*$I$13)),"")</x:f>
      </x:c>
      <x:c r="C541" s="18" t="str">
        <x:f>IF(B541="","",IF(ROW()-ROW($B$9)=$I$16,ROUND(F540+D541,2),MIN($I$18,ROUND(F540+D541,2))))</x:f>
      </x:c>
      <x:c r="D541" s="18" t="str">
        <x:f>IF(B541="","",ROUND(IF($I$19="Факт / 365",F540*$I$12*(B541-B540)/$I$20,F540*$I$17),2))</x:f>
      </x:c>
      <x:c r="E541" s="18" t="str">
        <x:f>IF(B541="","",ROUND(C541-D541,2))</x:f>
      </x:c>
      <x:c r="F541" s="18" t="str">
        <x:f>IF(B541="","",ROUND(F540-E541,2))</x:f>
      </x:c>
      <x:c r="G541" s="2"/>
      <x:c r="H541" s="2"/>
      <x:c r="I541" s="2"/>
    </x:row>
    <x:row r="542" ht="24" customHeight="1">
      <x:c r="A542" s="1"/>
      <x:c r="B542" s="17" t="str">
        <x:f>IF(ROW()-ROW($B$9)&lt;=$I$16,MIN($I$14,EDATE($I$15,(ROW()-ROW($B$9)-1)*$I$13)),"")</x:f>
      </x:c>
      <x:c r="C542" s="18" t="str">
        <x:f>IF(B542="","",IF(ROW()-ROW($B$9)=$I$16,ROUND(F541+D542,2),MIN($I$18,ROUND(F541+D542,2))))</x:f>
      </x:c>
      <x:c r="D542" s="18" t="str">
        <x:f>IF(B542="","",ROUND(IF($I$19="Факт / 365",F541*$I$12*(B542-B541)/$I$20,F541*$I$17),2))</x:f>
      </x:c>
      <x:c r="E542" s="18" t="str">
        <x:f>IF(B542="","",ROUND(C542-D542,2))</x:f>
      </x:c>
      <x:c r="F542" s="18" t="str">
        <x:f>IF(B542="","",ROUND(F541-E542,2))</x:f>
      </x:c>
      <x:c r="G542" s="2"/>
      <x:c r="H542" s="2"/>
      <x:c r="I542" s="2"/>
    </x:row>
    <x:row r="543" ht="24" customHeight="1">
      <x:c r="A543" s="1"/>
      <x:c r="B543" s="17" t="str">
        <x:f>IF(ROW()-ROW($B$9)&lt;=$I$16,MIN($I$14,EDATE($I$15,(ROW()-ROW($B$9)-1)*$I$13)),"")</x:f>
      </x:c>
      <x:c r="C543" s="18" t="str">
        <x:f>IF(B543="","",IF(ROW()-ROW($B$9)=$I$16,ROUND(F542+D543,2),MIN($I$18,ROUND(F542+D543,2))))</x:f>
      </x:c>
      <x:c r="D543" s="18" t="str">
        <x:f>IF(B543="","",ROUND(IF($I$19="Факт / 365",F542*$I$12*(B543-B542)/$I$20,F542*$I$17),2))</x:f>
      </x:c>
      <x:c r="E543" s="18" t="str">
        <x:f>IF(B543="","",ROUND(C543-D543,2))</x:f>
      </x:c>
      <x:c r="F543" s="18" t="str">
        <x:f>IF(B543="","",ROUND(F542-E543,2))</x:f>
      </x:c>
      <x:c r="G543" s="2"/>
      <x:c r="H543" s="2"/>
      <x:c r="I543" s="2"/>
    </x:row>
    <x:row r="544" ht="24" customHeight="1">
      <x:c r="A544" s="1"/>
      <x:c r="B544" s="17" t="str">
        <x:f>IF(ROW()-ROW($B$9)&lt;=$I$16,MIN($I$14,EDATE($I$15,(ROW()-ROW($B$9)-1)*$I$13)),"")</x:f>
      </x:c>
      <x:c r="C544" s="18" t="str">
        <x:f>IF(B544="","",IF(ROW()-ROW($B$9)=$I$16,ROUND(F543+D544,2),MIN($I$18,ROUND(F543+D544,2))))</x:f>
      </x:c>
      <x:c r="D544" s="18" t="str">
        <x:f>IF(B544="","",ROUND(IF($I$19="Факт / 365",F543*$I$12*(B544-B543)/$I$20,F543*$I$17),2))</x:f>
      </x:c>
      <x:c r="E544" s="18" t="str">
        <x:f>IF(B544="","",ROUND(C544-D544,2))</x:f>
      </x:c>
      <x:c r="F544" s="18" t="str">
        <x:f>IF(B544="","",ROUND(F543-E544,2))</x:f>
      </x:c>
      <x:c r="G544" s="2"/>
      <x:c r="H544" s="2"/>
      <x:c r="I544" s="2"/>
    </x:row>
    <x:row r="545" ht="24" customHeight="1">
      <x:c r="A545" s="1"/>
      <x:c r="B545" s="17" t="str">
        <x:f>IF(ROW()-ROW($B$9)&lt;=$I$16,MIN($I$14,EDATE($I$15,(ROW()-ROW($B$9)-1)*$I$13)),"")</x:f>
      </x:c>
      <x:c r="C545" s="18" t="str">
        <x:f>IF(B545="","",IF(ROW()-ROW($B$9)=$I$16,ROUND(F544+D545,2),MIN($I$18,ROUND(F544+D545,2))))</x:f>
      </x:c>
      <x:c r="D545" s="18" t="str">
        <x:f>IF(B545="","",ROUND(IF($I$19="Факт / 365",F544*$I$12*(B545-B544)/$I$20,F544*$I$17),2))</x:f>
      </x:c>
      <x:c r="E545" s="18" t="str">
        <x:f>IF(B545="","",ROUND(C545-D545,2))</x:f>
      </x:c>
      <x:c r="F545" s="18" t="str">
        <x:f>IF(B545="","",ROUND(F544-E545,2))</x:f>
      </x:c>
      <x:c r="G545" s="2"/>
      <x:c r="H545" s="2"/>
      <x:c r="I545" s="2"/>
    </x:row>
    <x:row r="546" ht="24" customHeight="1">
      <x:c r="A546" s="1"/>
      <x:c r="B546" s="17" t="str">
        <x:f>IF(ROW()-ROW($B$9)&lt;=$I$16,MIN($I$14,EDATE($I$15,(ROW()-ROW($B$9)-1)*$I$13)),"")</x:f>
      </x:c>
      <x:c r="C546" s="18" t="str">
        <x:f>IF(B546="","",IF(ROW()-ROW($B$9)=$I$16,ROUND(F545+D546,2),MIN($I$18,ROUND(F545+D546,2))))</x:f>
      </x:c>
      <x:c r="D546" s="18" t="str">
        <x:f>IF(B546="","",ROUND(IF($I$19="Факт / 365",F545*$I$12*(B546-B545)/$I$20,F545*$I$17),2))</x:f>
      </x:c>
      <x:c r="E546" s="18" t="str">
        <x:f>IF(B546="","",ROUND(C546-D546,2))</x:f>
      </x:c>
      <x:c r="F546" s="18" t="str">
        <x:f>IF(B546="","",ROUND(F545-E546,2))</x:f>
      </x:c>
      <x:c r="G546" s="2"/>
      <x:c r="H546" s="2"/>
      <x:c r="I546" s="2"/>
    </x:row>
    <x:row r="547" ht="24" customHeight="1">
      <x:c r="A547" s="1"/>
      <x:c r="B547" s="17" t="str">
        <x:f>IF(ROW()-ROW($B$9)&lt;=$I$16,MIN($I$14,EDATE($I$15,(ROW()-ROW($B$9)-1)*$I$13)),"")</x:f>
      </x:c>
      <x:c r="C547" s="18" t="str">
        <x:f>IF(B547="","",IF(ROW()-ROW($B$9)=$I$16,ROUND(F546+D547,2),MIN($I$18,ROUND(F546+D547,2))))</x:f>
      </x:c>
      <x:c r="D547" s="18" t="str">
        <x:f>IF(B547="","",ROUND(IF($I$19="Факт / 365",F546*$I$12*(B547-B546)/$I$20,F546*$I$17),2))</x:f>
      </x:c>
      <x:c r="E547" s="18" t="str">
        <x:f>IF(B547="","",ROUND(C547-D547,2))</x:f>
      </x:c>
      <x:c r="F547" s="18" t="str">
        <x:f>IF(B547="","",ROUND(F546-E547,2))</x:f>
      </x:c>
      <x:c r="G547" s="2"/>
      <x:c r="H547" s="2"/>
      <x:c r="I547" s="2"/>
    </x:row>
    <x:row r="548" ht="24" customHeight="1">
      <x:c r="A548" s="1"/>
      <x:c r="B548" s="17" t="str">
        <x:f>IF(ROW()-ROW($B$9)&lt;=$I$16,MIN($I$14,EDATE($I$15,(ROW()-ROW($B$9)-1)*$I$13)),"")</x:f>
      </x:c>
      <x:c r="C548" s="18" t="str">
        <x:f>IF(B548="","",IF(ROW()-ROW($B$9)=$I$16,ROUND(F547+D548,2),MIN($I$18,ROUND(F547+D548,2))))</x:f>
      </x:c>
      <x:c r="D548" s="18" t="str">
        <x:f>IF(B548="","",ROUND(IF($I$19="Факт / 365",F547*$I$12*(B548-B547)/$I$20,F547*$I$17),2))</x:f>
      </x:c>
      <x:c r="E548" s="18" t="str">
        <x:f>IF(B548="","",ROUND(C548-D548,2))</x:f>
      </x:c>
      <x:c r="F548" s="18" t="str">
        <x:f>IF(B548="","",ROUND(F547-E548,2))</x:f>
      </x:c>
      <x:c r="G548" s="2"/>
      <x:c r="H548" s="2"/>
      <x:c r="I548" s="2"/>
    </x:row>
    <x:row r="549" ht="24" customHeight="1">
      <x:c r="A549" s="1"/>
      <x:c r="B549" s="17" t="str">
        <x:f>IF(ROW()-ROW($B$9)&lt;=$I$16,MIN($I$14,EDATE($I$15,(ROW()-ROW($B$9)-1)*$I$13)),"")</x:f>
      </x:c>
      <x:c r="C549" s="18" t="str">
        <x:f>IF(B549="","",IF(ROW()-ROW($B$9)=$I$16,ROUND(F548+D549,2),MIN($I$18,ROUND(F548+D549,2))))</x:f>
      </x:c>
      <x:c r="D549" s="18" t="str">
        <x:f>IF(B549="","",ROUND(IF($I$19="Факт / 365",F548*$I$12*(B549-B548)/$I$20,F548*$I$17),2))</x:f>
      </x:c>
      <x:c r="E549" s="18" t="str">
        <x:f>IF(B549="","",ROUND(C549-D549,2))</x:f>
      </x:c>
      <x:c r="F549" s="18" t="str">
        <x:f>IF(B549="","",ROUND(F548-E549,2))</x:f>
      </x:c>
      <x:c r="G549" s="2"/>
      <x:c r="H549" s="2"/>
      <x:c r="I549" s="2"/>
    </x:row>
    <x:row r="550" ht="24" customHeight="1">
      <x:c r="A550" s="1"/>
      <x:c r="B550" s="17" t="str">
        <x:f>IF(ROW()-ROW($B$9)&lt;=$I$16,MIN($I$14,EDATE($I$15,(ROW()-ROW($B$9)-1)*$I$13)),"")</x:f>
      </x:c>
      <x:c r="C550" s="18" t="str">
        <x:f>IF(B550="","",IF(ROW()-ROW($B$9)=$I$16,ROUND(F549+D550,2),MIN($I$18,ROUND(F549+D550,2))))</x:f>
      </x:c>
      <x:c r="D550" s="18" t="str">
        <x:f>IF(B550="","",ROUND(IF($I$19="Факт / 365",F549*$I$12*(B550-B549)/$I$20,F549*$I$17),2))</x:f>
      </x:c>
      <x:c r="E550" s="18" t="str">
        <x:f>IF(B550="","",ROUND(C550-D550,2))</x:f>
      </x:c>
      <x:c r="F550" s="18" t="str">
        <x:f>IF(B550="","",ROUND(F549-E550,2))</x:f>
      </x:c>
      <x:c r="G550" s="2"/>
      <x:c r="H550" s="2"/>
      <x:c r="I550" s="2"/>
    </x:row>
    <x:row r="551" ht="24" customHeight="1">
      <x:c r="A551" s="1"/>
      <x:c r="B551" s="17" t="str">
        <x:f>IF(ROW()-ROW($B$9)&lt;=$I$16,MIN($I$14,EDATE($I$15,(ROW()-ROW($B$9)-1)*$I$13)),"")</x:f>
      </x:c>
      <x:c r="C551" s="18" t="str">
        <x:f>IF(B551="","",IF(ROW()-ROW($B$9)=$I$16,ROUND(F550+D551,2),MIN($I$18,ROUND(F550+D551,2))))</x:f>
      </x:c>
      <x:c r="D551" s="18" t="str">
        <x:f>IF(B551="","",ROUND(IF($I$19="Факт / 365",F550*$I$12*(B551-B550)/$I$20,F550*$I$17),2))</x:f>
      </x:c>
      <x:c r="E551" s="18" t="str">
        <x:f>IF(B551="","",ROUND(C551-D551,2))</x:f>
      </x:c>
      <x:c r="F551" s="18" t="str">
        <x:f>IF(B551="","",ROUND(F550-E551,2))</x:f>
      </x:c>
      <x:c r="G551" s="2"/>
      <x:c r="H551" s="2"/>
      <x:c r="I551" s="2"/>
    </x:row>
    <x:row r="552" ht="24" customHeight="1">
      <x:c r="A552" s="1"/>
      <x:c r="B552" s="17" t="str">
        <x:f>IF(ROW()-ROW($B$9)&lt;=$I$16,MIN($I$14,EDATE($I$15,(ROW()-ROW($B$9)-1)*$I$13)),"")</x:f>
      </x:c>
      <x:c r="C552" s="18" t="str">
        <x:f>IF(B552="","",IF(ROW()-ROW($B$9)=$I$16,ROUND(F551+D552,2),MIN($I$18,ROUND(F551+D552,2))))</x:f>
      </x:c>
      <x:c r="D552" s="18" t="str">
        <x:f>IF(B552="","",ROUND(IF($I$19="Факт / 365",F551*$I$12*(B552-B551)/$I$20,F551*$I$17),2))</x:f>
      </x:c>
      <x:c r="E552" s="18" t="str">
        <x:f>IF(B552="","",ROUND(C552-D552,2))</x:f>
      </x:c>
      <x:c r="F552" s="18" t="str">
        <x:f>IF(B552="","",ROUND(F551-E552,2))</x:f>
      </x:c>
      <x:c r="G552" s="2"/>
      <x:c r="H552" s="2"/>
      <x:c r="I552" s="2"/>
    </x:row>
    <x:row r="553" ht="24" customHeight="1">
      <x:c r="A553" s="1"/>
      <x:c r="B553" s="17" t="str">
        <x:f>IF(ROW()-ROW($B$9)&lt;=$I$16,MIN($I$14,EDATE($I$15,(ROW()-ROW($B$9)-1)*$I$13)),"")</x:f>
      </x:c>
      <x:c r="C553" s="18" t="str">
        <x:f>IF(B553="","",IF(ROW()-ROW($B$9)=$I$16,ROUND(F552+D553,2),MIN($I$18,ROUND(F552+D553,2))))</x:f>
      </x:c>
      <x:c r="D553" s="18" t="str">
        <x:f>IF(B553="","",ROUND(IF($I$19="Факт / 365",F552*$I$12*(B553-B552)/$I$20,F552*$I$17),2))</x:f>
      </x:c>
      <x:c r="E553" s="18" t="str">
        <x:f>IF(B553="","",ROUND(C553-D553,2))</x:f>
      </x:c>
      <x:c r="F553" s="18" t="str">
        <x:f>IF(B553="","",ROUND(F552-E553,2))</x:f>
      </x:c>
      <x:c r="G553" s="2"/>
      <x:c r="H553" s="2"/>
      <x:c r="I553" s="2"/>
    </x:row>
    <x:row r="554" ht="24" customHeight="1">
      <x:c r="A554" s="1"/>
      <x:c r="B554" s="17" t="str">
        <x:f>IF(ROW()-ROW($B$9)&lt;=$I$16,MIN($I$14,EDATE($I$15,(ROW()-ROW($B$9)-1)*$I$13)),"")</x:f>
      </x:c>
      <x:c r="C554" s="18" t="str">
        <x:f>IF(B554="","",IF(ROW()-ROW($B$9)=$I$16,ROUND(F553+D554,2),MIN($I$18,ROUND(F553+D554,2))))</x:f>
      </x:c>
      <x:c r="D554" s="18" t="str">
        <x:f>IF(B554="","",ROUND(IF($I$19="Факт / 365",F553*$I$12*(B554-B553)/$I$20,F553*$I$17),2))</x:f>
      </x:c>
      <x:c r="E554" s="18" t="str">
        <x:f>IF(B554="","",ROUND(C554-D554,2))</x:f>
      </x:c>
      <x:c r="F554" s="18" t="str">
        <x:f>IF(B554="","",ROUND(F553-E554,2))</x:f>
      </x:c>
      <x:c r="G554" s="2"/>
      <x:c r="H554" s="2"/>
      <x:c r="I554" s="2"/>
    </x:row>
    <x:row r="555" ht="24" customHeight="1">
      <x:c r="A555" s="1"/>
      <x:c r="B555" s="17" t="str">
        <x:f>IF(ROW()-ROW($B$9)&lt;=$I$16,MIN($I$14,EDATE($I$15,(ROW()-ROW($B$9)-1)*$I$13)),"")</x:f>
      </x:c>
      <x:c r="C555" s="18" t="str">
        <x:f>IF(B555="","",IF(ROW()-ROW($B$9)=$I$16,ROUND(F554+D555,2),MIN($I$18,ROUND(F554+D555,2))))</x:f>
      </x:c>
      <x:c r="D555" s="18" t="str">
        <x:f>IF(B555="","",ROUND(IF($I$19="Факт / 365",F554*$I$12*(B555-B554)/$I$20,F554*$I$17),2))</x:f>
      </x:c>
      <x:c r="E555" s="18" t="str">
        <x:f>IF(B555="","",ROUND(C555-D555,2))</x:f>
      </x:c>
      <x:c r="F555" s="18" t="str">
        <x:f>IF(B555="","",ROUND(F554-E555,2))</x:f>
      </x:c>
      <x:c r="G555" s="2"/>
      <x:c r="H555" s="2"/>
      <x:c r="I555" s="2"/>
    </x:row>
    <x:row r="556" ht="24" customHeight="1">
      <x:c r="A556" s="1"/>
      <x:c r="B556" s="17" t="str">
        <x:f>IF(ROW()-ROW($B$9)&lt;=$I$16,MIN($I$14,EDATE($I$15,(ROW()-ROW($B$9)-1)*$I$13)),"")</x:f>
      </x:c>
      <x:c r="C556" s="18" t="str">
        <x:f>IF(B556="","",IF(ROW()-ROW($B$9)=$I$16,ROUND(F555+D556,2),MIN($I$18,ROUND(F555+D556,2))))</x:f>
      </x:c>
      <x:c r="D556" s="18" t="str">
        <x:f>IF(B556="","",ROUND(IF($I$19="Факт / 365",F555*$I$12*(B556-B555)/$I$20,F555*$I$17),2))</x:f>
      </x:c>
      <x:c r="E556" s="18" t="str">
        <x:f>IF(B556="","",ROUND(C556-D556,2))</x:f>
      </x:c>
      <x:c r="F556" s="18" t="str">
        <x:f>IF(B556="","",ROUND(F555-E556,2))</x:f>
      </x:c>
      <x:c r="G556" s="2"/>
      <x:c r="H556" s="2"/>
      <x:c r="I556" s="2"/>
    </x:row>
    <x:row r="557" ht="24" customHeight="1">
      <x:c r="A557" s="1"/>
      <x:c r="B557" s="17" t="str">
        <x:f>IF(ROW()-ROW($B$9)&lt;=$I$16,MIN($I$14,EDATE($I$15,(ROW()-ROW($B$9)-1)*$I$13)),"")</x:f>
      </x:c>
      <x:c r="C557" s="18" t="str">
        <x:f>IF(B557="","",IF(ROW()-ROW($B$9)=$I$16,ROUND(F556+D557,2),MIN($I$18,ROUND(F556+D557,2))))</x:f>
      </x:c>
      <x:c r="D557" s="18" t="str">
        <x:f>IF(B557="","",ROUND(IF($I$19="Факт / 365",F556*$I$12*(B557-B556)/$I$20,F556*$I$17),2))</x:f>
      </x:c>
      <x:c r="E557" s="18" t="str">
        <x:f>IF(B557="","",ROUND(C557-D557,2))</x:f>
      </x:c>
      <x:c r="F557" s="18" t="str">
        <x:f>IF(B557="","",ROUND(F556-E557,2))</x:f>
      </x:c>
      <x:c r="G557" s="2"/>
      <x:c r="H557" s="2"/>
      <x:c r="I557" s="2"/>
    </x:row>
    <x:row r="558" ht="24" customHeight="1">
      <x:c r="A558" s="1"/>
      <x:c r="B558" s="17" t="str">
        <x:f>IF(ROW()-ROW($B$9)&lt;=$I$16,MIN($I$14,EDATE($I$15,(ROW()-ROW($B$9)-1)*$I$13)),"")</x:f>
      </x:c>
      <x:c r="C558" s="18" t="str">
        <x:f>IF(B558="","",IF(ROW()-ROW($B$9)=$I$16,ROUND(F557+D558,2),MIN($I$18,ROUND(F557+D558,2))))</x:f>
      </x:c>
      <x:c r="D558" s="18" t="str">
        <x:f>IF(B558="","",ROUND(IF($I$19="Факт / 365",F557*$I$12*(B558-B557)/$I$20,F557*$I$17),2))</x:f>
      </x:c>
      <x:c r="E558" s="18" t="str">
        <x:f>IF(B558="","",ROUND(C558-D558,2))</x:f>
      </x:c>
      <x:c r="F558" s="18" t="str">
        <x:f>IF(B558="","",ROUND(F557-E558,2))</x:f>
      </x:c>
      <x:c r="G558" s="2"/>
      <x:c r="H558" s="2"/>
      <x:c r="I558" s="2"/>
    </x:row>
    <x:row r="559" ht="24" customHeight="1">
      <x:c r="A559" s="1"/>
      <x:c r="B559" s="17" t="str">
        <x:f>IF(ROW()-ROW($B$9)&lt;=$I$16,MIN($I$14,EDATE($I$15,(ROW()-ROW($B$9)-1)*$I$13)),"")</x:f>
      </x:c>
      <x:c r="C559" s="18" t="str">
        <x:f>IF(B559="","",IF(ROW()-ROW($B$9)=$I$16,ROUND(F558+D559,2),MIN($I$18,ROUND(F558+D559,2))))</x:f>
      </x:c>
      <x:c r="D559" s="18" t="str">
        <x:f>IF(B559="","",ROUND(IF($I$19="Факт / 365",F558*$I$12*(B559-B558)/$I$20,F558*$I$17),2))</x:f>
      </x:c>
      <x:c r="E559" s="18" t="str">
        <x:f>IF(B559="","",ROUND(C559-D559,2))</x:f>
      </x:c>
      <x:c r="F559" s="18" t="str">
        <x:f>IF(B559="","",ROUND(F558-E559,2))</x:f>
      </x:c>
      <x:c r="G559" s="2"/>
      <x:c r="H559" s="2"/>
      <x:c r="I559" s="2"/>
    </x:row>
    <x:row r="560" ht="24" customHeight="1">
      <x:c r="A560" s="1"/>
      <x:c r="B560" s="17" t="str">
        <x:f>IF(ROW()-ROW($B$9)&lt;=$I$16,MIN($I$14,EDATE($I$15,(ROW()-ROW($B$9)-1)*$I$13)),"")</x:f>
      </x:c>
      <x:c r="C560" s="18" t="str">
        <x:f>IF(B560="","",IF(ROW()-ROW($B$9)=$I$16,ROUND(F559+D560,2),MIN($I$18,ROUND(F559+D560,2))))</x:f>
      </x:c>
      <x:c r="D560" s="18" t="str">
        <x:f>IF(B560="","",ROUND(IF($I$19="Факт / 365",F559*$I$12*(B560-B559)/$I$20,F559*$I$17),2))</x:f>
      </x:c>
      <x:c r="E560" s="18" t="str">
        <x:f>IF(B560="","",ROUND(C560-D560,2))</x:f>
      </x:c>
      <x:c r="F560" s="18" t="str">
        <x:f>IF(B560="","",ROUND(F559-E560,2))</x:f>
      </x:c>
      <x:c r="G560" s="2"/>
      <x:c r="H560" s="2"/>
      <x:c r="I560" s="2"/>
    </x:row>
    <x:row r="561" ht="24" customHeight="1">
      <x:c r="A561" s="1"/>
      <x:c r="B561" s="17" t="str">
        <x:f>IF(ROW()-ROW($B$9)&lt;=$I$16,MIN($I$14,EDATE($I$15,(ROW()-ROW($B$9)-1)*$I$13)),"")</x:f>
      </x:c>
      <x:c r="C561" s="18" t="str">
        <x:f>IF(B561="","",IF(ROW()-ROW($B$9)=$I$16,ROUND(F560+D561,2),MIN($I$18,ROUND(F560+D561,2))))</x:f>
      </x:c>
      <x:c r="D561" s="18" t="str">
        <x:f>IF(B561="","",ROUND(IF($I$19="Факт / 365",F560*$I$12*(B561-B560)/$I$20,F560*$I$17),2))</x:f>
      </x:c>
      <x:c r="E561" s="18" t="str">
        <x:f>IF(B561="","",ROUND(C561-D561,2))</x:f>
      </x:c>
      <x:c r="F561" s="18" t="str">
        <x:f>IF(B561="","",ROUND(F560-E561,2))</x:f>
      </x:c>
      <x:c r="G561" s="2"/>
      <x:c r="H561" s="2"/>
      <x:c r="I561" s="2"/>
    </x:row>
    <x:row r="562" ht="24" customHeight="1">
      <x:c r="A562" s="1"/>
      <x:c r="B562" s="17" t="str">
        <x:f>IF(ROW()-ROW($B$9)&lt;=$I$16,MIN($I$14,EDATE($I$15,(ROW()-ROW($B$9)-1)*$I$13)),"")</x:f>
      </x:c>
      <x:c r="C562" s="18" t="str">
        <x:f>IF(B562="","",IF(ROW()-ROW($B$9)=$I$16,ROUND(F561+D562,2),MIN($I$18,ROUND(F561+D562,2))))</x:f>
      </x:c>
      <x:c r="D562" s="18" t="str">
        <x:f>IF(B562="","",ROUND(IF($I$19="Факт / 365",F561*$I$12*(B562-B561)/$I$20,F561*$I$17),2))</x:f>
      </x:c>
      <x:c r="E562" s="18" t="str">
        <x:f>IF(B562="","",ROUND(C562-D562,2))</x:f>
      </x:c>
      <x:c r="F562" s="18" t="str">
        <x:f>IF(B562="","",ROUND(F561-E562,2))</x:f>
      </x:c>
      <x:c r="G562" s="2"/>
      <x:c r="H562" s="2"/>
      <x:c r="I562" s="2"/>
    </x:row>
    <x:row r="563" ht="24" customHeight="1">
      <x:c r="A563" s="1"/>
      <x:c r="B563" s="17" t="str">
        <x:f>IF(ROW()-ROW($B$9)&lt;=$I$16,MIN($I$14,EDATE($I$15,(ROW()-ROW($B$9)-1)*$I$13)),"")</x:f>
      </x:c>
      <x:c r="C563" s="18" t="str">
        <x:f>IF(B563="","",IF(ROW()-ROW($B$9)=$I$16,ROUND(F562+D563,2),MIN($I$18,ROUND(F562+D563,2))))</x:f>
      </x:c>
      <x:c r="D563" s="18" t="str">
        <x:f>IF(B563="","",ROUND(IF($I$19="Факт / 365",F562*$I$12*(B563-B562)/$I$20,F562*$I$17),2))</x:f>
      </x:c>
      <x:c r="E563" s="18" t="str">
        <x:f>IF(B563="","",ROUND(C563-D563,2))</x:f>
      </x:c>
      <x:c r="F563" s="18" t="str">
        <x:f>IF(B563="","",ROUND(F562-E563,2))</x:f>
      </x:c>
      <x:c r="G563" s="2"/>
      <x:c r="H563" s="2"/>
      <x:c r="I563" s="2"/>
    </x:row>
    <x:row r="564" ht="24" customHeight="1">
      <x:c r="A564" s="1"/>
      <x:c r="B564" s="17" t="str">
        <x:f>IF(ROW()-ROW($B$9)&lt;=$I$16,MIN($I$14,EDATE($I$15,(ROW()-ROW($B$9)-1)*$I$13)),"")</x:f>
      </x:c>
      <x:c r="C564" s="18" t="str">
        <x:f>IF(B564="","",IF(ROW()-ROW($B$9)=$I$16,ROUND(F563+D564,2),MIN($I$18,ROUND(F563+D564,2))))</x:f>
      </x:c>
      <x:c r="D564" s="18" t="str">
        <x:f>IF(B564="","",ROUND(IF($I$19="Факт / 365",F563*$I$12*(B564-B563)/$I$20,F563*$I$17),2))</x:f>
      </x:c>
      <x:c r="E564" s="18" t="str">
        <x:f>IF(B564="","",ROUND(C564-D564,2))</x:f>
      </x:c>
      <x:c r="F564" s="18" t="str">
        <x:f>IF(B564="","",ROUND(F563-E564,2))</x:f>
      </x:c>
      <x:c r="G564" s="2"/>
      <x:c r="H564" s="2"/>
      <x:c r="I564" s="2"/>
    </x:row>
    <x:row r="565" ht="24" customHeight="1">
      <x:c r="A565" s="1"/>
      <x:c r="B565" s="17" t="str">
        <x:f>IF(ROW()-ROW($B$9)&lt;=$I$16,MIN($I$14,EDATE($I$15,(ROW()-ROW($B$9)-1)*$I$13)),"")</x:f>
      </x:c>
      <x:c r="C565" s="18" t="str">
        <x:f>IF(B565="","",IF(ROW()-ROW($B$9)=$I$16,ROUND(F564+D565,2),MIN($I$18,ROUND(F564+D565,2))))</x:f>
      </x:c>
      <x:c r="D565" s="18" t="str">
        <x:f>IF(B565="","",ROUND(IF($I$19="Факт / 365",F564*$I$12*(B565-B564)/$I$20,F564*$I$17),2))</x:f>
      </x:c>
      <x:c r="E565" s="18" t="str">
        <x:f>IF(B565="","",ROUND(C565-D565,2))</x:f>
      </x:c>
      <x:c r="F565" s="18" t="str">
        <x:f>IF(B565="","",ROUND(F564-E565,2))</x:f>
      </x:c>
      <x:c r="G565" s="2"/>
      <x:c r="H565" s="2"/>
      <x:c r="I565" s="2"/>
    </x:row>
    <x:row r="566" ht="24" customHeight="1">
      <x:c r="A566" s="1"/>
      <x:c r="B566" s="17" t="str">
        <x:f>IF(ROW()-ROW($B$9)&lt;=$I$16,MIN($I$14,EDATE($I$15,(ROW()-ROW($B$9)-1)*$I$13)),"")</x:f>
      </x:c>
      <x:c r="C566" s="18" t="str">
        <x:f>IF(B566="","",IF(ROW()-ROW($B$9)=$I$16,ROUND(F565+D566,2),MIN($I$18,ROUND(F565+D566,2))))</x:f>
      </x:c>
      <x:c r="D566" s="18" t="str">
        <x:f>IF(B566="","",ROUND(IF($I$19="Факт / 365",F565*$I$12*(B566-B565)/$I$20,F565*$I$17),2))</x:f>
      </x:c>
      <x:c r="E566" s="18" t="str">
        <x:f>IF(B566="","",ROUND(C566-D566,2))</x:f>
      </x:c>
      <x:c r="F566" s="18" t="str">
        <x:f>IF(B566="","",ROUND(F565-E566,2))</x:f>
      </x:c>
      <x:c r="G566" s="2"/>
      <x:c r="H566" s="2"/>
      <x:c r="I566" s="2"/>
    </x:row>
    <x:row r="567" ht="24" customHeight="1">
      <x:c r="A567" s="1"/>
      <x:c r="B567" s="17" t="str">
        <x:f>IF(ROW()-ROW($B$9)&lt;=$I$16,MIN($I$14,EDATE($I$15,(ROW()-ROW($B$9)-1)*$I$13)),"")</x:f>
      </x:c>
      <x:c r="C567" s="18" t="str">
        <x:f>IF(B567="","",IF(ROW()-ROW($B$9)=$I$16,ROUND(F566+D567,2),MIN($I$18,ROUND(F566+D567,2))))</x:f>
      </x:c>
      <x:c r="D567" s="18" t="str">
        <x:f>IF(B567="","",ROUND(IF($I$19="Факт / 365",F566*$I$12*(B567-B566)/$I$20,F566*$I$17),2))</x:f>
      </x:c>
      <x:c r="E567" s="18" t="str">
        <x:f>IF(B567="","",ROUND(C567-D567,2))</x:f>
      </x:c>
      <x:c r="F567" s="18" t="str">
        <x:f>IF(B567="","",ROUND(F566-E567,2))</x:f>
      </x:c>
      <x:c r="G567" s="2"/>
      <x:c r="H567" s="2"/>
      <x:c r="I567" s="2"/>
    </x:row>
    <x:row r="568" ht="24" customHeight="1">
      <x:c r="A568" s="1"/>
      <x:c r="B568" s="17" t="str">
        <x:f>IF(ROW()-ROW($B$9)&lt;=$I$16,MIN($I$14,EDATE($I$15,(ROW()-ROW($B$9)-1)*$I$13)),"")</x:f>
      </x:c>
      <x:c r="C568" s="18" t="str">
        <x:f>IF(B568="","",IF(ROW()-ROW($B$9)=$I$16,ROUND(F567+D568,2),MIN($I$18,ROUND(F567+D568,2))))</x:f>
      </x:c>
      <x:c r="D568" s="18" t="str">
        <x:f>IF(B568="","",ROUND(IF($I$19="Факт / 365",F567*$I$12*(B568-B567)/$I$20,F567*$I$17),2))</x:f>
      </x:c>
      <x:c r="E568" s="18" t="str">
        <x:f>IF(B568="","",ROUND(C568-D568,2))</x:f>
      </x:c>
      <x:c r="F568" s="18" t="str">
        <x:f>IF(B568="","",ROUND(F567-E568,2))</x:f>
      </x:c>
      <x:c r="G568" s="2"/>
      <x:c r="H568" s="2"/>
      <x:c r="I568" s="2"/>
    </x:row>
    <x:row r="569" ht="24" customHeight="1">
      <x:c r="A569" s="1"/>
      <x:c r="B569" s="17" t="str">
        <x:f>IF(ROW()-ROW($B$9)&lt;=$I$16,MIN($I$14,EDATE($I$15,(ROW()-ROW($B$9)-1)*$I$13)),"")</x:f>
      </x:c>
      <x:c r="C569" s="18" t="str">
        <x:f>IF(B569="","",IF(ROW()-ROW($B$9)=$I$16,ROUND(F568+D569,2),MIN($I$18,ROUND(F568+D569,2))))</x:f>
      </x:c>
      <x:c r="D569" s="18" t="str">
        <x:f>IF(B569="","",ROUND(IF($I$19="Факт / 365",F568*$I$12*(B569-B568)/$I$20,F568*$I$17),2))</x:f>
      </x:c>
      <x:c r="E569" s="18" t="str">
        <x:f>IF(B569="","",ROUND(C569-D569,2))</x:f>
      </x:c>
      <x:c r="F569" s="18" t="str">
        <x:f>IF(B569="","",ROUND(F568-E569,2))</x:f>
      </x:c>
      <x:c r="G569" s="2"/>
      <x:c r="H569" s="2"/>
      <x:c r="I569" s="2"/>
    </x:row>
    <x:row r="570" ht="24" customHeight="1">
      <x:c r="A570" s="1"/>
      <x:c r="B570" s="17" t="str">
        <x:f>IF(ROW()-ROW($B$9)&lt;=$I$16,MIN($I$14,EDATE($I$15,(ROW()-ROW($B$9)-1)*$I$13)),"")</x:f>
      </x:c>
      <x:c r="C570" s="18" t="str">
        <x:f>IF(B570="","",IF(ROW()-ROW($B$9)=$I$16,ROUND(F569+D570,2),MIN($I$18,ROUND(F569+D570,2))))</x:f>
      </x:c>
      <x:c r="D570" s="18" t="str">
        <x:f>IF(B570="","",ROUND(IF($I$19="Факт / 365",F569*$I$12*(B570-B569)/$I$20,F569*$I$17),2))</x:f>
      </x:c>
      <x:c r="E570" s="18" t="str">
        <x:f>IF(B570="","",ROUND(C570-D570,2))</x:f>
      </x:c>
      <x:c r="F570" s="18" t="str">
        <x:f>IF(B570="","",ROUND(F569-E570,2))</x:f>
      </x:c>
      <x:c r="G570" s="2"/>
      <x:c r="H570" s="2"/>
      <x:c r="I570" s="2"/>
    </x:row>
    <x:row r="571" ht="24" customHeight="1">
      <x:c r="A571" s="1"/>
      <x:c r="B571" s="17" t="str">
        <x:f>IF(ROW()-ROW($B$9)&lt;=$I$16,MIN($I$14,EDATE($I$15,(ROW()-ROW($B$9)-1)*$I$13)),"")</x:f>
      </x:c>
      <x:c r="C571" s="18" t="str">
        <x:f>IF(B571="","",IF(ROW()-ROW($B$9)=$I$16,ROUND(F570+D571,2),MIN($I$18,ROUND(F570+D571,2))))</x:f>
      </x:c>
      <x:c r="D571" s="18" t="str">
        <x:f>IF(B571="","",ROUND(IF($I$19="Факт / 365",F570*$I$12*(B571-B570)/$I$20,F570*$I$17),2))</x:f>
      </x:c>
      <x:c r="E571" s="18" t="str">
        <x:f>IF(B571="","",ROUND(C571-D571,2))</x:f>
      </x:c>
      <x:c r="F571" s="18" t="str">
        <x:f>IF(B571="","",ROUND(F570-E571,2))</x:f>
      </x:c>
      <x:c r="G571" s="2"/>
      <x:c r="H571" s="2"/>
      <x:c r="I571" s="2"/>
    </x:row>
    <x:row r="572" ht="24" customHeight="1">
      <x:c r="A572" s="1"/>
      <x:c r="B572" s="17" t="str">
        <x:f>IF(ROW()-ROW($B$9)&lt;=$I$16,MIN($I$14,EDATE($I$15,(ROW()-ROW($B$9)-1)*$I$13)),"")</x:f>
      </x:c>
      <x:c r="C572" s="18" t="str">
        <x:f>IF(B572="","",IF(ROW()-ROW($B$9)=$I$16,ROUND(F571+D572,2),MIN($I$18,ROUND(F571+D572,2))))</x:f>
      </x:c>
      <x:c r="D572" s="18" t="str">
        <x:f>IF(B572="","",ROUND(IF($I$19="Факт / 365",F571*$I$12*(B572-B571)/$I$20,F571*$I$17),2))</x:f>
      </x:c>
      <x:c r="E572" s="18" t="str">
        <x:f>IF(B572="","",ROUND(C572-D572,2))</x:f>
      </x:c>
      <x:c r="F572" s="18" t="str">
        <x:f>IF(B572="","",ROUND(F571-E572,2))</x:f>
      </x:c>
      <x:c r="G572" s="2"/>
      <x:c r="H572" s="2"/>
      <x:c r="I572" s="2"/>
    </x:row>
    <x:row r="573" ht="24" customHeight="1">
      <x:c r="A573" s="1"/>
      <x:c r="B573" s="17" t="str">
        <x:f>IF(ROW()-ROW($B$9)&lt;=$I$16,MIN($I$14,EDATE($I$15,(ROW()-ROW($B$9)-1)*$I$13)),"")</x:f>
      </x:c>
      <x:c r="C573" s="18" t="str">
        <x:f>IF(B573="","",IF(ROW()-ROW($B$9)=$I$16,ROUND(F572+D573,2),MIN($I$18,ROUND(F572+D573,2))))</x:f>
      </x:c>
      <x:c r="D573" s="18" t="str">
        <x:f>IF(B573="","",ROUND(IF($I$19="Факт / 365",F572*$I$12*(B573-B572)/$I$20,F572*$I$17),2))</x:f>
      </x:c>
      <x:c r="E573" s="18" t="str">
        <x:f>IF(B573="","",ROUND(C573-D573,2))</x:f>
      </x:c>
      <x:c r="F573" s="18" t="str">
        <x:f>IF(B573="","",ROUND(F572-E573,2))</x:f>
      </x:c>
      <x:c r="G573" s="2"/>
      <x:c r="H573" s="2"/>
      <x:c r="I573" s="2"/>
    </x:row>
    <x:row r="574" ht="24" customHeight="1">
      <x:c r="A574" s="1"/>
      <x:c r="B574" s="17" t="str">
        <x:f>IF(ROW()-ROW($B$9)&lt;=$I$16,MIN($I$14,EDATE($I$15,(ROW()-ROW($B$9)-1)*$I$13)),"")</x:f>
      </x:c>
      <x:c r="C574" s="18" t="str">
        <x:f>IF(B574="","",IF(ROW()-ROW($B$9)=$I$16,ROUND(F573+D574,2),MIN($I$18,ROUND(F573+D574,2))))</x:f>
      </x:c>
      <x:c r="D574" s="18" t="str">
        <x:f>IF(B574="","",ROUND(IF($I$19="Факт / 365",F573*$I$12*(B574-B573)/$I$20,F573*$I$17),2))</x:f>
      </x:c>
      <x:c r="E574" s="18" t="str">
        <x:f>IF(B574="","",ROUND(C574-D574,2))</x:f>
      </x:c>
      <x:c r="F574" s="18" t="str">
        <x:f>IF(B574="","",ROUND(F573-E574,2))</x:f>
      </x:c>
      <x:c r="G574" s="2"/>
      <x:c r="H574" s="2"/>
      <x:c r="I574" s="2"/>
    </x:row>
    <x:row r="575" ht="24" customHeight="1">
      <x:c r="A575" s="1"/>
      <x:c r="B575" s="17" t="str">
        <x:f>IF(ROW()-ROW($B$9)&lt;=$I$16,MIN($I$14,EDATE($I$15,(ROW()-ROW($B$9)-1)*$I$13)),"")</x:f>
      </x:c>
      <x:c r="C575" s="18" t="str">
        <x:f>IF(B575="","",IF(ROW()-ROW($B$9)=$I$16,ROUND(F574+D575,2),MIN($I$18,ROUND(F574+D575,2))))</x:f>
      </x:c>
      <x:c r="D575" s="18" t="str">
        <x:f>IF(B575="","",ROUND(IF($I$19="Факт / 365",F574*$I$12*(B575-B574)/$I$20,F574*$I$17),2))</x:f>
      </x:c>
      <x:c r="E575" s="18" t="str">
        <x:f>IF(B575="","",ROUND(C575-D575,2))</x:f>
      </x:c>
      <x:c r="F575" s="18" t="str">
        <x:f>IF(B575="","",ROUND(F574-E575,2))</x:f>
      </x:c>
      <x:c r="G575" s="2"/>
      <x:c r="H575" s="2"/>
      <x:c r="I575" s="2"/>
    </x:row>
    <x:row r="576" ht="24" customHeight="1">
      <x:c r="A576" s="1"/>
      <x:c r="B576" s="17" t="str">
        <x:f>IF(ROW()-ROW($B$9)&lt;=$I$16,MIN($I$14,EDATE($I$15,(ROW()-ROW($B$9)-1)*$I$13)),"")</x:f>
      </x:c>
      <x:c r="C576" s="18" t="str">
        <x:f>IF(B576="","",IF(ROW()-ROW($B$9)=$I$16,ROUND(F575+D576,2),MIN($I$18,ROUND(F575+D576,2))))</x:f>
      </x:c>
      <x:c r="D576" s="18" t="str">
        <x:f>IF(B576="","",ROUND(IF($I$19="Факт / 365",F575*$I$12*(B576-B575)/$I$20,F575*$I$17),2))</x:f>
      </x:c>
      <x:c r="E576" s="18" t="str">
        <x:f>IF(B576="","",ROUND(C576-D576,2))</x:f>
      </x:c>
      <x:c r="F576" s="18" t="str">
        <x:f>IF(B576="","",ROUND(F575-E576,2))</x:f>
      </x:c>
      <x:c r="G576" s="2"/>
      <x:c r="H576" s="2"/>
      <x:c r="I576" s="2"/>
    </x:row>
    <x:row r="577" ht="24" customHeight="1">
      <x:c r="A577" s="1"/>
      <x:c r="B577" s="17" t="str">
        <x:f>IF(ROW()-ROW($B$9)&lt;=$I$16,MIN($I$14,EDATE($I$15,(ROW()-ROW($B$9)-1)*$I$13)),"")</x:f>
      </x:c>
      <x:c r="C577" s="18" t="str">
        <x:f>IF(B577="","",IF(ROW()-ROW($B$9)=$I$16,ROUND(F576+D577,2),MIN($I$18,ROUND(F576+D577,2))))</x:f>
      </x:c>
      <x:c r="D577" s="18" t="str">
        <x:f>IF(B577="","",ROUND(IF($I$19="Факт / 365",F576*$I$12*(B577-B576)/$I$20,F576*$I$17),2))</x:f>
      </x:c>
      <x:c r="E577" s="18" t="str">
        <x:f>IF(B577="","",ROUND(C577-D577,2))</x:f>
      </x:c>
      <x:c r="F577" s="18" t="str">
        <x:f>IF(B577="","",ROUND(F576-E577,2))</x:f>
      </x:c>
      <x:c r="G577" s="2"/>
      <x:c r="H577" s="2"/>
      <x:c r="I577" s="2"/>
    </x:row>
    <x:row r="578" ht="24" customHeight="1">
      <x:c r="A578" s="1"/>
      <x:c r="B578" s="17" t="str">
        <x:f>IF(ROW()-ROW($B$9)&lt;=$I$16,MIN($I$14,EDATE($I$15,(ROW()-ROW($B$9)-1)*$I$13)),"")</x:f>
      </x:c>
      <x:c r="C578" s="18" t="str">
        <x:f>IF(B578="","",IF(ROW()-ROW($B$9)=$I$16,ROUND(F577+D578,2),MIN($I$18,ROUND(F577+D578,2))))</x:f>
      </x:c>
      <x:c r="D578" s="18" t="str">
        <x:f>IF(B578="","",ROUND(IF($I$19="Факт / 365",F577*$I$12*(B578-B577)/$I$20,F577*$I$17),2))</x:f>
      </x:c>
      <x:c r="E578" s="18" t="str">
        <x:f>IF(B578="","",ROUND(C578-D578,2))</x:f>
      </x:c>
      <x:c r="F578" s="18" t="str">
        <x:f>IF(B578="","",ROUND(F577-E578,2))</x:f>
      </x:c>
      <x:c r="G578" s="2"/>
      <x:c r="H578" s="2"/>
      <x:c r="I578" s="2"/>
    </x:row>
    <x:row r="579" ht="24" customHeight="1">
      <x:c r="A579" s="1"/>
      <x:c r="B579" s="17" t="str">
        <x:f>IF(ROW()-ROW($B$9)&lt;=$I$16,MIN($I$14,EDATE($I$15,(ROW()-ROW($B$9)-1)*$I$13)),"")</x:f>
      </x:c>
      <x:c r="C579" s="18" t="str">
        <x:f>IF(B579="","",IF(ROW()-ROW($B$9)=$I$16,ROUND(F578+D579,2),MIN($I$18,ROUND(F578+D579,2))))</x:f>
      </x:c>
      <x:c r="D579" s="18" t="str">
        <x:f>IF(B579="","",ROUND(IF($I$19="Факт / 365",F578*$I$12*(B579-B578)/$I$20,F578*$I$17),2))</x:f>
      </x:c>
      <x:c r="E579" s="18" t="str">
        <x:f>IF(B579="","",ROUND(C579-D579,2))</x:f>
      </x:c>
      <x:c r="F579" s="18" t="str">
        <x:f>IF(B579="","",ROUND(F578-E579,2))</x:f>
      </x:c>
      <x:c r="G579" s="2"/>
      <x:c r="H579" s="2"/>
      <x:c r="I579" s="2"/>
    </x:row>
    <x:row r="580" ht="24" customHeight="1">
      <x:c r="A580" s="1"/>
      <x:c r="B580" s="17" t="str">
        <x:f>IF(ROW()-ROW($B$9)&lt;=$I$16,MIN($I$14,EDATE($I$15,(ROW()-ROW($B$9)-1)*$I$13)),"")</x:f>
      </x:c>
      <x:c r="C580" s="18" t="str">
        <x:f>IF(B580="","",IF(ROW()-ROW($B$9)=$I$16,ROUND(F579+D580,2),MIN($I$18,ROUND(F579+D580,2))))</x:f>
      </x:c>
      <x:c r="D580" s="18" t="str">
        <x:f>IF(B580="","",ROUND(IF($I$19="Факт / 365",F579*$I$12*(B580-B579)/$I$20,F579*$I$17),2))</x:f>
      </x:c>
      <x:c r="E580" s="18" t="str">
        <x:f>IF(B580="","",ROUND(C580-D580,2))</x:f>
      </x:c>
      <x:c r="F580" s="18" t="str">
        <x:f>IF(B580="","",ROUND(F579-E580,2))</x:f>
      </x:c>
      <x:c r="G580" s="2"/>
      <x:c r="H580" s="2"/>
      <x:c r="I580" s="2"/>
    </x:row>
    <x:row r="581" ht="24" customHeight="1">
      <x:c r="A581" s="1"/>
      <x:c r="B581" s="17" t="str">
        <x:f>IF(ROW()-ROW($B$9)&lt;=$I$16,MIN($I$14,EDATE($I$15,(ROW()-ROW($B$9)-1)*$I$13)),"")</x:f>
      </x:c>
      <x:c r="C581" s="18" t="str">
        <x:f>IF(B581="","",IF(ROW()-ROW($B$9)=$I$16,ROUND(F580+D581,2),MIN($I$18,ROUND(F580+D581,2))))</x:f>
      </x:c>
      <x:c r="D581" s="18" t="str">
        <x:f>IF(B581="","",ROUND(IF($I$19="Факт / 365",F580*$I$12*(B581-B580)/$I$20,F580*$I$17),2))</x:f>
      </x:c>
      <x:c r="E581" s="18" t="str">
        <x:f>IF(B581="","",ROUND(C581-D581,2))</x:f>
      </x:c>
      <x:c r="F581" s="18" t="str">
        <x:f>IF(B581="","",ROUND(F580-E581,2))</x:f>
      </x:c>
      <x:c r="G581" s="2"/>
      <x:c r="H581" s="2"/>
      <x:c r="I581" s="2"/>
    </x:row>
    <x:row r="582" ht="24" customHeight="1">
      <x:c r="A582" s="1"/>
      <x:c r="B582" s="17" t="str">
        <x:f>IF(ROW()-ROW($B$9)&lt;=$I$16,MIN($I$14,EDATE($I$15,(ROW()-ROW($B$9)-1)*$I$13)),"")</x:f>
      </x:c>
      <x:c r="C582" s="18" t="str">
        <x:f>IF(B582="","",IF(ROW()-ROW($B$9)=$I$16,ROUND(F581+D582,2),MIN($I$18,ROUND(F581+D582,2))))</x:f>
      </x:c>
      <x:c r="D582" s="18" t="str">
        <x:f>IF(B582="","",ROUND(IF($I$19="Факт / 365",F581*$I$12*(B582-B581)/$I$20,F581*$I$17),2))</x:f>
      </x:c>
      <x:c r="E582" s="18" t="str">
        <x:f>IF(B582="","",ROUND(C582-D582,2))</x:f>
      </x:c>
      <x:c r="F582" s="18" t="str">
        <x:f>IF(B582="","",ROUND(F581-E582,2))</x:f>
      </x:c>
      <x:c r="G582" s="2"/>
      <x:c r="H582" s="2"/>
      <x:c r="I582" s="2"/>
    </x:row>
    <x:row r="583" ht="24" customHeight="1">
      <x:c r="A583" s="1"/>
      <x:c r="B583" s="17" t="str">
        <x:f>IF(ROW()-ROW($B$9)&lt;=$I$16,MIN($I$14,EDATE($I$15,(ROW()-ROW($B$9)-1)*$I$13)),"")</x:f>
      </x:c>
      <x:c r="C583" s="18" t="str">
        <x:f>IF(B583="","",IF(ROW()-ROW($B$9)=$I$16,ROUND(F582+D583,2),MIN($I$18,ROUND(F582+D583,2))))</x:f>
      </x:c>
      <x:c r="D583" s="18" t="str">
        <x:f>IF(B583="","",ROUND(IF($I$19="Факт / 365",F582*$I$12*(B583-B582)/$I$20,F582*$I$17),2))</x:f>
      </x:c>
      <x:c r="E583" s="18" t="str">
        <x:f>IF(B583="","",ROUND(C583-D583,2))</x:f>
      </x:c>
      <x:c r="F583" s="18" t="str">
        <x:f>IF(B583="","",ROUND(F582-E583,2))</x:f>
      </x:c>
      <x:c r="G583" s="2"/>
      <x:c r="H583" s="2"/>
      <x:c r="I583" s="2"/>
    </x:row>
    <x:row r="584" ht="24" customHeight="1">
      <x:c r="A584" s="1"/>
      <x:c r="B584" s="17" t="str">
        <x:f>IF(ROW()-ROW($B$9)&lt;=$I$16,MIN($I$14,EDATE($I$15,(ROW()-ROW($B$9)-1)*$I$13)),"")</x:f>
      </x:c>
      <x:c r="C584" s="18" t="str">
        <x:f>IF(B584="","",IF(ROW()-ROW($B$9)=$I$16,ROUND(F583+D584,2),MIN($I$18,ROUND(F583+D584,2))))</x:f>
      </x:c>
      <x:c r="D584" s="18" t="str">
        <x:f>IF(B584="","",ROUND(IF($I$19="Факт / 365",F583*$I$12*(B584-B583)/$I$20,F583*$I$17),2))</x:f>
      </x:c>
      <x:c r="E584" s="18" t="str">
        <x:f>IF(B584="","",ROUND(C584-D584,2))</x:f>
      </x:c>
      <x:c r="F584" s="18" t="str">
        <x:f>IF(B584="","",ROUND(F583-E584,2))</x:f>
      </x:c>
      <x:c r="G584" s="2"/>
      <x:c r="H584" s="2"/>
      <x:c r="I584" s="2"/>
    </x:row>
    <x:row r="585" ht="24" customHeight="1">
      <x:c r="A585" s="1"/>
      <x:c r="B585" s="17" t="str">
        <x:f>IF(ROW()-ROW($B$9)&lt;=$I$16,MIN($I$14,EDATE($I$15,(ROW()-ROW($B$9)-1)*$I$13)),"")</x:f>
      </x:c>
      <x:c r="C585" s="18" t="str">
        <x:f>IF(B585="","",IF(ROW()-ROW($B$9)=$I$16,ROUND(F584+D585,2),MIN($I$18,ROUND(F584+D585,2))))</x:f>
      </x:c>
      <x:c r="D585" s="18" t="str">
        <x:f>IF(B585="","",ROUND(IF($I$19="Факт / 365",F584*$I$12*(B585-B584)/$I$20,F584*$I$17),2))</x:f>
      </x:c>
      <x:c r="E585" s="18" t="str">
        <x:f>IF(B585="","",ROUND(C585-D585,2))</x:f>
      </x:c>
      <x:c r="F585" s="18" t="str">
        <x:f>IF(B585="","",ROUND(F584-E585,2))</x:f>
      </x:c>
      <x:c r="G585" s="2"/>
      <x:c r="H585" s="2"/>
      <x:c r="I585" s="2"/>
    </x:row>
    <x:row r="586" ht="24" customHeight="1">
      <x:c r="A586" s="1"/>
      <x:c r="B586" s="17" t="str">
        <x:f>IF(ROW()-ROW($B$9)&lt;=$I$16,MIN($I$14,EDATE($I$15,(ROW()-ROW($B$9)-1)*$I$13)),"")</x:f>
      </x:c>
      <x:c r="C586" s="18" t="str">
        <x:f>IF(B586="","",IF(ROW()-ROW($B$9)=$I$16,ROUND(F585+D586,2),MIN($I$18,ROUND(F585+D586,2))))</x:f>
      </x:c>
      <x:c r="D586" s="18" t="str">
        <x:f>IF(B586="","",ROUND(IF($I$19="Факт / 365",F585*$I$12*(B586-B585)/$I$20,F585*$I$17),2))</x:f>
      </x:c>
      <x:c r="E586" s="18" t="str">
        <x:f>IF(B586="","",ROUND(C586-D586,2))</x:f>
      </x:c>
      <x:c r="F586" s="18" t="str">
        <x:f>IF(B586="","",ROUND(F585-E586,2))</x:f>
      </x:c>
      <x:c r="G586" s="2"/>
      <x:c r="H586" s="2"/>
      <x:c r="I586" s="2"/>
    </x:row>
    <x:row r="587" ht="24" customHeight="1">
      <x:c r="A587" s="1"/>
      <x:c r="B587" s="17" t="str">
        <x:f>IF(ROW()-ROW($B$9)&lt;=$I$16,MIN($I$14,EDATE($I$15,(ROW()-ROW($B$9)-1)*$I$13)),"")</x:f>
      </x:c>
      <x:c r="C587" s="18" t="str">
        <x:f>IF(B587="","",IF(ROW()-ROW($B$9)=$I$16,ROUND(F586+D587,2),MIN($I$18,ROUND(F586+D587,2))))</x:f>
      </x:c>
      <x:c r="D587" s="18" t="str">
        <x:f>IF(B587="","",ROUND(IF($I$19="Факт / 365",F586*$I$12*(B587-B586)/$I$20,F586*$I$17),2))</x:f>
      </x:c>
      <x:c r="E587" s="18" t="str">
        <x:f>IF(B587="","",ROUND(C587-D587,2))</x:f>
      </x:c>
      <x:c r="F587" s="18" t="str">
        <x:f>IF(B587="","",ROUND(F586-E587,2))</x:f>
      </x:c>
      <x:c r="G587" s="2"/>
      <x:c r="H587" s="2"/>
      <x:c r="I587" s="2"/>
    </x:row>
    <x:row r="588" ht="24" customHeight="1">
      <x:c r="A588" s="1"/>
      <x:c r="B588" s="17" t="str">
        <x:f>IF(ROW()-ROW($B$9)&lt;=$I$16,MIN($I$14,EDATE($I$15,(ROW()-ROW($B$9)-1)*$I$13)),"")</x:f>
      </x:c>
      <x:c r="C588" s="18" t="str">
        <x:f>IF(B588="","",IF(ROW()-ROW($B$9)=$I$16,ROUND(F587+D588,2),MIN($I$18,ROUND(F587+D588,2))))</x:f>
      </x:c>
      <x:c r="D588" s="18" t="str">
        <x:f>IF(B588="","",ROUND(IF($I$19="Факт / 365",F587*$I$12*(B588-B587)/$I$20,F587*$I$17),2))</x:f>
      </x:c>
      <x:c r="E588" s="18" t="str">
        <x:f>IF(B588="","",ROUND(C588-D588,2))</x:f>
      </x:c>
      <x:c r="F588" s="18" t="str">
        <x:f>IF(B588="","",ROUND(F587-E588,2))</x:f>
      </x:c>
      <x:c r="G588" s="2"/>
      <x:c r="H588" s="2"/>
      <x:c r="I588" s="2"/>
    </x:row>
    <x:row r="589" ht="24" customHeight="1">
      <x:c r="A589" s="1"/>
      <x:c r="B589" s="17" t="str">
        <x:f>IF(ROW()-ROW($B$9)&lt;=$I$16,MIN($I$14,EDATE($I$15,(ROW()-ROW($B$9)-1)*$I$13)),"")</x:f>
      </x:c>
      <x:c r="C589" s="18" t="str">
        <x:f>IF(B589="","",IF(ROW()-ROW($B$9)=$I$16,ROUND(F588+D589,2),MIN($I$18,ROUND(F588+D589,2))))</x:f>
      </x:c>
      <x:c r="D589" s="18" t="str">
        <x:f>IF(B589="","",ROUND(IF($I$19="Факт / 365",F588*$I$12*(B589-B588)/$I$20,F588*$I$17),2))</x:f>
      </x:c>
      <x:c r="E589" s="18" t="str">
        <x:f>IF(B589="","",ROUND(C589-D589,2))</x:f>
      </x:c>
      <x:c r="F589" s="18" t="str">
        <x:f>IF(B589="","",ROUND(F588-E589,2))</x:f>
      </x:c>
      <x:c r="G589" s="2"/>
      <x:c r="H589" s="2"/>
      <x:c r="I589" s="2"/>
    </x:row>
    <x:row r="590" ht="24" customHeight="1">
      <x:c r="A590" s="1"/>
      <x:c r="B590" s="17" t="str">
        <x:f>IF(ROW()-ROW($B$9)&lt;=$I$16,MIN($I$14,EDATE($I$15,(ROW()-ROW($B$9)-1)*$I$13)),"")</x:f>
      </x:c>
      <x:c r="C590" s="18" t="str">
        <x:f>IF(B590="","",IF(ROW()-ROW($B$9)=$I$16,ROUND(F589+D590,2),MIN($I$18,ROUND(F589+D590,2))))</x:f>
      </x:c>
      <x:c r="D590" s="18" t="str">
        <x:f>IF(B590="","",ROUND(IF($I$19="Факт / 365",F589*$I$12*(B590-B589)/$I$20,F589*$I$17),2))</x:f>
      </x:c>
      <x:c r="E590" s="18" t="str">
        <x:f>IF(B590="","",ROUND(C590-D590,2))</x:f>
      </x:c>
      <x:c r="F590" s="18" t="str">
        <x:f>IF(B590="","",ROUND(F589-E590,2))</x:f>
      </x:c>
      <x:c r="G590" s="2"/>
      <x:c r="H590" s="2"/>
      <x:c r="I590" s="2"/>
    </x:row>
    <x:row r="591" ht="24" customHeight="1">
      <x:c r="A591" s="1"/>
      <x:c r="B591" s="17" t="str">
        <x:f>IF(ROW()-ROW($B$9)&lt;=$I$16,MIN($I$14,EDATE($I$15,(ROW()-ROW($B$9)-1)*$I$13)),"")</x:f>
      </x:c>
      <x:c r="C591" s="18" t="str">
        <x:f>IF(B591="","",IF(ROW()-ROW($B$9)=$I$16,ROUND(F590+D591,2),MIN($I$18,ROUND(F590+D591,2))))</x:f>
      </x:c>
      <x:c r="D591" s="18" t="str">
        <x:f>IF(B591="","",ROUND(IF($I$19="Факт / 365",F590*$I$12*(B591-B590)/$I$20,F590*$I$17),2))</x:f>
      </x:c>
      <x:c r="E591" s="18" t="str">
        <x:f>IF(B591="","",ROUND(C591-D591,2))</x:f>
      </x:c>
      <x:c r="F591" s="18" t="str">
        <x:f>IF(B591="","",ROUND(F590-E591,2))</x:f>
      </x:c>
      <x:c r="G591" s="2"/>
      <x:c r="H591" s="2"/>
      <x:c r="I591" s="2"/>
    </x:row>
    <x:row r="592" ht="24" customHeight="1">
      <x:c r="A592" s="1"/>
      <x:c r="B592" s="17" t="str">
        <x:f>IF(ROW()-ROW($B$9)&lt;=$I$16,MIN($I$14,EDATE($I$15,(ROW()-ROW($B$9)-1)*$I$13)),"")</x:f>
      </x:c>
      <x:c r="C592" s="18" t="str">
        <x:f>IF(B592="","",IF(ROW()-ROW($B$9)=$I$16,ROUND(F591+D592,2),MIN($I$18,ROUND(F591+D592,2))))</x:f>
      </x:c>
      <x:c r="D592" s="18" t="str">
        <x:f>IF(B592="","",ROUND(IF($I$19="Факт / 365",F591*$I$12*(B592-B591)/$I$20,F591*$I$17),2))</x:f>
      </x:c>
      <x:c r="E592" s="18" t="str">
        <x:f>IF(B592="","",ROUND(C592-D592,2))</x:f>
      </x:c>
      <x:c r="F592" s="18" t="str">
        <x:f>IF(B592="","",ROUND(F591-E592,2))</x:f>
      </x:c>
      <x:c r="G592" s="2"/>
      <x:c r="H592" s="2"/>
      <x:c r="I592" s="2"/>
    </x:row>
    <x:row r="593" ht="24" customHeight="1">
      <x:c r="A593" s="1"/>
      <x:c r="B593" s="17" t="str">
        <x:f>IF(ROW()-ROW($B$9)&lt;=$I$16,MIN($I$14,EDATE($I$15,(ROW()-ROW($B$9)-1)*$I$13)),"")</x:f>
      </x:c>
      <x:c r="C593" s="18" t="str">
        <x:f>IF(B593="","",IF(ROW()-ROW($B$9)=$I$16,ROUND(F592+D593,2),MIN($I$18,ROUND(F592+D593,2))))</x:f>
      </x:c>
      <x:c r="D593" s="18" t="str">
        <x:f>IF(B593="","",ROUND(IF($I$19="Факт / 365",F592*$I$12*(B593-B592)/$I$20,F592*$I$17),2))</x:f>
      </x:c>
      <x:c r="E593" s="18" t="str">
        <x:f>IF(B593="","",ROUND(C593-D593,2))</x:f>
      </x:c>
      <x:c r="F593" s="18" t="str">
        <x:f>IF(B593="","",ROUND(F592-E593,2))</x:f>
      </x:c>
      <x:c r="G593" s="2"/>
      <x:c r="H593" s="2"/>
      <x:c r="I593" s="2"/>
    </x:row>
    <x:row r="594" ht="24" customHeight="1">
      <x:c r="A594" s="1"/>
      <x:c r="B594" s="17" t="str">
        <x:f>IF(ROW()-ROW($B$9)&lt;=$I$16,MIN($I$14,EDATE($I$15,(ROW()-ROW($B$9)-1)*$I$13)),"")</x:f>
      </x:c>
      <x:c r="C594" s="18" t="str">
        <x:f>IF(B594="","",IF(ROW()-ROW($B$9)=$I$16,ROUND(F593+D594,2),MIN($I$18,ROUND(F593+D594,2))))</x:f>
      </x:c>
      <x:c r="D594" s="18" t="str">
        <x:f>IF(B594="","",ROUND(IF($I$19="Факт / 365",F593*$I$12*(B594-B593)/$I$20,F593*$I$17),2))</x:f>
      </x:c>
      <x:c r="E594" s="18" t="str">
        <x:f>IF(B594="","",ROUND(C594-D594,2))</x:f>
      </x:c>
      <x:c r="F594" s="18" t="str">
        <x:f>IF(B594="","",ROUND(F593-E594,2))</x:f>
      </x:c>
      <x:c r="G594" s="2"/>
      <x:c r="H594" s="2"/>
      <x:c r="I594" s="2"/>
    </x:row>
    <x:row r="595" ht="24" customHeight="1">
      <x:c r="A595" s="1"/>
      <x:c r="B595" s="17" t="str">
        <x:f>IF(ROW()-ROW($B$9)&lt;=$I$16,MIN($I$14,EDATE($I$15,(ROW()-ROW($B$9)-1)*$I$13)),"")</x:f>
      </x:c>
      <x:c r="C595" s="18" t="str">
        <x:f>IF(B595="","",IF(ROW()-ROW($B$9)=$I$16,ROUND(F594+D595,2),MIN($I$18,ROUND(F594+D595,2))))</x:f>
      </x:c>
      <x:c r="D595" s="18" t="str">
        <x:f>IF(B595="","",ROUND(IF($I$19="Факт / 365",F594*$I$12*(B595-B594)/$I$20,F594*$I$17),2))</x:f>
      </x:c>
      <x:c r="E595" s="18" t="str">
        <x:f>IF(B595="","",ROUND(C595-D595,2))</x:f>
      </x:c>
      <x:c r="F595" s="18" t="str">
        <x:f>IF(B595="","",ROUND(F594-E595,2))</x:f>
      </x:c>
      <x:c r="G595" s="2"/>
      <x:c r="H595" s="2"/>
      <x:c r="I595" s="2"/>
    </x:row>
    <x:row r="596" ht="24" customHeight="1">
      <x:c r="A596" s="1"/>
      <x:c r="B596" s="17" t="str">
        <x:f>IF(ROW()-ROW($B$9)&lt;=$I$16,MIN($I$14,EDATE($I$15,(ROW()-ROW($B$9)-1)*$I$13)),"")</x:f>
      </x:c>
      <x:c r="C596" s="18" t="str">
        <x:f>IF(B596="","",IF(ROW()-ROW($B$9)=$I$16,ROUND(F595+D596,2),MIN($I$18,ROUND(F595+D596,2))))</x:f>
      </x:c>
      <x:c r="D596" s="18" t="str">
        <x:f>IF(B596="","",ROUND(IF($I$19="Факт / 365",F595*$I$12*(B596-B595)/$I$20,F595*$I$17),2))</x:f>
      </x:c>
      <x:c r="E596" s="18" t="str">
        <x:f>IF(B596="","",ROUND(C596-D596,2))</x:f>
      </x:c>
      <x:c r="F596" s="18" t="str">
        <x:f>IF(B596="","",ROUND(F595-E596,2))</x:f>
      </x:c>
      <x:c r="G596" s="2"/>
      <x:c r="H596" s="2"/>
      <x:c r="I596" s="2"/>
    </x:row>
    <x:row r="597" ht="24" customHeight="1">
      <x:c r="A597" s="1"/>
      <x:c r="B597" s="17" t="str">
        <x:f>IF(ROW()-ROW($B$9)&lt;=$I$16,MIN($I$14,EDATE($I$15,(ROW()-ROW($B$9)-1)*$I$13)),"")</x:f>
      </x:c>
      <x:c r="C597" s="18" t="str">
        <x:f>IF(B597="","",IF(ROW()-ROW($B$9)=$I$16,ROUND(F596+D597,2),MIN($I$18,ROUND(F596+D597,2))))</x:f>
      </x:c>
      <x:c r="D597" s="18" t="str">
        <x:f>IF(B597="","",ROUND(IF($I$19="Факт / 365",F596*$I$12*(B597-B596)/$I$20,F596*$I$17),2))</x:f>
      </x:c>
      <x:c r="E597" s="18" t="str">
        <x:f>IF(B597="","",ROUND(C597-D597,2))</x:f>
      </x:c>
      <x:c r="F597" s="18" t="str">
        <x:f>IF(B597="","",ROUND(F596-E597,2))</x:f>
      </x:c>
      <x:c r="G597" s="2"/>
      <x:c r="H597" s="2"/>
      <x:c r="I597" s="2"/>
    </x:row>
    <x:row r="598" ht="24" customHeight="1">
      <x:c r="A598" s="1"/>
      <x:c r="B598" s="17" t="str">
        <x:f>IF(ROW()-ROW($B$9)&lt;=$I$16,MIN($I$14,EDATE($I$15,(ROW()-ROW($B$9)-1)*$I$13)),"")</x:f>
      </x:c>
      <x:c r="C598" s="18" t="str">
        <x:f>IF(B598="","",IF(ROW()-ROW($B$9)=$I$16,ROUND(F597+D598,2),MIN($I$18,ROUND(F597+D598,2))))</x:f>
      </x:c>
      <x:c r="D598" s="18" t="str">
        <x:f>IF(B598="","",ROUND(IF($I$19="Факт / 365",F597*$I$12*(B598-B597)/$I$20,F597*$I$17),2))</x:f>
      </x:c>
      <x:c r="E598" s="18" t="str">
        <x:f>IF(B598="","",ROUND(C598-D598,2))</x:f>
      </x:c>
      <x:c r="F598" s="18" t="str">
        <x:f>IF(B598="","",ROUND(F597-E598,2))</x:f>
      </x:c>
      <x:c r="G598" s="2"/>
      <x:c r="H598" s="2"/>
      <x:c r="I598" s="2"/>
    </x:row>
    <x:row r="599" ht="24" customHeight="1">
      <x:c r="A599" s="1"/>
      <x:c r="B599" s="17" t="str">
        <x:f>IF(ROW()-ROW($B$9)&lt;=$I$16,MIN($I$14,EDATE($I$15,(ROW()-ROW($B$9)-1)*$I$13)),"")</x:f>
      </x:c>
      <x:c r="C599" s="18" t="str">
        <x:f>IF(B599="","",IF(ROW()-ROW($B$9)=$I$16,ROUND(F598+D599,2),MIN($I$18,ROUND(F598+D599,2))))</x:f>
      </x:c>
      <x:c r="D599" s="18" t="str">
        <x:f>IF(B599="","",ROUND(IF($I$19="Факт / 365",F598*$I$12*(B599-B598)/$I$20,F598*$I$17),2))</x:f>
      </x:c>
      <x:c r="E599" s="18" t="str">
        <x:f>IF(B599="","",ROUND(C599-D599,2))</x:f>
      </x:c>
      <x:c r="F599" s="18" t="str">
        <x:f>IF(B599="","",ROUND(F598-E599,2))</x:f>
      </x:c>
      <x:c r="G599" s="2"/>
      <x:c r="H599" s="2"/>
      <x:c r="I599" s="2"/>
    </x:row>
    <x:row r="600" ht="24" customHeight="1">
      <x:c r="A600" s="1"/>
      <x:c r="B600" s="17" t="str">
        <x:f>IF(ROW()-ROW($B$9)&lt;=$I$16,MIN($I$14,EDATE($I$15,(ROW()-ROW($B$9)-1)*$I$13)),"")</x:f>
      </x:c>
      <x:c r="C600" s="18" t="str">
        <x:f>IF(B600="","",IF(ROW()-ROW($B$9)=$I$16,ROUND(F599+D600,2),MIN($I$18,ROUND(F599+D600,2))))</x:f>
      </x:c>
      <x:c r="D600" s="18" t="str">
        <x:f>IF(B600="","",ROUND(IF($I$19="Факт / 365",F599*$I$12*(B600-B599)/$I$20,F599*$I$17),2))</x:f>
      </x:c>
      <x:c r="E600" s="18" t="str">
        <x:f>IF(B600="","",ROUND(C600-D600,2))</x:f>
      </x:c>
      <x:c r="F600" s="18" t="str">
        <x:f>IF(B600="","",ROUND(F599-E600,2))</x:f>
      </x:c>
      <x:c r="G600" s="2"/>
      <x:c r="H600" s="2"/>
      <x:c r="I600" s="2"/>
    </x:row>
    <x:row r="601" ht="24" customHeight="1">
      <x:c r="A601" s="1"/>
      <x:c r="B601" s="17" t="str">
        <x:f>IF(ROW()-ROW($B$9)&lt;=$I$16,MIN($I$14,EDATE($I$15,(ROW()-ROW($B$9)-1)*$I$13)),"")</x:f>
      </x:c>
      <x:c r="C601" s="18" t="str">
        <x:f>IF(B601="","",IF(ROW()-ROW($B$9)=$I$16,ROUND(F600+D601,2),MIN($I$18,ROUND(F600+D601,2))))</x:f>
      </x:c>
      <x:c r="D601" s="18" t="str">
        <x:f>IF(B601="","",ROUND(IF($I$19="Факт / 365",F600*$I$12*(B601-B600)/$I$20,F600*$I$17),2))</x:f>
      </x:c>
      <x:c r="E601" s="18" t="str">
        <x:f>IF(B601="","",ROUND(C601-D601,2))</x:f>
      </x:c>
      <x:c r="F601" s="18" t="str">
        <x:f>IF(B601="","",ROUND(F600-E601,2))</x:f>
      </x:c>
      <x:c r="G601" s="2"/>
      <x:c r="H601" s="2"/>
      <x:c r="I601" s="2"/>
    </x:row>
    <x:row r="602" ht="24" customHeight="1">
      <x:c r="A602" s="1"/>
      <x:c r="B602" s="17" t="str">
        <x:f>IF(ROW()-ROW($B$9)&lt;=$I$16,MIN($I$14,EDATE($I$15,(ROW()-ROW($B$9)-1)*$I$13)),"")</x:f>
      </x:c>
      <x:c r="C602" s="18" t="str">
        <x:f>IF(B602="","",IF(ROW()-ROW($B$9)=$I$16,ROUND(F601+D602,2),MIN($I$18,ROUND(F601+D602,2))))</x:f>
      </x:c>
      <x:c r="D602" s="18" t="str">
        <x:f>IF(B602="","",ROUND(IF($I$19="Факт / 365",F601*$I$12*(B602-B601)/$I$20,F601*$I$17),2))</x:f>
      </x:c>
      <x:c r="E602" s="18" t="str">
        <x:f>IF(B602="","",ROUND(C602-D602,2))</x:f>
      </x:c>
      <x:c r="F602" s="18" t="str">
        <x:f>IF(B602="","",ROUND(F601-E602,2))</x:f>
      </x:c>
      <x:c r="G602" s="2"/>
      <x:c r="H602" s="2"/>
      <x:c r="I602" s="2"/>
    </x:row>
    <x:row r="603" ht="24" customHeight="1">
      <x:c r="A603" s="1"/>
      <x:c r="B603" s="17" t="str">
        <x:f>IF(ROW()-ROW($B$9)&lt;=$I$16,MIN($I$14,EDATE($I$15,(ROW()-ROW($B$9)-1)*$I$13)),"")</x:f>
      </x:c>
      <x:c r="C603" s="18" t="str">
        <x:f>IF(B603="","",IF(ROW()-ROW($B$9)=$I$16,ROUND(F602+D603,2),MIN($I$18,ROUND(F602+D603,2))))</x:f>
      </x:c>
      <x:c r="D603" s="18" t="str">
        <x:f>IF(B603="","",ROUND(IF($I$19="Факт / 365",F602*$I$12*(B603-B602)/$I$20,F602*$I$17),2))</x:f>
      </x:c>
      <x:c r="E603" s="18" t="str">
        <x:f>IF(B603="","",ROUND(C603-D603,2))</x:f>
      </x:c>
      <x:c r="F603" s="18" t="str">
        <x:f>IF(B603="","",ROUND(F602-E603,2))</x:f>
      </x:c>
      <x:c r="G603" s="2"/>
      <x:c r="H603" s="2"/>
      <x:c r="I603" s="2"/>
    </x:row>
    <x:row r="604" ht="24" customHeight="1">
      <x:c r="A604" s="1"/>
      <x:c r="B604" s="17" t="str">
        <x:f>IF(ROW()-ROW($B$9)&lt;=$I$16,MIN($I$14,EDATE($I$15,(ROW()-ROW($B$9)-1)*$I$13)),"")</x:f>
      </x:c>
      <x:c r="C604" s="18" t="str">
        <x:f>IF(B604="","",IF(ROW()-ROW($B$9)=$I$16,ROUND(F603+D604,2),MIN($I$18,ROUND(F603+D604,2))))</x:f>
      </x:c>
      <x:c r="D604" s="18" t="str">
        <x:f>IF(B604="","",ROUND(IF($I$19="Факт / 365",F603*$I$12*(B604-B603)/$I$20,F603*$I$17),2))</x:f>
      </x:c>
      <x:c r="E604" s="18" t="str">
        <x:f>IF(B604="","",ROUND(C604-D604,2))</x:f>
      </x:c>
      <x:c r="F604" s="18" t="str">
        <x:f>IF(B604="","",ROUND(F603-E604,2))</x:f>
      </x:c>
      <x:c r="G604" s="2"/>
      <x:c r="H604" s="2"/>
      <x:c r="I604" s="2"/>
    </x:row>
    <x:row r="605" ht="24" customHeight="1">
      <x:c r="A605" s="1"/>
      <x:c r="B605" s="17" t="str">
        <x:f>IF(ROW()-ROW($B$9)&lt;=$I$16,MIN($I$14,EDATE($I$15,(ROW()-ROW($B$9)-1)*$I$13)),"")</x:f>
      </x:c>
      <x:c r="C605" s="18" t="str">
        <x:f>IF(B605="","",IF(ROW()-ROW($B$9)=$I$16,ROUND(F604+D605,2),MIN($I$18,ROUND(F604+D605,2))))</x:f>
      </x:c>
      <x:c r="D605" s="18" t="str">
        <x:f>IF(B605="","",ROUND(IF($I$19="Факт / 365",F604*$I$12*(B605-B604)/$I$20,F604*$I$17),2))</x:f>
      </x:c>
      <x:c r="E605" s="18" t="str">
        <x:f>IF(B605="","",ROUND(C605-D605,2))</x:f>
      </x:c>
      <x:c r="F605" s="18" t="str">
        <x:f>IF(B605="","",ROUND(F604-E605,2))</x:f>
      </x:c>
      <x:c r="G605" s="2"/>
      <x:c r="H605" s="2"/>
      <x:c r="I605" s="2"/>
    </x:row>
    <x:row r="606" ht="24" customHeight="1">
      <x:c r="A606" s="1"/>
      <x:c r="B606" s="17" t="str">
        <x:f>IF(ROW()-ROW($B$9)&lt;=$I$16,MIN($I$14,EDATE($I$15,(ROW()-ROW($B$9)-1)*$I$13)),"")</x:f>
      </x:c>
      <x:c r="C606" s="18" t="str">
        <x:f>IF(B606="","",IF(ROW()-ROW($B$9)=$I$16,ROUND(F605+D606,2),MIN($I$18,ROUND(F605+D606,2))))</x:f>
      </x:c>
      <x:c r="D606" s="18" t="str">
        <x:f>IF(B606="","",ROUND(IF($I$19="Факт / 365",F605*$I$12*(B606-B605)/$I$20,F605*$I$17),2))</x:f>
      </x:c>
      <x:c r="E606" s="18" t="str">
        <x:f>IF(B606="","",ROUND(C606-D606,2))</x:f>
      </x:c>
      <x:c r="F606" s="18" t="str">
        <x:f>IF(B606="","",ROUND(F605-E606,2))</x:f>
      </x:c>
      <x:c r="G606" s="2"/>
      <x:c r="H606" s="2"/>
      <x:c r="I606" s="2"/>
    </x:row>
    <x:row r="607" ht="24" customHeight="1">
      <x:c r="A607" s="1"/>
      <x:c r="B607" s="17" t="str">
        <x:f>IF(ROW()-ROW($B$9)&lt;=$I$16,MIN($I$14,EDATE($I$15,(ROW()-ROW($B$9)-1)*$I$13)),"")</x:f>
      </x:c>
      <x:c r="C607" s="18" t="str">
        <x:f>IF(B607="","",IF(ROW()-ROW($B$9)=$I$16,ROUND(F606+D607,2),MIN($I$18,ROUND(F606+D607,2))))</x:f>
      </x:c>
      <x:c r="D607" s="18" t="str">
        <x:f>IF(B607="","",ROUND(IF($I$19="Факт / 365",F606*$I$12*(B607-B606)/$I$20,F606*$I$17),2))</x:f>
      </x:c>
      <x:c r="E607" s="18" t="str">
        <x:f>IF(B607="","",ROUND(C607-D607,2))</x:f>
      </x:c>
      <x:c r="F607" s="18" t="str">
        <x:f>IF(B607="","",ROUND(F606-E607,2))</x:f>
      </x:c>
      <x:c r="G607" s="2"/>
      <x:c r="H607" s="2"/>
      <x:c r="I607" s="2"/>
    </x:row>
    <x:row r="608" ht="24" customHeight="1">
      <x:c r="A608" s="1"/>
      <x:c r="B608" s="17" t="str">
        <x:f>IF(ROW()-ROW($B$9)&lt;=$I$16,MIN($I$14,EDATE($I$15,(ROW()-ROW($B$9)-1)*$I$13)),"")</x:f>
      </x:c>
      <x:c r="C608" s="18" t="str">
        <x:f>IF(B608="","",IF(ROW()-ROW($B$9)=$I$16,ROUND(F607+D608,2),MIN($I$18,ROUND(F607+D608,2))))</x:f>
      </x:c>
      <x:c r="D608" s="18" t="str">
        <x:f>IF(B608="","",ROUND(IF($I$19="Факт / 365",F607*$I$12*(B608-B607)/$I$20,F607*$I$17),2))</x:f>
      </x:c>
      <x:c r="E608" s="18" t="str">
        <x:f>IF(B608="","",ROUND(C608-D608,2))</x:f>
      </x:c>
      <x:c r="F608" s="18" t="str">
        <x:f>IF(B608="","",ROUND(F607-E608,2))</x:f>
      </x:c>
      <x:c r="G608" s="2"/>
      <x:c r="H608" s="2"/>
      <x:c r="I608" s="2"/>
    </x:row>
    <x:row r="609" ht="24" customHeight="1">
      <x:c r="A609" s="1"/>
      <x:c r="B609" s="19" t="str">
        <x:f>IF(ROW()-ROW($B$9)&lt;=$I$16,MIN($I$14,EDATE($I$15,(ROW()-ROW($B$9)-1)*$I$13)),"")</x:f>
      </x:c>
      <x:c r="C609" s="20" t="str">
        <x:f>IF(B609="","",IF(ROW()-ROW($B$9)=$I$16,ROUND(F608+D609,2),MIN($I$18,ROUND(F608+D609,2))))</x:f>
      </x:c>
      <x:c r="D609" s="20" t="str">
        <x:f>IF(B609="","",ROUND(IF($I$19="Факт / 365",F608*$I$12*(B609-B608)/$I$20,F608*$I$17),2))</x:f>
      </x:c>
      <x:c r="E609" s="20" t="str">
        <x:f>IF(B609="","",ROUND(C609-D609,2))</x:f>
      </x:c>
      <x:c r="F609" s="20" t="str">
        <x:f>IF(B609="","",ROUND(F608-E609,2))</x:f>
      </x:c>
      <x:c r="G609" s="2"/>
      <x:c r="H609" s="2"/>
      <x:c r="I609" s="2"/>
    </x:row>
  </x:sheetData>
  <x:mergeCells>
    <x:mergeCell ref="B2:F2"/>
    <x:mergeCell ref="B4:C4"/>
    <x:mergeCell ref="D4:E4"/>
    <x:mergeCell ref="B5:C6"/>
    <x:mergeCell ref="D5:E6"/>
    <x:mergeCell ref="F5:F6"/>
    <x:mergeCell ref="H22:I22"/>
    <x:mergeCell ref="H25:I26"/>
    <x:mergeCell ref="H27:I28"/>
    <x:mergeCell ref="H29:I30"/>
    <x:mergeCell ref="H31:I32"/>
    <x:mergeCell ref="H33:I34"/>
    <x:mergeCell ref="H35:I36"/>
    <x:mergeCell ref="H37:I38"/>
    <x:mergeCell ref="H39:I40"/>
  </x:mergeCells>
  <x:conditionalFormatting sqref="I42:I43">
    <x:cfRule type="cellIs" dxfId="0" priority="1" operator="notEqual">
      <x:formula>0</x:formula>
    </x:cfRule>
  </x:conditionalFormatting>
  <x:dataValidations count="2">
    <x:dataValidation type="list" sqref="I19">
      <x:formula1>"Факт / 365,Ставка / 12"</x:formula1>
    </x:dataValidation>
    <x:dataValidation type="whole" operator="between" sqref="I13">
      <x:formula1>1</x:formula1>
      <x:formula2>12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88B2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.5" hidden="0" customWidth="1"/>
    <x:col min="2" max="2" width="12.5" hidden="0" customWidth="1"/>
    <x:col min="3" max="3" width="21.25" hidden="0" customWidth="1"/>
    <x:col min="4" max="4" width="15" hidden="0" customWidth="1"/>
    <x:col min="5" max="5" width="23.1299991607666" hidden="0" customWidth="1"/>
    <x:col min="6" max="6" width="29.3799991607666" hidden="0" customWidth="1"/>
  </x:cols>
  <x:sheetData>
    <x:row r="1">
      <x:c r="B1" s="2"/>
      <x:c r="C1" s="2"/>
      <x:c r="D1" s="2"/>
      <x:c r="E1" s="2"/>
      <x:c r="F1" s="2"/>
    </x:row>
    <x:row r="2" ht="34" customHeight="1">
      <x:c r="B2" s="42" t="str">
        <x:v>Расчет аннуитета по датам</x:v>
      </x:c>
      <x:c r="C2" s="42"/>
      <x:c r="D2" s="42"/>
      <x:c r="E2" s="42"/>
      <x:c r="F2" s="42"/>
    </x:row>
    <x:row r="3">
      <x:c r="B3" s="43" t="str">
        <x:v>Платеж = остаток долга / сумма коэффициентов дисконтирования.</x:v>
      </x:c>
      <x:c r="C3" s="43"/>
      <x:c r="D3" s="43"/>
      <x:c r="E3" s="43"/>
      <x:c r="F3" s="43"/>
    </x:row>
    <x:row r="4">
      <x:c r="B4" s="43" t="str">
        <x:v>Коэффициент каждого периода = предыдущий коэффициент / (1 + ставка периода).</x:v>
      </x:c>
      <x:c r="C4" s="43"/>
      <x:c r="D4" s="43"/>
      <x:c r="E4" s="43"/>
      <x:c r="F4" s="43"/>
    </x:row>
    <x:row r="5">
      <x:c r="B5" s="2" t="str">
        <x:v>Сумма коэффициентов дисконтирования</x:v>
      </x:c>
      <x:c r="C5" s="2"/>
      <x:c r="D5" s="2"/>
      <x:c r="E5" s="2"/>
      <x:c r="F5" s="44" t="n">
        <x:f>SUM(F10:F609)</x:f>
        <x:v>140.2149596068776</x:v>
      </x:c>
    </x:row>
    <x:row r="6">
      <x:c r="B6" s="2"/>
      <x:c r="C6" s="2"/>
      <x:c r="D6" s="2"/>
      <x:c r="E6" s="2"/>
      <x:c r="F6" s="2"/>
    </x:row>
    <x:row r="7">
      <x:c r="B7" s="2"/>
      <x:c r="C7" s="2"/>
      <x:c r="D7" s="2"/>
      <x:c r="E7" s="2"/>
      <x:c r="F7" s="2"/>
    </x:row>
    <x:row r="8" ht="34" customHeight="1">
      <x:c r="B8" s="46" t="str">
        <x:v>№ платежа</x:v>
      </x:c>
      <x:c r="C8" s="46" t="str">
        <x:v>Дата</x:v>
      </x:c>
      <x:c r="D8" s="46" t="str">
        <x:v>Дней</x:v>
      </x:c>
      <x:c r="E8" s="46" t="str">
        <x:v>Ставка периода</x:v>
      </x:c>
      <x:c r="F8" s="46" t="str">
        <x:v>Коэффициент</x:v>
      </x:c>
    </x:row>
    <x:row r="9" ht="24" customHeight="1">
      <x:c r="B9" s="63" t="n">
        <x:f>0</x:f>
        <x:v>0</x:v>
      </x:c>
      <x:c r="C9" s="64" t="n">
        <x:f>'График платежей'!$I$10</x:f>
        <x:v>44804</x:v>
      </x:c>
      <x:c r="D9" s="63" t="n">
        <x:f>0</x:f>
        <x:v>0</x:v>
      </x:c>
      <x:c r="E9" s="65" t="n">
        <x:f>0</x:f>
        <x:v>0</x:v>
      </x:c>
      <x:c r="F9" s="66" t="n">
        <x:f>1</x:f>
        <x:v>1</x:v>
      </x:c>
    </x:row>
    <x:row r="10" ht="24" customHeight="1">
      <x:c r="B10" s="67" t="n">
        <x:f>IF('График платежей'!B10="","",ROW()-ROW($B$9))</x:f>
        <x:v>1</x:v>
      </x:c>
      <x:c r="C10" s="68" t="n">
        <x:f>IF(B10="","",'График платежей'!B10)</x:f>
        <x:v>44826</x:v>
      </x:c>
      <x:c r="D10" s="67" t="n">
        <x:f>IF(B10="","",C10-C9)</x:f>
        <x:v>22</x:v>
      </x:c>
      <x:c r="E10" s="69" t="n">
        <x:f>IF(B10="","",IF('График платежей'!$I$19="Факт / 365",'График платежей'!$I$12*D10/'График платежей'!$I$20,'График платежей'!$I$17))</x:f>
        <x:v>0.00452054794520548</x:v>
      </x:c>
      <x:c r="F10" s="70" t="n">
        <x:f>IF(B10="","",F9/(1+E10))</x:f>
        <x:v>0.9954997954452475</x:v>
      </x:c>
    </x:row>
    <x:row r="11" ht="24" customHeight="1">
      <x:c r="B11" s="67" t="n">
        <x:f>IF('График платежей'!B11="","",ROW()-ROW($B$9))</x:f>
        <x:v>2</x:v>
      </x:c>
      <x:c r="C11" s="68" t="n">
        <x:f>IF(B11="","",'График платежей'!B11)</x:f>
        <x:v>44856</x:v>
      </x:c>
      <x:c r="D11" s="67" t="n">
        <x:f>IF(B11="","",C11-C10)</x:f>
        <x:v>30</x:v>
      </x:c>
      <x:c r="E11" s="69" t="n">
        <x:f>IF(B11="","",IF('График платежей'!$I$19="Факт / 365",'График платежей'!$I$12*D11/'График платежей'!$I$20,'График платежей'!$I$17))</x:f>
        <x:v>0.0061643835616438354</x:v>
      </x:c>
      <x:c r="F11" s="70" t="n">
        <x:f>IF(B11="","",F10/(1+E11))</x:f>
        <x:v>0.9894007497277476</x:v>
      </x:c>
    </x:row>
    <x:row r="12" ht="24" customHeight="1">
      <x:c r="B12" s="67" t="n">
        <x:f>IF('График платежей'!B12="","",ROW()-ROW($B$9))</x:f>
        <x:v>3</x:v>
      </x:c>
      <x:c r="C12" s="68" t="n">
        <x:f>IF(B12="","",'График платежей'!B12)</x:f>
        <x:v>44887</x:v>
      </x:c>
      <x:c r="D12" s="67" t="n">
        <x:f>IF(B12="","",C12-C11)</x:f>
        <x:v>31</x:v>
      </x:c>
      <x:c r="E12" s="69" t="n">
        <x:f>IF(B12="","",IF('График платежей'!$I$19="Факт / 365",'График платежей'!$I$12*D12/'График платежей'!$I$20,'График платежей'!$I$17))</x:f>
        <x:v>0.00636986301369863</x:v>
      </x:c>
      <x:c r="F12" s="70" t="n">
        <x:f>IF(B12="","",F11/(1+E12))</x:f>
        <x:v>0.9831382934747918</x:v>
      </x:c>
    </x:row>
    <x:row r="13" ht="24" customHeight="1">
      <x:c r="B13" s="67" t="n">
        <x:f>IF('График платежей'!B13="","",ROW()-ROW($B$9))</x:f>
        <x:v>4</x:v>
      </x:c>
      <x:c r="C13" s="68" t="n">
        <x:f>IF(B13="","",'График платежей'!B13)</x:f>
        <x:v>44917</x:v>
      </x:c>
      <x:c r="D13" s="67" t="n">
        <x:f>IF(B13="","",C13-C12)</x:f>
        <x:v>30</x:v>
      </x:c>
      <x:c r="E13" s="69" t="n">
        <x:f>IF(B13="","",IF('График платежей'!$I$19="Факт / 365",'График платежей'!$I$12*D13/'График платежей'!$I$20,'График платежей'!$I$17))</x:f>
        <x:v>0.0061643835616438354</x:v>
      </x:c>
      <x:c r="F13" s="70" t="n">
        <x:f>IF(B13="","",F12/(1+E13))</x:f>
        <x:v>0.9771149819422709</x:v>
      </x:c>
    </x:row>
    <x:row r="14" ht="24" customHeight="1">
      <x:c r="B14" s="67" t="n">
        <x:f>IF('График платежей'!B14="","",ROW()-ROW($B$9))</x:f>
        <x:v>5</x:v>
      </x:c>
      <x:c r="C14" s="68" t="n">
        <x:f>IF(B14="","",'График платежей'!B14)</x:f>
        <x:v>44948</x:v>
      </x:c>
      <x:c r="D14" s="67" t="n">
        <x:f>IF(B14="","",C14-C13)</x:f>
        <x:v>31</x:v>
      </x:c>
      <x:c r="E14" s="69" t="n">
        <x:f>IF(B14="","",IF('График платежей'!$I$19="Факт / 365",'График платежей'!$I$12*D14/'График платежей'!$I$20,'График платежей'!$I$17))</x:f>
        <x:v>0.00636986301369863</x:v>
      </x:c>
      <x:c r="F14" s="70" t="n">
        <x:f>IF(B14="","",F13/(1+E14))</x:f>
        <x:v>0.9709302890054553</x:v>
      </x:c>
    </x:row>
    <x:row r="15" ht="24" customHeight="1">
      <x:c r="B15" s="67" t="n">
        <x:f>IF('График платежей'!B15="","",ROW()-ROW($B$9))</x:f>
        <x:v>6</x:v>
      </x:c>
      <x:c r="C15" s="68" t="n">
        <x:f>IF(B15="","",'График платежей'!B15)</x:f>
        <x:v>44979</x:v>
      </x:c>
      <x:c r="D15" s="67" t="n">
        <x:f>IF(B15="","",C15-C14)</x:f>
        <x:v>31</x:v>
      </x:c>
      <x:c r="E15" s="69" t="n">
        <x:f>IF(B15="","",IF('График платежей'!$I$19="Факт / 365",'График платежей'!$I$12*D15/'График платежей'!$I$20,'График платежей'!$I$17))</x:f>
        <x:v>0.00636986301369863</x:v>
      </x:c>
      <x:c r="F15" s="70" t="n">
        <x:f>IF(B15="","",F14/(1+E15))</x:f>
        <x:v>0.9647847423589225</x:v>
      </x:c>
    </x:row>
    <x:row r="16" ht="24" customHeight="1">
      <x:c r="B16" s="67" t="n">
        <x:f>IF('График платежей'!B16="","",ROW()-ROW($B$9))</x:f>
        <x:v>7</x:v>
      </x:c>
      <x:c r="C16" s="68" t="n">
        <x:f>IF(B16="","",'График платежей'!B16)</x:f>
        <x:v>45007</x:v>
      </x:c>
      <x:c r="D16" s="67" t="n">
        <x:f>IF(B16="","",C16-C15)</x:f>
        <x:v>28</x:v>
      </x:c>
      <x:c r="E16" s="69" t="n">
        <x:f>IF(B16="","",IF('График платежей'!$I$19="Факт / 365",'График платежей'!$I$12*D16/'График платежей'!$I$20,'График платежей'!$I$17))</x:f>
        <x:v>0.005753424657534247</x:v>
      </x:c>
      <x:c r="F16" s="70" t="n">
        <x:f>IF(B16="","",F15/(1+E16))</x:f>
        <x:v>0.9592656795451014</x:v>
      </x:c>
    </x:row>
    <x:row r="17" ht="24" customHeight="1">
      <x:c r="B17" s="67" t="n">
        <x:f>IF('График платежей'!B17="","",ROW()-ROW($B$9))</x:f>
        <x:v>8</x:v>
      </x:c>
      <x:c r="C17" s="68" t="n">
        <x:f>IF(B17="","",'График платежей'!B17)</x:f>
        <x:v>45038</x:v>
      </x:c>
      <x:c r="D17" s="67" t="n">
        <x:f>IF(B17="","",C17-C16)</x:f>
        <x:v>31</x:v>
      </x:c>
      <x:c r="E17" s="69" t="n">
        <x:f>IF(B17="","",IF('График платежей'!$I$19="Факт / 365",'График платежей'!$I$12*D17/'График платежей'!$I$20,'График платежей'!$I$17))</x:f>
        <x:v>0.00636986301369863</x:v>
      </x:c>
      <x:c r="F17" s="70" t="n">
        <x:f>IF(B17="","",F16/(1+E17))</x:f>
        <x:v>0.953193964565336</x:v>
      </x:c>
    </x:row>
    <x:row r="18" ht="24" customHeight="1">
      <x:c r="B18" s="67" t="n">
        <x:f>IF('График платежей'!B18="","",ROW()-ROW($B$9))</x:f>
        <x:v>9</x:v>
      </x:c>
      <x:c r="C18" s="68" t="n">
        <x:f>IF(B18="","",'График платежей'!B18)</x:f>
        <x:v>45068</x:v>
      </x:c>
      <x:c r="D18" s="67" t="n">
        <x:f>IF(B18="","",C18-C17)</x:f>
        <x:v>30</x:v>
      </x:c>
      <x:c r="E18" s="69" t="n">
        <x:f>IF(B18="","",IF('График платежей'!$I$19="Факт / 365",'График платежей'!$I$12*D18/'График платежей'!$I$20,'График платежей'!$I$17))</x:f>
        <x:v>0.0061643835616438354</x:v>
      </x:c>
      <x:c r="F18" s="70" t="n">
        <x:f>IF(B18="","",F17/(1+E18))</x:f>
        <x:v>0.9473541104597621</x:v>
      </x:c>
    </x:row>
    <x:row r="19" ht="24" customHeight="1">
      <x:c r="B19" s="67" t="n">
        <x:f>IF('График платежей'!B19="","",ROW()-ROW($B$9))</x:f>
        <x:v>10</x:v>
      </x:c>
      <x:c r="C19" s="68" t="n">
        <x:f>IF(B19="","",'График платежей'!B19)</x:f>
        <x:v>45099</x:v>
      </x:c>
      <x:c r="D19" s="67" t="n">
        <x:f>IF(B19="","",C19-C18)</x:f>
        <x:v>31</x:v>
      </x:c>
      <x:c r="E19" s="69" t="n">
        <x:f>IF(B19="","",IF('График платежей'!$I$19="Факт / 365",'График платежей'!$I$12*D19/'График платежей'!$I$20,'График платежей'!$I$17))</x:f>
        <x:v>0.00636986301369863</x:v>
      </x:c>
      <x:c r="F19" s="70" t="n">
        <x:f>IF(B19="","",F18/(1+E19))</x:f>
        <x:v>0.9413577902887449</x:v>
      </x:c>
    </x:row>
    <x:row r="20" ht="24" customHeight="1">
      <x:c r="B20" s="67" t="n">
        <x:f>IF('График платежей'!B20="","",ROW()-ROW($B$9))</x:f>
        <x:v>11</x:v>
      </x:c>
      <x:c r="C20" s="68" t="n">
        <x:f>IF(B20="","",'График платежей'!B20)</x:f>
        <x:v>45129</x:v>
      </x:c>
      <x:c r="D20" s="67" t="n">
        <x:f>IF(B20="","",C20-C19)</x:f>
        <x:v>30</x:v>
      </x:c>
      <x:c r="E20" s="69" t="n">
        <x:f>IF(B20="","",IF('График платежей'!$I$19="Факт / 365",'График платежей'!$I$12*D20/'График платежей'!$I$20,'График платежей'!$I$17))</x:f>
        <x:v>0.0061643835616438354</x:v>
      </x:c>
      <x:c r="F20" s="70" t="n">
        <x:f>IF(B20="","",F19/(1+E20))</x:f>
        <x:v>0.9355904518867035</x:v>
      </x:c>
    </x:row>
    <x:row r="21" ht="24" customHeight="1">
      <x:c r="B21" s="67" t="n">
        <x:f>IF('График платежей'!B21="","",ROW()-ROW($B$9))</x:f>
        <x:v>12</x:v>
      </x:c>
      <x:c r="C21" s="68" t="n">
        <x:f>IF(B21="","",'График платежей'!B21)</x:f>
        <x:v>45160</x:v>
      </x:c>
      <x:c r="D21" s="67" t="n">
        <x:f>IF(B21="","",C21-C20)</x:f>
        <x:v>31</x:v>
      </x:c>
      <x:c r="E21" s="69" t="n">
        <x:f>IF(B21="","",IF('График платежей'!$I$19="Факт / 365",'График платежей'!$I$12*D21/'График платежей'!$I$20,'График платежей'!$I$17))</x:f>
        <x:v>0.00636986301369863</x:v>
      </x:c>
      <x:c r="F21" s="70" t="n">
        <x:f>IF(B21="","",F20/(1+E21))</x:f>
        <x:v>0.9296685903182381</x:v>
      </x:c>
    </x:row>
    <x:row r="22" ht="24" customHeight="1">
      <x:c r="B22" s="67" t="n">
        <x:f>IF('График платежей'!B22="","",ROW()-ROW($B$9))</x:f>
        <x:v>13</x:v>
      </x:c>
      <x:c r="C22" s="68" t="n">
        <x:f>IF(B22="","",'График платежей'!B22)</x:f>
        <x:v>45191</x:v>
      </x:c>
      <x:c r="D22" s="67" t="n">
        <x:f>IF(B22="","",C22-C21)</x:f>
        <x:v>31</x:v>
      </x:c>
      <x:c r="E22" s="69" t="n">
        <x:f>IF(B22="","",IF('График платежей'!$I$19="Факт / 365",'График платежей'!$I$12*D22/'График платежей'!$I$20,'График платежей'!$I$17))</x:f>
        <x:v>0.00636986301369863</x:v>
      </x:c>
      <x:c r="F22" s="70" t="n">
        <x:f>IF(B22="","",F21/(1+E22))</x:f>
        <x:v>0.9237842114371658</x:v>
      </x:c>
    </x:row>
    <x:row r="23" ht="24" customHeight="1">
      <x:c r="B23" s="67" t="n">
        <x:f>IF('График платежей'!B23="","",ROW()-ROW($B$9))</x:f>
        <x:v>14</x:v>
      </x:c>
      <x:c r="C23" s="68" t="n">
        <x:f>IF(B23="","",'График платежей'!B23)</x:f>
        <x:v>45221</x:v>
      </x:c>
      <x:c r="D23" s="67" t="n">
        <x:f>IF(B23="","",C23-C22)</x:f>
        <x:v>30</x:v>
      </x:c>
      <x:c r="E23" s="69" t="n">
        <x:f>IF(B23="","",IF('График платежей'!$I$19="Факт / 365",'График платежей'!$I$12*D23/'График платежей'!$I$20,'График платежей'!$I$17))</x:f>
        <x:v>0.0061643835616438354</x:v>
      </x:c>
      <x:c r="F23" s="70" t="n">
        <x:f>IF(B23="","",F22/(1+E23))</x:f>
        <x:v>0.9181245396176052</x:v>
      </x:c>
    </x:row>
    <x:row r="24" ht="24" customHeight="1">
      <x:c r="B24" s="67" t="n">
        <x:f>IF('График платежей'!B24="","",ROW()-ROW($B$9))</x:f>
        <x:v>15</x:v>
      </x:c>
      <x:c r="C24" s="68" t="n">
        <x:f>IF(B24="","",'График платежей'!B24)</x:f>
        <x:v>45252</x:v>
      </x:c>
      <x:c r="D24" s="67" t="n">
        <x:f>IF(B24="","",C24-C23)</x:f>
        <x:v>31</x:v>
      </x:c>
      <x:c r="E24" s="69" t="n">
        <x:f>IF(B24="","",IF('График платежей'!$I$19="Факт / 365",'График платежей'!$I$12*D24/'График платежей'!$I$20,'График платежей'!$I$17))</x:f>
        <x:v>0.00636986301369863</x:v>
      </x:c>
      <x:c r="F24" s="70" t="n">
        <x:f>IF(B24="","",F23/(1+E24))</x:f>
        <x:v>0.9123132293212439</x:v>
      </x:c>
    </x:row>
    <x:row r="25" ht="24" customHeight="1">
      <x:c r="B25" s="67" t="n">
        <x:f>IF('График платежей'!B25="","",ROW()-ROW($B$9))</x:f>
        <x:v>16</x:v>
      </x:c>
      <x:c r="C25" s="68" t="n">
        <x:f>IF(B25="","",'График платежей'!B25)</x:f>
        <x:v>45282</x:v>
      </x:c>
      <x:c r="D25" s="67" t="n">
        <x:f>IF(B25="","",C25-C24)</x:f>
        <x:v>30</x:v>
      </x:c>
      <x:c r="E25" s="69" t="n">
        <x:f>IF(B25="","",IF('График платежей'!$I$19="Факт / 365",'График платежей'!$I$12*D25/'График платежей'!$I$20,'График платежей'!$I$17))</x:f>
        <x:v>0.0061643835616438354</x:v>
      </x:c>
      <x:c r="F25" s="70" t="n">
        <x:f>IF(B25="","",F24/(1+E25))</x:f>
        <x:v>0.9067238358128088</x:v>
      </x:c>
    </x:row>
    <x:row r="26" ht="24" customHeight="1">
      <x:c r="B26" s="67" t="n">
        <x:f>IF('График платежей'!B26="","",ROW()-ROW($B$9))</x:f>
        <x:v>17</x:v>
      </x:c>
      <x:c r="C26" s="68" t="n">
        <x:f>IF(B26="","",'График платежей'!B26)</x:f>
        <x:v>45313</x:v>
      </x:c>
      <x:c r="D26" s="67" t="n">
        <x:f>IF(B26="","",C26-C25)</x:f>
        <x:v>31</x:v>
      </x:c>
      <x:c r="E26" s="69" t="n">
        <x:f>IF(B26="","",IF('График платежей'!$I$19="Факт / 365",'График платежей'!$I$12*D26/'График платежей'!$I$20,'График платежей'!$I$17))</x:f>
        <x:v>0.00636986301369863</x:v>
      </x:c>
      <x:c r="F26" s="70" t="n">
        <x:f>IF(B26="","",F25/(1+E26))</x:f>
        <x:v>0.9009846867805764</x:v>
      </x:c>
    </x:row>
    <x:row r="27" ht="24" customHeight="1">
      <x:c r="B27" s="67" t="n">
        <x:f>IF('График платежей'!B27="","",ROW()-ROW($B$9))</x:f>
        <x:v>18</x:v>
      </x:c>
      <x:c r="C27" s="68" t="n">
        <x:f>IF(B27="","",'График платежей'!B27)</x:f>
        <x:v>45344</x:v>
      </x:c>
      <x:c r="D27" s="67" t="n">
        <x:f>IF(B27="","",C27-C26)</x:f>
        <x:v>31</x:v>
      </x:c>
      <x:c r="E27" s="69" t="n">
        <x:f>IF(B27="","",IF('График платежей'!$I$19="Факт / 365",'График платежей'!$I$12*D27/'График платежей'!$I$20,'График платежей'!$I$17))</x:f>
        <x:v>0.00636986301369863</x:v>
      </x:c>
      <x:c r="F27" s="70" t="n">
        <x:f>IF(B27="","",F26/(1+E27))</x:f>
        <x:v>0.8952818639485752</x:v>
      </x:c>
    </x:row>
    <x:row r="28" ht="24" customHeight="1">
      <x:c r="B28" s="67" t="n">
        <x:f>IF('График платежей'!B28="","",ROW()-ROW($B$9))</x:f>
        <x:v>19</x:v>
      </x:c>
      <x:c r="C28" s="68" t="n">
        <x:f>IF(B28="","",'График платежей'!B28)</x:f>
        <x:v>45373</x:v>
      </x:c>
      <x:c r="D28" s="67" t="n">
        <x:f>IF(B28="","",C28-C27)</x:f>
        <x:v>29</x:v>
      </x:c>
      <x:c r="E28" s="69" t="n">
        <x:f>IF(B28="","",IF('График платежей'!$I$19="Факт / 365",'График платежей'!$I$12*D28/'График платежей'!$I$20,'График платежей'!$I$17))</x:f>
        <x:v>0.00595890410958904</x:v>
      </x:c>
      <x:c r="F28" s="70" t="n">
        <x:f>IF(B28="","",F27/(1+E28))</x:f>
        <x:v>0.8899785670081839</x:v>
      </x:c>
    </x:row>
    <x:row r="29" ht="24" customHeight="1">
      <x:c r="B29" s="67" t="n">
        <x:f>IF('График платежей'!B29="","",ROW()-ROW($B$9))</x:f>
        <x:v>20</x:v>
      </x:c>
      <x:c r="C29" s="68" t="n">
        <x:f>IF(B29="","",'График платежей'!B29)</x:f>
        <x:v>45404</x:v>
      </x:c>
      <x:c r="D29" s="67" t="n">
        <x:f>IF(B29="","",C29-C28)</x:f>
        <x:v>31</x:v>
      </x:c>
      <x:c r="E29" s="69" t="n">
        <x:f>IF(B29="","",IF('График платежей'!$I$19="Факт / 365",'График платежей'!$I$12*D29/'График платежей'!$I$20,'График платежей'!$I$17))</x:f>
        <x:v>0.00636986301369863</x:v>
      </x:c>
      <x:c r="F29" s="70" t="n">
        <x:f>IF(B29="","",F28/(1+E29))</x:f>
        <x:v>0.884345407903048</x:v>
      </x:c>
    </x:row>
    <x:row r="30" ht="24" customHeight="1">
      <x:c r="B30" s="67" t="n">
        <x:f>IF('График платежей'!B30="","",ROW()-ROW($B$9))</x:f>
        <x:v>21</x:v>
      </x:c>
      <x:c r="C30" s="68" t="n">
        <x:f>IF(B30="","",'График платежей'!B30)</x:f>
        <x:v>45434</x:v>
      </x:c>
      <x:c r="D30" s="67" t="n">
        <x:f>IF(B30="","",C30-C29)</x:f>
        <x:v>30</x:v>
      </x:c>
      <x:c r="E30" s="69" t="n">
        <x:f>IF(B30="","",IF('График платежей'!$I$19="Факт / 365",'График платежей'!$I$12*D30/'График платежей'!$I$20,'График платежей'!$I$17))</x:f>
        <x:v>0.0061643835616438354</x:v>
      </x:c>
      <x:c r="F30" s="70" t="n">
        <x:f>IF(B30="","",F29/(1+E30))</x:f>
        <x:v>0.8789273625176652</x:v>
      </x:c>
    </x:row>
    <x:row r="31" ht="24" customHeight="1">
      <x:c r="B31" s="67" t="n">
        <x:f>IF('График платежей'!B31="","",ROW()-ROW($B$9))</x:f>
        <x:v>22</x:v>
      </x:c>
      <x:c r="C31" s="68" t="n">
        <x:f>IF(B31="","",'График платежей'!B31)</x:f>
        <x:v>45465</x:v>
      </x:c>
      <x:c r="D31" s="67" t="n">
        <x:f>IF(B31="","",C31-C30)</x:f>
        <x:v>31</x:v>
      </x:c>
      <x:c r="E31" s="69" t="n">
        <x:f>IF(B31="","",IF('График платежей'!$I$19="Факт / 365",'График платежей'!$I$12*D31/'График платежей'!$I$20,'График платежей'!$I$17))</x:f>
        <x:v>0.00636986301369863</x:v>
      </x:c>
      <x:c r="F31" s="70" t="n">
        <x:f>IF(B31="","",F30/(1+E31))</x:f>
        <x:v>0.8733641525051326</x:v>
      </x:c>
    </x:row>
    <x:row r="32" ht="24" customHeight="1">
      <x:c r="B32" s="67" t="n">
        <x:f>IF('График платежей'!B32="","",ROW()-ROW($B$9))</x:f>
        <x:v>23</x:v>
      </x:c>
      <x:c r="C32" s="68" t="n">
        <x:f>IF(B32="","",'График платежей'!B32)</x:f>
        <x:v>45495</x:v>
      </x:c>
      <x:c r="D32" s="67" t="n">
        <x:f>IF(B32="","",C32-C31)</x:f>
        <x:v>30</x:v>
      </x:c>
      <x:c r="E32" s="69" t="n">
        <x:f>IF(B32="","",IF('График платежей'!$I$19="Факт / 365",'График платежей'!$I$12*D32/'График платежей'!$I$20,'График платежей'!$I$17))</x:f>
        <x:v>0.0061643835616438354</x:v>
      </x:c>
      <x:c r="F32" s="70" t="n">
        <x:f>IF(B32="","",F31/(1+E32))</x:f>
        <x:v>0.8680133850629635</x:v>
      </x:c>
    </x:row>
    <x:row r="33" ht="24" customHeight="1">
      <x:c r="B33" s="67" t="n">
        <x:f>IF('График платежей'!B33="","",ROW()-ROW($B$9))</x:f>
        <x:v>24</x:v>
      </x:c>
      <x:c r="C33" s="68" t="n">
        <x:f>IF(B33="","",'График платежей'!B33)</x:f>
        <x:v>45526</x:v>
      </x:c>
      <x:c r="D33" s="67" t="n">
        <x:f>IF(B33="","",C33-C32)</x:f>
        <x:v>31</x:v>
      </x:c>
      <x:c r="E33" s="69" t="n">
        <x:f>IF(B33="","",IF('График платежей'!$I$19="Факт / 365",'График платежей'!$I$12*D33/'График платежей'!$I$20,'График платежей'!$I$17))</x:f>
        <x:v>0.00636986301369863</x:v>
      </x:c>
      <x:c r="F33" s="70" t="n">
        <x:f>IF(B33="","",F32/(1+E33))</x:f>
        <x:v>0.8625192555583794</x:v>
      </x:c>
    </x:row>
    <x:row r="34" ht="24" customHeight="1">
      <x:c r="B34" s="67" t="n">
        <x:f>IF('График платежей'!B34="","",ROW()-ROW($B$9))</x:f>
        <x:v>25</x:v>
      </x:c>
      <x:c r="C34" s="68" t="n">
        <x:f>IF(B34="","",'График платежей'!B34)</x:f>
        <x:v>45557</x:v>
      </x:c>
      <x:c r="D34" s="67" t="n">
        <x:f>IF(B34="","",C34-C33)</x:f>
        <x:v>31</x:v>
      </x:c>
      <x:c r="E34" s="69" t="n">
        <x:f>IF(B34="","",IF('График платежей'!$I$19="Факт / 365",'График платежей'!$I$12*D34/'График платежей'!$I$20,'График платежей'!$I$17))</x:f>
        <x:v>0.00636986301369863</x:v>
      </x:c>
      <x:c r="F34" s="70" t="n">
        <x:f>IF(B34="","",F33/(1+E34))</x:f>
        <x:v>0.8570599013919785</x:v>
      </x:c>
    </x:row>
    <x:row r="35" ht="24" customHeight="1">
      <x:c r="B35" s="67" t="n">
        <x:f>IF('График платежей'!B35="","",ROW()-ROW($B$9))</x:f>
        <x:v>26</x:v>
      </x:c>
      <x:c r="C35" s="68" t="n">
        <x:f>IF(B35="","",'График платежей'!B35)</x:f>
        <x:v>45587</x:v>
      </x:c>
      <x:c r="D35" s="67" t="n">
        <x:f>IF(B35="","",C35-C34)</x:f>
        <x:v>30</x:v>
      </x:c>
      <x:c r="E35" s="69" t="n">
        <x:f>IF(B35="","",IF('График платежей'!$I$19="Факт / 365",'График платежей'!$I$12*D35/'График платежей'!$I$20,'График платежей'!$I$17))</x:f>
        <x:v>0.0061643835616438354</x:v>
      </x:c>
      <x:c r="F35" s="70" t="n">
        <x:f>IF(B35="","",F34/(1+E35))</x:f>
        <x:v>0.8518090238477118</x:v>
      </x:c>
    </x:row>
    <x:row r="36" ht="24" customHeight="1">
      <x:c r="B36" s="67" t="n">
        <x:f>IF('График платежей'!B36="","",ROW()-ROW($B$9))</x:f>
        <x:v>27</x:v>
      </x:c>
      <x:c r="C36" s="68" t="n">
        <x:f>IF(B36="","",'График платежей'!B36)</x:f>
        <x:v>45618</x:v>
      </x:c>
      <x:c r="D36" s="67" t="n">
        <x:f>IF(B36="","",C36-C35)</x:f>
        <x:v>31</x:v>
      </x:c>
      <x:c r="E36" s="69" t="n">
        <x:f>IF(B36="","",IF('График платежей'!$I$19="Факт / 365",'График платежей'!$I$12*D36/'График платежей'!$I$20,'График платежей'!$I$17))</x:f>
        <x:v>0.00636986301369863</x:v>
      </x:c>
      <x:c r="F36" s="70" t="n">
        <x:f>IF(B36="","",F35/(1+E36))</x:f>
        <x:v>0.8464174605714689</x:v>
      </x:c>
    </x:row>
    <x:row r="37" ht="24" customHeight="1">
      <x:c r="B37" s="67" t="n">
        <x:f>IF('График платежей'!B37="","",ROW()-ROW($B$9))</x:f>
        <x:v>28</x:v>
      </x:c>
      <x:c r="C37" s="68" t="n">
        <x:f>IF(B37="","",'График платежей'!B37)</x:f>
        <x:v>45648</x:v>
      </x:c>
      <x:c r="D37" s="67" t="n">
        <x:f>IF(B37="","",C37-C36)</x:f>
        <x:v>30</x:v>
      </x:c>
      <x:c r="E37" s="69" t="n">
        <x:f>IF(B37="","",IF('График платежей'!$I$19="Факт / 365",'График платежей'!$I$12*D37/'График платежей'!$I$20,'График платежей'!$I$17))</x:f>
        <x:v>0.0061643835616438354</x:v>
      </x:c>
      <x:c r="F37" s="70" t="n">
        <x:f>IF(B37="","",F36/(1+E37))</x:f>
        <x:v>0.8412317851833524</x:v>
      </x:c>
    </x:row>
    <x:row r="38" ht="24" customHeight="1">
      <x:c r="B38" s="67" t="n">
        <x:f>IF('График платежей'!B38="","",ROW()-ROW($B$9))</x:f>
        <x:v>29</x:v>
      </x:c>
      <x:c r="C38" s="68" t="n">
        <x:f>IF(B38="","",'График платежей'!B38)</x:f>
        <x:v>45679</x:v>
      </x:c>
      <x:c r="D38" s="67" t="n">
        <x:f>IF(B38="","",C38-C37)</x:f>
        <x:v>31</x:v>
      </x:c>
      <x:c r="E38" s="69" t="n">
        <x:f>IF(B38="","",IF('График платежей'!$I$19="Факт / 365",'График платежей'!$I$12*D38/'График платежей'!$I$20,'График платежей'!$I$17))</x:f>
        <x:v>0.00636986301369863</x:v>
      </x:c>
      <x:c r="F38" s="70" t="n">
        <x:f>IF(B38="","",F37/(1+E38))</x:f>
        <x:v>0.8359071710118386</x:v>
      </x:c>
    </x:row>
    <x:row r="39" ht="24" customHeight="1">
      <x:c r="B39" s="67" t="n">
        <x:f>IF('График платежей'!B39="","",ROW()-ROW($B$9))</x:f>
        <x:v>30</x:v>
      </x:c>
      <x:c r="C39" s="68" t="n">
        <x:f>IF(B39="","",'График платежей'!B39)</x:f>
        <x:v>45710</x:v>
      </x:c>
      <x:c r="D39" s="67" t="n">
        <x:f>IF(B39="","",C39-C38)</x:f>
        <x:v>31</x:v>
      </x:c>
      <x:c r="E39" s="69" t="n">
        <x:f>IF(B39="","",IF('График платежей'!$I$19="Факт / 365",'График платежей'!$I$12*D39/'График платежей'!$I$20,'График платежей'!$I$17))</x:f>
        <x:v>0.00636986301369863</x:v>
      </x:c>
      <x:c r="F39" s="70" t="n">
        <x:f>IF(B39="","",F38/(1+E39))</x:f>
        <x:v>0.8306162592236334</x:v>
      </x:c>
    </x:row>
    <x:row r="40" ht="24" customHeight="1">
      <x:c r="B40" s="67" t="n">
        <x:f>IF('График платежей'!B40="","",ROW()-ROW($B$9))</x:f>
        <x:v>31</x:v>
      </x:c>
      <x:c r="C40" s="68" t="n">
        <x:f>IF(B40="","",'График платежей'!B40)</x:f>
        <x:v>45738</x:v>
      </x:c>
      <x:c r="D40" s="67" t="n">
        <x:f>IF(B40="","",C40-C39)</x:f>
        <x:v>28</x:v>
      </x:c>
      <x:c r="E40" s="69" t="n">
        <x:f>IF(B40="","",IF('График платежей'!$I$19="Факт / 365",'График платежей'!$I$12*D40/'График платежей'!$I$20,'График платежей'!$I$17))</x:f>
        <x:v>0.005753424657534247</x:v>
      </x:c>
      <x:c r="F40" s="70" t="n">
        <x:f>IF(B40="","",F39/(1+E40))</x:f>
        <x:v>0.8258647088439831</x:v>
      </x:c>
    </x:row>
    <x:row r="41" ht="24" customHeight="1">
      <x:c r="B41" s="67" t="n">
        <x:f>IF('График платежей'!B41="","",ROW()-ROW($B$9))</x:f>
        <x:v>32</x:v>
      </x:c>
      <x:c r="C41" s="68" t="n">
        <x:f>IF(B41="","",'График платежей'!B41)</x:f>
        <x:v>45769</x:v>
      </x:c>
      <x:c r="D41" s="67" t="n">
        <x:f>IF(B41="","",C41-C40)</x:f>
        <x:v>31</x:v>
      </x:c>
      <x:c r="E41" s="69" t="n">
        <x:f>IF(B41="","",IF('График платежей'!$I$19="Факт / 365",'График платежей'!$I$12*D41/'График платежей'!$I$20,'График платежей'!$I$17))</x:f>
        <x:v>0.00636986301369863</x:v>
      </x:c>
      <x:c r="F41" s="70" t="n">
        <x:f>IF(B41="","",F40/(1+E41))</x:f>
        <x:v>0.820637361268778</x:v>
      </x:c>
    </x:row>
    <x:row r="42" ht="24" customHeight="1">
      <x:c r="B42" s="67" t="n">
        <x:f>IF('График платежей'!B42="","",ROW()-ROW($B$9))</x:f>
        <x:v>33</x:v>
      </x:c>
      <x:c r="C42" s="68" t="n">
        <x:f>IF(B42="","",'График платежей'!B42)</x:f>
        <x:v>45799</x:v>
      </x:c>
      <x:c r="D42" s="67" t="n">
        <x:f>IF(B42="","",C42-C41)</x:f>
        <x:v>30</x:v>
      </x:c>
      <x:c r="E42" s="69" t="n">
        <x:f>IF(B42="","",IF('График платежей'!$I$19="Факт / 365",'График платежей'!$I$12*D42/'График платежей'!$I$20,'График платежей'!$I$17))</x:f>
        <x:v>0.0061643835616438354</x:v>
      </x:c>
      <x:c r="F42" s="70" t="n">
        <x:f>IF(B42="","",F41/(1+E42))</x:f>
        <x:v>0.815609630668765</x:v>
      </x:c>
    </x:row>
    <x:row r="43" ht="24" customHeight="1">
      <x:c r="B43" s="67" t="n">
        <x:f>IF('График платежей'!B43="","",ROW()-ROW($B$9))</x:f>
        <x:v>34</x:v>
      </x:c>
      <x:c r="C43" s="68" t="n">
        <x:f>IF(B43="","",'График платежей'!B43)</x:f>
        <x:v>45830</x:v>
      </x:c>
      <x:c r="D43" s="67" t="n">
        <x:f>IF(B43="","",C43-C42)</x:f>
        <x:v>31</x:v>
      </x:c>
      <x:c r="E43" s="69" t="n">
        <x:f>IF(B43="","",IF('График платежей'!$I$19="Факт / 365",'График платежей'!$I$12*D43/'График платежей'!$I$20,'График платежей'!$I$17))</x:f>
        <x:v>0.00636986301369863</x:v>
      </x:c>
      <x:c r="F43" s="70" t="n">
        <x:f>IF(B43="","",F42/(1+E43))</x:f>
        <x:v>0.8104471930690784</x:v>
      </x:c>
    </x:row>
    <x:row r="44" ht="24" customHeight="1">
      <x:c r="B44" s="67" t="n">
        <x:f>IF('График платежей'!B44="","",ROW()-ROW($B$9))</x:f>
        <x:v>35</x:v>
      </x:c>
      <x:c r="C44" s="68" t="n">
        <x:f>IF(B44="","",'График платежей'!B44)</x:f>
        <x:v>45860</x:v>
      </x:c>
      <x:c r="D44" s="67" t="n">
        <x:f>IF(B44="","",C44-C43)</x:f>
        <x:v>30</x:v>
      </x:c>
      <x:c r="E44" s="69" t="n">
        <x:f>IF(B44="","",IF('График платежей'!$I$19="Факт / 365",'График платежей'!$I$12*D44/'График платежей'!$I$20,'График платежей'!$I$17))</x:f>
        <x:v>0.0061643835616438354</x:v>
      </x:c>
      <x:c r="F44" s="70" t="n">
        <x:f>IF(B44="","",F43/(1+E44))</x:f>
        <x:v>0.8054818937242032</x:v>
      </x:c>
    </x:row>
    <x:row r="45" ht="24" customHeight="1">
      <x:c r="B45" s="67" t="n">
        <x:f>IF('График платежей'!B45="","",ROW()-ROW($B$9))</x:f>
        <x:v>36</x:v>
      </x:c>
      <x:c r="C45" s="68" t="n">
        <x:f>IF(B45="","",'График платежей'!B45)</x:f>
        <x:v>45891</x:v>
      </x:c>
      <x:c r="D45" s="67" t="n">
        <x:f>IF(B45="","",C45-C44)</x:f>
        <x:v>31</x:v>
      </x:c>
      <x:c r="E45" s="69" t="n">
        <x:f>IF(B45="","",IF('График платежей'!$I$19="Факт / 365",'График платежей'!$I$12*D45/'График платежей'!$I$20,'График платежей'!$I$17))</x:f>
        <x:v>0.00636986301369863</x:v>
      </x:c>
      <x:c r="F45" s="70" t="n">
        <x:f>IF(B45="","",F44/(1+E45))</x:f>
        <x:v>0.8003835600880261</x:v>
      </x:c>
    </x:row>
    <x:row r="46" ht="24" customHeight="1">
      <x:c r="B46" s="67" t="n">
        <x:f>IF('График платежей'!B46="","",ROW()-ROW($B$9))</x:f>
        <x:v>37</x:v>
      </x:c>
      <x:c r="C46" s="68" t="n">
        <x:f>IF(B46="","",'График платежей'!B46)</x:f>
        <x:v>45922</x:v>
      </x:c>
      <x:c r="D46" s="67" t="n">
        <x:f>IF(B46="","",C46-C45)</x:f>
        <x:v>31</x:v>
      </x:c>
      <x:c r="E46" s="69" t="n">
        <x:f>IF(B46="","",IF('График платежей'!$I$19="Факт / 365",'График платежей'!$I$12*D46/'График платежей'!$I$20,'График платежей'!$I$17))</x:f>
        <x:v>0.00636986301369863</x:v>
      </x:c>
      <x:c r="F46" s="70" t="n">
        <x:f>IF(B46="","",F45/(1+E46))</x:f>
        <x:v>0.7953174965823986</x:v>
      </x:c>
    </x:row>
    <x:row r="47" ht="24" customHeight="1">
      <x:c r="B47" s="67" t="n">
        <x:f>IF('График платежей'!B47="","",ROW()-ROW($B$9))</x:f>
        <x:v>38</x:v>
      </x:c>
      <x:c r="C47" s="68" t="n">
        <x:f>IF(B47="","",'График платежей'!B47)</x:f>
        <x:v>45952</x:v>
      </x:c>
      <x:c r="D47" s="67" t="n">
        <x:f>IF(B47="","",C47-C46)</x:f>
        <x:v>30</x:v>
      </x:c>
      <x:c r="E47" s="69" t="n">
        <x:f>IF(B47="","",IF('График платежей'!$I$19="Факт / 365",'График платежей'!$I$12*D47/'График платежей'!$I$20,'График платежей'!$I$17))</x:f>
        <x:v>0.0061643835616438354</x:v>
      </x:c>
      <x:c r="F47" s="70" t="n">
        <x:f>IF(B47="","",F46/(1+E47))</x:f>
        <x:v>0.7904448910893819</x:v>
      </x:c>
    </x:row>
    <x:row r="48" ht="24" customHeight="1">
      <x:c r="B48" s="67" t="n">
        <x:f>IF('График платежей'!B48="","",ROW()-ROW($B$9))</x:f>
        <x:v>39</x:v>
      </x:c>
      <x:c r="C48" s="68" t="n">
        <x:f>IF(B48="","",'График платежей'!B48)</x:f>
        <x:v>45983</x:v>
      </x:c>
      <x:c r="D48" s="67" t="n">
        <x:f>IF(B48="","",C48-C47)</x:f>
        <x:v>31</x:v>
      </x:c>
      <x:c r="E48" s="69" t="n">
        <x:f>IF(B48="","",IF('График платежей'!$I$19="Факт / 365",'График платежей'!$I$12*D48/'График платежей'!$I$20,'График платежей'!$I$17))</x:f>
        <x:v>0.00636986301369863</x:v>
      </x:c>
      <x:c r="F48" s="70" t="n">
        <x:f>IF(B48="","",F47/(1+E48))</x:f>
        <x:v>0.7854417348332523</x:v>
      </x:c>
    </x:row>
    <x:row r="49" ht="24" customHeight="1">
      <x:c r="B49" s="67" t="n">
        <x:f>IF('График платежей'!B49="","",ROW()-ROW($B$9))</x:f>
        <x:v>40</x:v>
      </x:c>
      <x:c r="C49" s="68" t="n">
        <x:f>IF(B49="","",'График платежей'!B49)</x:f>
        <x:v>46013</x:v>
      </x:c>
      <x:c r="D49" s="67" t="n">
        <x:f>IF(B49="","",C49-C48)</x:f>
        <x:v>30</x:v>
      </x:c>
      <x:c r="E49" s="69" t="n">
        <x:f>IF(B49="","",IF('График платежей'!$I$19="Факт / 365",'График платежей'!$I$12*D49/'График платежей'!$I$20,'График платежей'!$I$17))</x:f>
        <x:v>0.0061643835616438354</x:v>
      </x:c>
      <x:c r="F49" s="70" t="n">
        <x:f>IF(B49="","",F48/(1+E49))</x:f>
        <x:v>0.7806296343475483</x:v>
      </x:c>
    </x:row>
    <x:row r="50" ht="24" customHeight="1">
      <x:c r="B50" s="67" t="n">
        <x:f>IF('График платежей'!B50="","",ROW()-ROW($B$9))</x:f>
        <x:v>41</x:v>
      </x:c>
      <x:c r="C50" s="68" t="n">
        <x:f>IF(B50="","",'График платежей'!B50)</x:f>
        <x:v>46044</x:v>
      </x:c>
      <x:c r="D50" s="67" t="n">
        <x:f>IF(B50="","",C50-C49)</x:f>
        <x:v>31</x:v>
      </x:c>
      <x:c r="E50" s="69" t="n">
        <x:f>IF(B50="","",IF('График платежей'!$I$19="Факт / 365",'График платежей'!$I$12*D50/'График платежей'!$I$20,'График платежей'!$I$17))</x:f>
        <x:v>0.00636986301369863</x:v>
      </x:c>
      <x:c r="F50" s="70" t="n">
        <x:f>IF(B50="","",F49/(1+E50))</x:f>
        <x:v>0.7756886041975231</x:v>
      </x:c>
    </x:row>
    <x:row r="51" ht="24" customHeight="1">
      <x:c r="B51" s="67" t="n">
        <x:f>IF('График платежей'!B51="","",ROW()-ROW($B$9))</x:f>
        <x:v>42</x:v>
      </x:c>
      <x:c r="C51" s="68" t="n">
        <x:f>IF(B51="","",'График платежей'!B51)</x:f>
        <x:v>46075</x:v>
      </x:c>
      <x:c r="D51" s="67" t="n">
        <x:f>IF(B51="","",C51-C50)</x:f>
        <x:v>31</x:v>
      </x:c>
      <x:c r="E51" s="69" t="n">
        <x:f>IF(B51="","",IF('График платежей'!$I$19="Факт / 365",'График платежей'!$I$12*D51/'График платежей'!$I$20,'График платежей'!$I$17))</x:f>
        <x:v>0.00636986301369863</x:v>
      </x:c>
      <x:c r="F51" s="70" t="n">
        <x:f>IF(B51="","",F50/(1+E51))</x:f>
        <x:v>0.7707788485186032</x:v>
      </x:c>
    </x:row>
    <x:row r="52" ht="24" customHeight="1">
      <x:c r="B52" s="67" t="n">
        <x:f>IF('График платежей'!B52="","",ROW()-ROW($B$9))</x:f>
        <x:v>43</x:v>
      </x:c>
      <x:c r="C52" s="68" t="n">
        <x:f>IF(B52="","",'График платежей'!B52)</x:f>
        <x:v>46103</x:v>
      </x:c>
      <x:c r="D52" s="67" t="n">
        <x:f>IF(B52="","",C52-C51)</x:f>
        <x:v>28</x:v>
      </x:c>
      <x:c r="E52" s="69" t="n">
        <x:f>IF(B52="","",IF('График платежей'!$I$19="Факт / 365",'График платежей'!$I$12*D52/'График платежей'!$I$20,'График платежей'!$I$17))</x:f>
        <x:v>0.005753424657534247</x:v>
      </x:c>
      <x:c r="F52" s="70" t="n">
        <x:f>IF(B52="","",F51/(1+E52))</x:f>
        <x:v>0.7663695987722424</x:v>
      </x:c>
    </x:row>
    <x:row r="53" ht="24" customHeight="1">
      <x:c r="B53" s="67" t="n">
        <x:f>IF('График платежей'!B53="","",ROW()-ROW($B$9))</x:f>
        <x:v>44</x:v>
      </x:c>
      <x:c r="C53" s="68" t="n">
        <x:f>IF(B53="","",'График платежей'!B53)</x:f>
        <x:v>46134</x:v>
      </x:c>
      <x:c r="D53" s="67" t="n">
        <x:f>IF(B53="","",C53-C52)</x:f>
        <x:v>31</x:v>
      </x:c>
      <x:c r="E53" s="69" t="n">
        <x:f>IF(B53="","",IF('График платежей'!$I$19="Факт / 365",'График платежей'!$I$12*D53/'График платежей'!$I$20,'График платежей'!$I$17))</x:f>
        <x:v>0.00636986301369863</x:v>
      </x:c>
      <x:c r="F53" s="70" t="n">
        <x:f>IF(B53="","",F52/(1+E53))</x:f>
        <x:v>0.7615188281545457</x:v>
      </x:c>
    </x:row>
    <x:row r="54" ht="24" customHeight="1">
      <x:c r="B54" s="67" t="n">
        <x:f>IF('График платежей'!B54="","",ROW()-ROW($B$9))</x:f>
        <x:v>45</x:v>
      </x:c>
      <x:c r="C54" s="68" t="n">
        <x:f>IF(B54="","",'График платежей'!B54)</x:f>
        <x:v>46164</x:v>
      </x:c>
      <x:c r="D54" s="67" t="n">
        <x:f>IF(B54="","",C54-C53)</x:f>
        <x:v>30</x:v>
      </x:c>
      <x:c r="E54" s="69" t="n">
        <x:f>IF(B54="","",IF('График платежей'!$I$19="Факт / 365",'График платежей'!$I$12*D54/'График платежей'!$I$20,'График платежей'!$I$17))</x:f>
        <x:v>0.0061643835616438354</x:v>
      </x:c>
      <x:c r="F54" s="70" t="n">
        <x:f>IF(B54="","",F53/(1+E54))</x:f>
        <x:v>0.7568532941495145</x:v>
      </x:c>
    </x:row>
    <x:row r="55" ht="24" customHeight="1">
      <x:c r="B55" s="67" t="n">
        <x:f>IF('График платежей'!B55="","",ROW()-ROW($B$9))</x:f>
        <x:v>46</x:v>
      </x:c>
      <x:c r="C55" s="68" t="n">
        <x:f>IF(B55="","",'График платежей'!B55)</x:f>
        <x:v>46195</x:v>
      </x:c>
      <x:c r="D55" s="67" t="n">
        <x:f>IF(B55="","",C55-C54)</x:f>
        <x:v>31</x:v>
      </x:c>
      <x:c r="E55" s="69" t="n">
        <x:f>IF(B55="","",IF('График платежей'!$I$19="Факт / 365",'График платежей'!$I$12*D55/'График платежей'!$I$20,'График платежей'!$I$17))</x:f>
        <x:v>0.00636986301369863</x:v>
      </x:c>
      <x:c r="F55" s="70" t="n">
        <x:f>IF(B55="","",F54/(1+E55))</x:f>
        <x:v>0.7520627574071267</x:v>
      </x:c>
    </x:row>
    <x:row r="56" ht="24" customHeight="1">
      <x:c r="B56" s="67" t="n">
        <x:f>IF('График платежей'!B56="","",ROW()-ROW($B$9))</x:f>
        <x:v>47</x:v>
      </x:c>
      <x:c r="C56" s="68" t="n">
        <x:f>IF(B56="","",'График платежей'!B56)</x:f>
        <x:v>46225</x:v>
      </x:c>
      <x:c r="D56" s="67" t="n">
        <x:f>IF(B56="","",C56-C55)</x:f>
        <x:v>30</x:v>
      </x:c>
      <x:c r="E56" s="69" t="n">
        <x:f>IF(B56="","",IF('График платежей'!$I$19="Факт / 365",'График платежей'!$I$12*D56/'График платежей'!$I$20,'График платежей'!$I$17))</x:f>
        <x:v>0.0061643835616438354</x:v>
      </x:c>
      <x:c r="F56" s="70" t="n">
        <x:f>IF(B56="","",F55/(1+E56))</x:f>
        <x:v>0.7474551571234888</x:v>
      </x:c>
    </x:row>
    <x:row r="57" ht="24" customHeight="1">
      <x:c r="B57" s="67" t="n">
        <x:f>IF('График платежей'!B57="","",ROW()-ROW($B$9))</x:f>
        <x:v>48</x:v>
      </x:c>
      <x:c r="C57" s="68" t="n">
        <x:f>IF(B57="","",'График платежей'!B57)</x:f>
        <x:v>46256</x:v>
      </x:c>
      <x:c r="D57" s="67" t="n">
        <x:f>IF(B57="","",C57-C56)</x:f>
        <x:v>31</x:v>
      </x:c>
      <x:c r="E57" s="69" t="n">
        <x:f>IF(B57="","",IF('График платежей'!$I$19="Факт / 365",'График платежей'!$I$12*D57/'График платежей'!$I$20,'График платежей'!$I$17))</x:f>
        <x:v>0.00636986301369863</x:v>
      </x:c>
      <x:c r="F57" s="70" t="n">
        <x:f>IF(B57="","",F56/(1+E57))</x:f>
        <x:v>0.7427241063093266</x:v>
      </x:c>
    </x:row>
    <x:row r="58" ht="24" customHeight="1">
      <x:c r="B58" s="67" t="n">
        <x:f>IF('График платежей'!B58="","",ROW()-ROW($B$9))</x:f>
        <x:v>49</x:v>
      </x:c>
      <x:c r="C58" s="68" t="n">
        <x:f>IF(B58="","",'График платежей'!B58)</x:f>
        <x:v>46287</x:v>
      </x:c>
      <x:c r="D58" s="67" t="n">
        <x:f>IF(B58="","",C58-C57)</x:f>
        <x:v>31</x:v>
      </x:c>
      <x:c r="E58" s="69" t="n">
        <x:f>IF(B58="","",IF('График платежей'!$I$19="Факт / 365",'График платежей'!$I$12*D58/'График платежей'!$I$20,'График платежей'!$I$17))</x:f>
        <x:v>0.00636986301369863</x:v>
      </x:c>
      <x:c r="F58" s="70" t="n">
        <x:f>IF(B58="","",F57/(1+E58))</x:f>
        <x:v>0.7380230008926815</x:v>
      </x:c>
    </x:row>
    <x:row r="59" ht="24" customHeight="1">
      <x:c r="B59" s="67" t="n">
        <x:f>IF('График платежей'!B59="","",ROW()-ROW($B$9))</x:f>
        <x:v>50</x:v>
      </x:c>
      <x:c r="C59" s="68" t="n">
        <x:f>IF(B59="","",'График платежей'!B59)</x:f>
        <x:v>46317</x:v>
      </x:c>
      <x:c r="D59" s="67" t="n">
        <x:f>IF(B59="","",C59-C58)</x:f>
        <x:v>30</x:v>
      </x:c>
      <x:c r="E59" s="69" t="n">
        <x:f>IF(B59="","",IF('График платежей'!$I$19="Факт / 365",'График платежей'!$I$12*D59/'График платежей'!$I$20,'График платежей'!$I$17))</x:f>
        <x:v>0.0061643835616438354</x:v>
      </x:c>
      <x:c r="F59" s="70" t="n">
        <x:f>IF(B59="","",F58/(1+E59))</x:f>
        <x:v>0.7335014168164159</x:v>
      </x:c>
    </x:row>
    <x:row r="60" ht="24" customHeight="1">
      <x:c r="B60" s="67" t="n">
        <x:f>IF('График платежей'!B60="","",ROW()-ROW($B$9))</x:f>
        <x:v>51</x:v>
      </x:c>
      <x:c r="C60" s="68" t="n">
        <x:f>IF(B60="","",'График платежей'!B60)</x:f>
        <x:v>46348</x:v>
      </x:c>
      <x:c r="D60" s="67" t="n">
        <x:f>IF(B60="","",C60-C59)</x:f>
        <x:v>31</x:v>
      </x:c>
      <x:c r="E60" s="69" t="n">
        <x:f>IF(B60="","",IF('График платежей'!$I$19="Факт / 365",'График платежей'!$I$12*D60/'График платежей'!$I$20,'График платежей'!$I$17))</x:f>
        <x:v>0.00636986301369863</x:v>
      </x:c>
      <x:c r="F60" s="70" t="n">
        <x:f>IF(B60="","",F59/(1+E60))</x:f>
        <x:v>0.7288586868249964</x:v>
      </x:c>
    </x:row>
    <x:row r="61" ht="24" customHeight="1">
      <x:c r="B61" s="67" t="n">
        <x:f>IF('График платежей'!B61="","",ROW()-ROW($B$9))</x:f>
        <x:v>52</x:v>
      </x:c>
      <x:c r="C61" s="68" t="n">
        <x:f>IF(B61="","",'График платежей'!B61)</x:f>
        <x:v>46378</x:v>
      </x:c>
      <x:c r="D61" s="67" t="n">
        <x:f>IF(B61="","",C61-C60)</x:f>
        <x:v>30</x:v>
      </x:c>
      <x:c r="E61" s="69" t="n">
        <x:f>IF(B61="","",IF('График платежей'!$I$19="Факт / 365",'График платежей'!$I$12*D61/'График платежей'!$I$20,'График платежей'!$I$17))</x:f>
        <x:v>0.0061643835616438354</x:v>
      </x:c>
      <x:c r="F61" s="70" t="n">
        <x:f>IF(B61="","",F60/(1+E61))</x:f>
        <x:v>0.7243932489887643</x:v>
      </x:c>
    </x:row>
    <x:row r="62" ht="24" customHeight="1">
      <x:c r="B62" s="67" t="n">
        <x:f>IF('График платежей'!B62="","",ROW()-ROW($B$9))</x:f>
        <x:v>53</x:v>
      </x:c>
      <x:c r="C62" s="68" t="n">
        <x:f>IF(B62="","",'График платежей'!B62)</x:f>
        <x:v>46409</x:v>
      </x:c>
      <x:c r="D62" s="67" t="n">
        <x:f>IF(B62="","",C62-C61)</x:f>
        <x:v>31</x:v>
      </x:c>
      <x:c r="E62" s="69" t="n">
        <x:f>IF(B62="","",IF('График платежей'!$I$19="Факт / 365",'График платежей'!$I$12*D62/'График платежей'!$I$20,'График платежей'!$I$17))</x:f>
        <x:v>0.00636986301369863</x:v>
      </x:c>
      <x:c r="F62" s="70" t="n">
        <x:f>IF(B62="","",F61/(1+E62))</x:f>
        <x:v>0.7198081695525733</x:v>
      </x:c>
    </x:row>
    <x:row r="63" ht="24" customHeight="1">
      <x:c r="B63" s="67" t="n">
        <x:f>IF('График платежей'!B63="","",ROW()-ROW($B$9))</x:f>
        <x:v>54</x:v>
      </x:c>
      <x:c r="C63" s="68" t="n">
        <x:f>IF(B63="","",'График платежей'!B63)</x:f>
        <x:v>46440</x:v>
      </x:c>
      <x:c r="D63" s="67" t="n">
        <x:f>IF(B63="","",C63-C62)</x:f>
        <x:v>31</x:v>
      </x:c>
      <x:c r="E63" s="69" t="n">
        <x:f>IF(B63="","",IF('График платежей'!$I$19="Факт / 365",'График платежей'!$I$12*D63/'График платежей'!$I$20,'График платежей'!$I$17))</x:f>
        <x:v>0.00636986301369863</x:v>
      </x:c>
      <x:c r="F63" s="70" t="n">
        <x:f>IF(B63="","",F62/(1+E63))</x:f>
        <x:v>0.7152521115815402</x:v>
      </x:c>
    </x:row>
    <x:row r="64" ht="24" customHeight="1">
      <x:c r="B64" s="67" t="n">
        <x:f>IF('График платежей'!B64="","",ROW()-ROW($B$9))</x:f>
        <x:v>55</x:v>
      </x:c>
      <x:c r="C64" s="68" t="n">
        <x:f>IF(B64="","",'График платежей'!B64)</x:f>
        <x:v>46468</x:v>
      </x:c>
      <x:c r="D64" s="67" t="n">
        <x:f>IF(B64="","",C64-C63)</x:f>
        <x:v>28</x:v>
      </x:c>
      <x:c r="E64" s="69" t="n">
        <x:f>IF(B64="","",IF('График платежей'!$I$19="Факт / 365",'График платежей'!$I$12*D64/'График платежей'!$I$20,'График платежей'!$I$17))</x:f>
        <x:v>0.005753424657534247</x:v>
      </x:c>
      <x:c r="F64" s="70" t="n">
        <x:f>IF(B64="","",F63/(1+E64))</x:f>
        <x:v>0.7111605032069251</x:v>
      </x:c>
    </x:row>
    <x:row r="65" ht="24" customHeight="1">
      <x:c r="B65" s="67" t="n">
        <x:f>IF('График платежей'!B65="","",ROW()-ROW($B$9))</x:f>
        <x:v>56</x:v>
      </x:c>
      <x:c r="C65" s="68" t="n">
        <x:f>IF(B65="","",'График платежей'!B65)</x:f>
        <x:v>46499</x:v>
      </x:c>
      <x:c r="D65" s="67" t="n">
        <x:f>IF(B65="","",C65-C64)</x:f>
        <x:v>31</x:v>
      </x:c>
      <x:c r="E65" s="69" t="n">
        <x:f>IF(B65="","",IF('График платежей'!$I$19="Факт / 365",'График платежей'!$I$12*D65/'График платежей'!$I$20,'График платежей'!$I$17))</x:f>
        <x:v>0.00636986301369863</x:v>
      </x:c>
      <x:c r="F65" s="70" t="n">
        <x:f>IF(B65="","",F64/(1+E65))</x:f>
        <x:v>0.7066591810264145</x:v>
      </x:c>
    </x:row>
    <x:row r="66" ht="24" customHeight="1">
      <x:c r="B66" s="67" t="n">
        <x:f>IF('График платежей'!B66="","",ROW()-ROW($B$9))</x:f>
        <x:v>57</x:v>
      </x:c>
      <x:c r="C66" s="68" t="n">
        <x:f>IF(B66="","",'График платежей'!B66)</x:f>
        <x:v>46529</x:v>
      </x:c>
      <x:c r="D66" s="67" t="n">
        <x:f>IF(B66="","",C66-C65)</x:f>
        <x:v>30</x:v>
      </x:c>
      <x:c r="E66" s="69" t="n">
        <x:f>IF(B66="","",IF('График платежей'!$I$19="Факт / 365",'График платежей'!$I$12*D66/'График платежей'!$I$20,'График платежей'!$I$17))</x:f>
        <x:v>0.0061643835616438354</x:v>
      </x:c>
      <x:c r="F66" s="70" t="n">
        <x:f>IF(B66="","",F65/(1+E66))</x:f>
        <x:v>0.7023297510541627</x:v>
      </x:c>
    </x:row>
    <x:row r="67" ht="24" customHeight="1">
      <x:c r="B67" s="67" t="n">
        <x:f>IF('График платежей'!B67="","",ROW()-ROW($B$9))</x:f>
        <x:v>58</x:v>
      </x:c>
      <x:c r="C67" s="68" t="n">
        <x:f>IF(B67="","",'График платежей'!B67)</x:f>
        <x:v>46560</x:v>
      </x:c>
      <x:c r="D67" s="67" t="n">
        <x:f>IF(B67="","",C67-C66)</x:f>
        <x:v>31</x:v>
      </x:c>
      <x:c r="E67" s="69" t="n">
        <x:f>IF(B67="","",IF('График платежей'!$I$19="Факт / 365",'График платежей'!$I$12*D67/'График платежей'!$I$20,'График платежей'!$I$17))</x:f>
        <x:v>0.00636986301369863</x:v>
      </x:c>
      <x:c r="F67" s="70" t="n">
        <x:f>IF(B67="","",F66/(1+E67))</x:f>
        <x:v>0.697884323513971</x:v>
      </x:c>
    </x:row>
    <x:row r="68" ht="24" customHeight="1">
      <x:c r="B68" s="67" t="n">
        <x:f>IF('График платежей'!B68="","",ROW()-ROW($B$9))</x:f>
        <x:v>59</x:v>
      </x:c>
      <x:c r="C68" s="68" t="n">
        <x:f>IF(B68="","",'График платежей'!B68)</x:f>
        <x:v>46590</x:v>
      </x:c>
      <x:c r="D68" s="67" t="n">
        <x:f>IF(B68="","",C68-C67)</x:f>
        <x:v>30</x:v>
      </x:c>
      <x:c r="E68" s="69" t="n">
        <x:f>IF(B68="","",IF('График платежей'!$I$19="Факт / 365",'График платежей'!$I$12*D68/'График платежей'!$I$20,'График платежей'!$I$17))</x:f>
        <x:v>0.0061643835616438354</x:v>
      </x:c>
      <x:c r="F68" s="70" t="n">
        <x:f>IF(B68="","",F67/(1+E68))</x:f>
        <x:v>0.6936086537306996</x:v>
      </x:c>
    </x:row>
    <x:row r="69" ht="24" customHeight="1">
      <x:c r="B69" s="67" t="n">
        <x:f>IF('График платежей'!B69="","",ROW()-ROW($B$9))</x:f>
        <x:v>60</x:v>
      </x:c>
      <x:c r="C69" s="68" t="n">
        <x:f>IF(B69="","",'График платежей'!B69)</x:f>
        <x:v>46621</x:v>
      </x:c>
      <x:c r="D69" s="67" t="n">
        <x:f>IF(B69="","",C69-C68)</x:f>
        <x:v>31</x:v>
      </x:c>
      <x:c r="E69" s="69" t="n">
        <x:f>IF(B69="","",IF('График платежей'!$I$19="Факт / 365",'График платежей'!$I$12*D69/'График платежей'!$I$20,'График платежей'!$I$17))</x:f>
        <x:v>0.00636986301369863</x:v>
      </x:c>
      <x:c r="F69" s="70" t="n">
        <x:f>IF(B69="","",F68/(1+E69))</x:f>
        <x:v>0.6892184267656853</x:v>
      </x:c>
    </x:row>
    <x:row r="70" ht="24" customHeight="1">
      <x:c r="B70" s="67" t="n">
        <x:f>IF('График платежей'!B70="","",ROW()-ROW($B$9))</x:f>
        <x:v>61</x:v>
      </x:c>
      <x:c r="C70" s="68" t="n">
        <x:f>IF(B70="","",'График платежей'!B70)</x:f>
        <x:v>46652</x:v>
      </x:c>
      <x:c r="D70" s="67" t="n">
        <x:f>IF(B70="","",C70-C69)</x:f>
        <x:v>31</x:v>
      </x:c>
      <x:c r="E70" s="69" t="n">
        <x:f>IF(B70="","",IF('График платежей'!$I$19="Факт / 365",'График платежей'!$I$12*D70/'График платежей'!$I$20,'График платежей'!$I$17))</x:f>
        <x:v>0.00636986301369863</x:v>
      </x:c>
      <x:c r="F70" s="70" t="n">
        <x:f>IF(B70="","",F69/(1+E70))</x:f>
        <x:v>0.6848559879384065</x:v>
      </x:c>
    </x:row>
    <x:row r="71" ht="24" customHeight="1">
      <x:c r="B71" s="67" t="n">
        <x:f>IF('График платежей'!B71="","",ROW()-ROW($B$9))</x:f>
        <x:v>62</x:v>
      </x:c>
      <x:c r="C71" s="68" t="n">
        <x:f>IF(B71="","",'График платежей'!B71)</x:f>
        <x:v>46682</x:v>
      </x:c>
      <x:c r="D71" s="67" t="n">
        <x:f>IF(B71="","",C71-C70)</x:f>
        <x:v>30</x:v>
      </x:c>
      <x:c r="E71" s="69" t="n">
        <x:f>IF(B71="","",IF('График платежей'!$I$19="Факт / 365",'График платежей'!$I$12*D71/'График платежей'!$I$20,'График платежей'!$I$17))</x:f>
        <x:v>0.0061643835616438354</x:v>
      </x:c>
      <x:c r="F71" s="70" t="n">
        <x:f>IF(B71="","",F70/(1+E71))</x:f>
        <x:v>0.680660137774046</x:v>
      </x:c>
    </x:row>
    <x:row r="72" ht="24" customHeight="1">
      <x:c r="B72" s="67" t="n">
        <x:f>IF('График платежей'!B72="","",ROW()-ROW($B$9))</x:f>
        <x:v>63</x:v>
      </x:c>
      <x:c r="C72" s="68" t="n">
        <x:f>IF(B72="","",'График платежей'!B72)</x:f>
        <x:v>46713</x:v>
      </x:c>
      <x:c r="D72" s="67" t="n">
        <x:f>IF(B72="","",C72-C71)</x:f>
        <x:v>31</x:v>
      </x:c>
      <x:c r="E72" s="69" t="n">
        <x:f>IF(B72="","",IF('График платежей'!$I$19="Факт / 365",'График платежей'!$I$12*D72/'График платежей'!$I$20,'График платежей'!$I$17))</x:f>
        <x:v>0.00636986301369863</x:v>
      </x:c>
      <x:c r="F72" s="70" t="n">
        <x:f>IF(B72="","",F71/(1+E72))</x:f>
        <x:v>0.6763518690193339</x:v>
      </x:c>
    </x:row>
    <x:row r="73" ht="24" customHeight="1">
      <x:c r="B73" s="67" t="n">
        <x:f>IF('График платежей'!B73="","",ROW()-ROW($B$9))</x:f>
        <x:v>64</x:v>
      </x:c>
      <x:c r="C73" s="68" t="n">
        <x:f>IF(B73="","",'График платежей'!B73)</x:f>
        <x:v>46743</x:v>
      </x:c>
      <x:c r="D73" s="67" t="n">
        <x:f>IF(B73="","",C73-C72)</x:f>
        <x:v>30</x:v>
      </x:c>
      <x:c r="E73" s="69" t="n">
        <x:f>IF(B73="","",IF('График платежей'!$I$19="Факт / 365",'График платежей'!$I$12*D73/'График платежей'!$I$20,'График платежей'!$I$17))</x:f>
        <x:v>0.0061643835616438354</x:v>
      </x:c>
      <x:c r="F73" s="70" t="n">
        <x:f>IF(B73="","",F72/(1+E73))</x:f>
        <x:v>0.6722081203323536</x:v>
      </x:c>
    </x:row>
    <x:row r="74" ht="24" customHeight="1">
      <x:c r="B74" s="67" t="n">
        <x:f>IF('График платежей'!B74="","",ROW()-ROW($B$9))</x:f>
        <x:v>65</x:v>
      </x:c>
      <x:c r="C74" s="68" t="n">
        <x:f>IF(B74="","",'График платежей'!B74)</x:f>
        <x:v>46774</x:v>
      </x:c>
      <x:c r="D74" s="67" t="n">
        <x:f>IF(B74="","",C74-C73)</x:f>
        <x:v>31</x:v>
      </x:c>
      <x:c r="E74" s="69" t="n">
        <x:f>IF(B74="","",IF('График платежей'!$I$19="Факт / 365",'График платежей'!$I$12*D74/'График платежей'!$I$20,'График платежей'!$I$17))</x:f>
        <x:v>0.00636986301369863</x:v>
      </x:c>
      <x:c r="F74" s="70" t="n">
        <x:f>IF(B74="","",F73/(1+E74))</x:f>
        <x:v>0.6679533489996844</x:v>
      </x:c>
    </x:row>
    <x:row r="75" ht="24" customHeight="1">
      <x:c r="B75" s="67" t="n">
        <x:f>IF('График платежей'!B75="","",ROW()-ROW($B$9))</x:f>
        <x:v>66</x:v>
      </x:c>
      <x:c r="C75" s="68" t="n">
        <x:f>IF(B75="","",'График платежей'!B75)</x:f>
        <x:v>46805</x:v>
      </x:c>
      <x:c r="D75" s="67" t="n">
        <x:f>IF(B75="","",C75-C74)</x:f>
        <x:v>31</x:v>
      </x:c>
      <x:c r="E75" s="69" t="n">
        <x:f>IF(B75="","",IF('График платежей'!$I$19="Факт / 365",'График платежей'!$I$12*D75/'График платежей'!$I$20,'График платежей'!$I$17))</x:f>
        <x:v>0.00636986301369863</x:v>
      </x:c>
      <x:c r="F75" s="70" t="n">
        <x:f>IF(B75="","",F74/(1+E75))</x:f>
        <x:v>0.6637255084322734</x:v>
      </x:c>
    </x:row>
    <x:row r="76" ht="24" customHeight="1">
      <x:c r="B76" s="67" t="n">
        <x:f>IF('График платежей'!B76="","",ROW()-ROW($B$9))</x:f>
        <x:v>67</x:v>
      </x:c>
      <x:c r="C76" s="68" t="n">
        <x:f>IF(B76="","",'График платежей'!B76)</x:f>
        <x:v>46834</x:v>
      </x:c>
      <x:c r="D76" s="67" t="n">
        <x:f>IF(B76="","",C76-C75)</x:f>
        <x:v>29</x:v>
      </x:c>
      <x:c r="E76" s="69" t="n">
        <x:f>IF(B76="","",IF('График платежей'!$I$19="Факт / 365",'График платежей'!$I$12*D76/'График платежей'!$I$20,'График платежей'!$I$17))</x:f>
        <x:v>0.00595890410958904</x:v>
      </x:c>
      <x:c r="F76" s="70" t="n">
        <x:f>IF(B76="","",F75/(1+E76))</x:f>
        <x:v>0.6597938600879139</x:v>
      </x:c>
    </x:row>
    <x:row r="77" ht="24" customHeight="1">
      <x:c r="B77" s="67" t="n">
        <x:f>IF('График платежей'!B77="","",ROW()-ROW($B$9))</x:f>
        <x:v>68</x:v>
      </x:c>
      <x:c r="C77" s="68" t="n">
        <x:f>IF(B77="","",'График платежей'!B77)</x:f>
        <x:v>46865</x:v>
      </x:c>
      <x:c r="D77" s="67" t="n">
        <x:f>IF(B77="","",C77-C76)</x:f>
        <x:v>31</x:v>
      </x:c>
      <x:c r="E77" s="69" t="n">
        <x:f>IF(B77="","",IF('График платежей'!$I$19="Факт / 365",'График платежей'!$I$12*D77/'График платежей'!$I$20,'График платежей'!$I$17))</x:f>
        <x:v>0.00636986301369863</x:v>
      </x:c>
      <x:c r="F77" s="70" t="n">
        <x:f>IF(B77="","",F76/(1+E77))</x:f>
        <x:v>0.6556176653701452</x:v>
      </x:c>
    </x:row>
    <x:row r="78" ht="24" customHeight="1">
      <x:c r="B78" s="67" t="n">
        <x:f>IF('График платежей'!B78="","",ROW()-ROW($B$9))</x:f>
        <x:v>69</x:v>
      </x:c>
      <x:c r="C78" s="68" t="n">
        <x:f>IF(B78="","",'График платежей'!B78)</x:f>
        <x:v>46895</x:v>
      </x:c>
      <x:c r="D78" s="67" t="n">
        <x:f>IF(B78="","",C78-C77)</x:f>
        <x:v>30</x:v>
      </x:c>
      <x:c r="E78" s="69" t="n">
        <x:f>IF(B78="","",IF('График платежей'!$I$19="Факт / 365",'График платежей'!$I$12*D78/'График платежей'!$I$20,'График платежей'!$I$17))</x:f>
        <x:v>0.0061643835616438354</x:v>
      </x:c>
      <x:c r="F78" s="70" t="n">
        <x:f>IF(B78="","",F77/(1+E78))</x:f>
        <x:v>0.6516009472024589</x:v>
      </x:c>
    </x:row>
    <x:row r="79" ht="24" customHeight="1">
      <x:c r="B79" s="67" t="n">
        <x:f>IF('График платежей'!B79="","",ROW()-ROW($B$9))</x:f>
        <x:v>70</x:v>
      </x:c>
      <x:c r="C79" s="68" t="n">
        <x:f>IF(B79="","",'График платежей'!B79)</x:f>
        <x:v>46926</x:v>
      </x:c>
      <x:c r="D79" s="67" t="n">
        <x:f>IF(B79="","",C79-C78)</x:f>
        <x:v>31</x:v>
      </x:c>
      <x:c r="E79" s="69" t="n">
        <x:f>IF(B79="","",IF('График платежей'!$I$19="Факт / 365",'График платежей'!$I$12*D79/'График платежей'!$I$20,'График платежей'!$I$17))</x:f>
        <x:v>0.00636986301369863</x:v>
      </x:c>
      <x:c r="F79" s="70" t="n">
        <x:f>IF(B79="","",F78/(1+E79))</x:f>
        <x:v>0.6474766098928674</x:v>
      </x:c>
    </x:row>
    <x:row r="80" ht="24" customHeight="1">
      <x:c r="B80" s="67" t="n">
        <x:f>IF('График платежей'!B80="","",ROW()-ROW($B$9))</x:f>
        <x:v>71</x:v>
      </x:c>
      <x:c r="C80" s="68" t="n">
        <x:f>IF(B80="","",'График платежей'!B80)</x:f>
        <x:v>46956</x:v>
      </x:c>
      <x:c r="D80" s="67" t="n">
        <x:f>IF(B80="","",C80-C79)</x:f>
        <x:v>30</x:v>
      </x:c>
      <x:c r="E80" s="69" t="n">
        <x:f>IF(B80="","",IF('График платежей'!$I$19="Факт / 365",'График платежей'!$I$12*D80/'График платежей'!$I$20,'График платежей'!$I$17))</x:f>
        <x:v>0.0061643835616438354</x:v>
      </x:c>
      <x:c r="F80" s="70" t="n">
        <x:f>IF(B80="","",F79/(1+E80))</x:f>
        <x:v>0.6435097688519988</x:v>
      </x:c>
    </x:row>
    <x:row r="81" ht="24" customHeight="1">
      <x:c r="B81" s="67" t="n">
        <x:f>IF('График платежей'!B81="","",ROW()-ROW($B$9))</x:f>
        <x:v>72</x:v>
      </x:c>
      <x:c r="C81" s="68" t="n">
        <x:f>IF(B81="","",'График платежей'!B81)</x:f>
        <x:v>46987</x:v>
      </x:c>
      <x:c r="D81" s="67" t="n">
        <x:f>IF(B81="","",C81-C80)</x:f>
        <x:v>31</x:v>
      </x:c>
      <x:c r="E81" s="69" t="n">
        <x:f>IF(B81="","",IF('График платежей'!$I$19="Факт / 365",'График платежей'!$I$12*D81/'График платежей'!$I$20,'График платежей'!$I$17))</x:f>
        <x:v>0.00636986301369863</x:v>
      </x:c>
      <x:c r="F81" s="70" t="n">
        <x:f>IF(B81="","",F80/(1+E81))</x:f>
        <x:v>0.6394366450172997</x:v>
      </x:c>
    </x:row>
    <x:row r="82" ht="24" customHeight="1">
      <x:c r="B82" s="67" t="n">
        <x:f>IF('График платежей'!B82="","",ROW()-ROW($B$9))</x:f>
        <x:v>73</x:v>
      </x:c>
      <x:c r="C82" s="68" t="n">
        <x:f>IF(B82="","",'График платежей'!B82)</x:f>
        <x:v>47018</x:v>
      </x:c>
      <x:c r="D82" s="67" t="n">
        <x:f>IF(B82="","",C82-C81)</x:f>
        <x:v>31</x:v>
      </x:c>
      <x:c r="E82" s="69" t="n">
        <x:f>IF(B82="","",IF('График платежей'!$I$19="Факт / 365",'График платежей'!$I$12*D82/'График платежей'!$I$20,'График платежей'!$I$17))</x:f>
        <x:v>0.00636986301369863</x:v>
      </x:c>
      <x:c r="F82" s="70" t="n">
        <x:f>IF(B82="","",F81/(1+E82))</x:f>
        <x:v>0.635389302201904</x:v>
      </x:c>
    </x:row>
    <x:row r="83" ht="24" customHeight="1">
      <x:c r="B83" s="67" t="n">
        <x:f>IF('График платежей'!B83="","",ROW()-ROW($B$9))</x:f>
        <x:v>74</x:v>
      </x:c>
      <x:c r="C83" s="68" t="n">
        <x:f>IF(B83="","",'График платежей'!B83)</x:f>
        <x:v>47048</x:v>
      </x:c>
      <x:c r="D83" s="67" t="n">
        <x:f>IF(B83="","",C83-C82)</x:f>
        <x:v>30</x:v>
      </x:c>
      <x:c r="E83" s="69" t="n">
        <x:f>IF(B83="","",IF('График платежей'!$I$19="Факт / 365",'График платежей'!$I$12*D83/'График платежей'!$I$20,'График платежей'!$I$17))</x:f>
        <x:v>0.0061643835616438354</x:v>
      </x:c>
      <x:c r="F83" s="70" t="n">
        <x:f>IF(B83="","",F82/(1+E83))</x:f>
        <x:v>0.6314965154627501</x:v>
      </x:c>
    </x:row>
    <x:row r="84" ht="24" customHeight="1">
      <x:c r="B84" s="67" t="n">
        <x:f>IF('График платежей'!B84="","",ROW()-ROW($B$9))</x:f>
        <x:v>75</x:v>
      </x:c>
      <x:c r="C84" s="68" t="n">
        <x:f>IF(B84="","",'График платежей'!B84)</x:f>
        <x:v>47079</x:v>
      </x:c>
      <x:c r="D84" s="67" t="n">
        <x:f>IF(B84="","",C84-C83)</x:f>
        <x:v>31</x:v>
      </x:c>
      <x:c r="E84" s="69" t="n">
        <x:f>IF(B84="","",IF('График платежей'!$I$19="Факт / 365",'График платежей'!$I$12*D84/'График платежей'!$I$20,'График платежей'!$I$17))</x:f>
        <x:v>0.00636986301369863</x:v>
      </x:c>
      <x:c r="F84" s="70" t="n">
        <x:f>IF(B84="","",F83/(1+E84))</x:f>
        <x:v>0.627499430052144</x:v>
      </x:c>
    </x:row>
    <x:row r="85" ht="24" customHeight="1">
      <x:c r="B85" s="67" t="n">
        <x:f>IF('График платежей'!B85="","",ROW()-ROW($B$9))</x:f>
        <x:v>76</x:v>
      </x:c>
      <x:c r="C85" s="68" t="n">
        <x:f>IF(B85="","",'График платежей'!B85)</x:f>
        <x:v>47109</x:v>
      </x:c>
      <x:c r="D85" s="67" t="n">
        <x:f>IF(B85="","",C85-C84)</x:f>
        <x:v>30</x:v>
      </x:c>
      <x:c r="E85" s="69" t="n">
        <x:f>IF(B85="","",IF('График платежей'!$I$19="Факт / 365",'График платежей'!$I$12*D85/'График платежей'!$I$20,'График платежей'!$I$17))</x:f>
        <x:v>0.0061643835616438354</x:v>
      </x:c>
      <x:c r="F85" s="70" t="n">
        <x:f>IF(B85="","",F84/(1+E85))</x:f>
        <x:v>0.6236549815358273</x:v>
      </x:c>
    </x:row>
    <x:row r="86" ht="24" customHeight="1">
      <x:c r="B86" s="67" t="n">
        <x:f>IF('График платежей'!B86="","",ROW()-ROW($B$9))</x:f>
        <x:v>77</x:v>
      </x:c>
      <x:c r="C86" s="68" t="n">
        <x:f>IF(B86="","",'График платежей'!B86)</x:f>
        <x:v>47140</x:v>
      </x:c>
      <x:c r="D86" s="67" t="n">
        <x:f>IF(B86="","",C86-C85)</x:f>
        <x:v>31</x:v>
      </x:c>
      <x:c r="E86" s="69" t="n">
        <x:f>IF(B86="","",IF('График платежей'!$I$19="Факт / 365",'График платежей'!$I$12*D86/'График платежей'!$I$20,'График платежей'!$I$17))</x:f>
        <x:v>0.00636986301369863</x:v>
      </x:c>
      <x:c r="F86" s="70" t="n">
        <x:f>IF(B86="","",F85/(1+E86))</x:f>
        <x:v>0.6197075294645804</x:v>
      </x:c>
    </x:row>
    <x:row r="87" ht="24" customHeight="1">
      <x:c r="B87" s="67" t="n">
        <x:f>IF('График платежей'!B87="","",ROW()-ROW($B$9))</x:f>
        <x:v>78</x:v>
      </x:c>
      <x:c r="C87" s="68" t="n">
        <x:f>IF(B87="","",'График платежей'!B87)</x:f>
        <x:v>47171</x:v>
      </x:c>
      <x:c r="D87" s="67" t="n">
        <x:f>IF(B87="","",C87-C86)</x:f>
        <x:v>31</x:v>
      </x:c>
      <x:c r="E87" s="69" t="n">
        <x:f>IF(B87="","",IF('График платежей'!$I$19="Факт / 365",'График платежей'!$I$12*D87/'График платежей'!$I$20,'График платежей'!$I$17))</x:f>
        <x:v>0.00636986301369863</x:v>
      </x:c>
      <x:c r="F87" s="70" t="n">
        <x:f>IF(B87="","",F86/(1+E87))</x:f>
        <x:v>0.615785062967595</x:v>
      </x:c>
    </x:row>
    <x:row r="88" ht="24" customHeight="1">
      <x:c r="B88" s="67" t="n">
        <x:f>IF('График платежей'!B88="","",ROW()-ROW($B$9))</x:f>
        <x:v>79</x:v>
      </x:c>
      <x:c r="C88" s="68" t="n">
        <x:f>IF(B88="","",'График платежей'!B88)</x:f>
        <x:v>47199</x:v>
      </x:c>
      <x:c r="D88" s="67" t="n">
        <x:f>IF(B88="","",C88-C87)</x:f>
        <x:v>28</x:v>
      </x:c>
      <x:c r="E88" s="69" t="n">
        <x:f>IF(B88="","",IF('График платежей'!$I$19="Факт / 365",'График платежей'!$I$12*D88/'График платежей'!$I$20,'График платежей'!$I$17))</x:f>
        <x:v>0.005753424657534247</x:v>
      </x:c>
      <x:c r="F88" s="70" t="n">
        <x:f>IF(B88="","",F87/(1+E88))</x:f>
        <x:v>0.6122624570503193</x:v>
      </x:c>
    </x:row>
    <x:row r="89" ht="24" customHeight="1">
      <x:c r="B89" s="67" t="n">
        <x:f>IF('График платежей'!B89="","",ROW()-ROW($B$9))</x:f>
        <x:v>80</x:v>
      </x:c>
      <x:c r="C89" s="68" t="n">
        <x:f>IF(B89="","",'График платежей'!B89)</x:f>
        <x:v>47230</x:v>
      </x:c>
      <x:c r="D89" s="67" t="n">
        <x:f>IF(B89="","",C89-C88)</x:f>
        <x:v>31</x:v>
      </x:c>
      <x:c r="E89" s="69" t="n">
        <x:f>IF(B89="","",IF('График платежей'!$I$19="Факт / 365",'График платежей'!$I$12*D89/'График платежей'!$I$20,'График платежей'!$I$17))</x:f>
        <x:v>0.00636986301369863</x:v>
      </x:c>
      <x:c r="F89" s="70" t="n">
        <x:f>IF(B89="","",F88/(1+E89))</x:f>
        <x:v>0.6083871144718344</x:v>
      </x:c>
    </x:row>
    <x:row r="90" ht="24" customHeight="1">
      <x:c r="B90" s="67" t="n">
        <x:f>IF('График платежей'!B90="","",ROW()-ROW($B$9))</x:f>
        <x:v>81</x:v>
      </x:c>
      <x:c r="C90" s="68" t="n">
        <x:f>IF(B90="","",'График платежей'!B90)</x:f>
        <x:v>47260</x:v>
      </x:c>
      <x:c r="D90" s="67" t="n">
        <x:f>IF(B90="","",C90-C89)</x:f>
        <x:v>30</x:v>
      </x:c>
      <x:c r="E90" s="69" t="n">
        <x:f>IF(B90="","",IF('График платежей'!$I$19="Факт / 365",'График платежей'!$I$12*D90/'График платежей'!$I$20,'График платежей'!$I$17))</x:f>
        <x:v>0.0061643835616438354</x:v>
      </x:c>
      <x:c r="F90" s="70" t="n">
        <x:f>IF(B90="","",F89/(1+E90))</x:f>
        <x:v>0.6046597597882084</x:v>
      </x:c>
    </x:row>
    <x:row r="91" ht="24" customHeight="1">
      <x:c r="B91" s="67" t="n">
        <x:f>IF('График платежей'!B91="","",ROW()-ROW($B$9))</x:f>
        <x:v>82</x:v>
      </x:c>
      <x:c r="C91" s="68" t="n">
        <x:f>IF(B91="","",'График платежей'!B91)</x:f>
        <x:v>47291</x:v>
      </x:c>
      <x:c r="D91" s="67" t="n">
        <x:f>IF(B91="","",C91-C90)</x:f>
        <x:v>31</x:v>
      </x:c>
      <x:c r="E91" s="69" t="n">
        <x:f>IF(B91="","",IF('График платежей'!$I$19="Факт / 365",'График платежей'!$I$12*D91/'График платежей'!$I$20,'График платежей'!$I$17))</x:f>
        <x:v>0.00636986301369863</x:v>
      </x:c>
      <x:c r="F91" s="70" t="n">
        <x:f>IF(B91="","",F90/(1+E91))</x:f>
        <x:v>0.6008325388217411</x:v>
      </x:c>
    </x:row>
    <x:row r="92" ht="24" customHeight="1">
      <x:c r="B92" s="67" t="n">
        <x:f>IF('График платежей'!B92="","",ROW()-ROW($B$9))</x:f>
        <x:v>83</x:v>
      </x:c>
      <x:c r="C92" s="68" t="n">
        <x:f>IF(B92="","",'График платежей'!B92)</x:f>
        <x:v>47321</x:v>
      </x:c>
      <x:c r="D92" s="67" t="n">
        <x:f>IF(B92="","",C92-C91)</x:f>
        <x:v>30</x:v>
      </x:c>
      <x:c r="E92" s="69" t="n">
        <x:f>IF(B92="","",IF('График платежей'!$I$19="Факт / 365",'График платежей'!$I$12*D92/'График платежей'!$I$20,'График платежей'!$I$17))</x:f>
        <x:v>0.0061643835616438354</x:v>
      </x:c>
      <x:c r="F92" s="70" t="n">
        <x:f>IF(B92="","",F91/(1+E92))</x:f>
        <x:v>0.5971514681278026</x:v>
      </x:c>
    </x:row>
    <x:row r="93" ht="24" customHeight="1">
      <x:c r="B93" s="67" t="n">
        <x:f>IF('График платежей'!B93="","",ROW()-ROW($B$9))</x:f>
        <x:v>84</x:v>
      </x:c>
      <x:c r="C93" s="68" t="n">
        <x:f>IF(B93="","",'График платежей'!B93)</x:f>
        <x:v>47352</x:v>
      </x:c>
      <x:c r="D93" s="67" t="n">
        <x:f>IF(B93="","",C93-C92)</x:f>
        <x:v>31</x:v>
      </x:c>
      <x:c r="E93" s="69" t="n">
        <x:f>IF(B93="","",IF('График платежей'!$I$19="Факт / 365",'График платежей'!$I$12*D93/'График платежей'!$I$20,'График платежей'!$I$17))</x:f>
        <x:v>0.00636986301369863</x:v>
      </x:c>
      <x:c r="F93" s="70" t="n">
        <x:f>IF(B93="","",F92/(1+E93))</x:f>
        <x:v>0.593371771228879</x:v>
      </x:c>
    </x:row>
    <x:row r="94" ht="24" customHeight="1">
      <x:c r="B94" s="67" t="n">
        <x:f>IF('График платежей'!B94="","",ROW()-ROW($B$9))</x:f>
        <x:v>85</x:v>
      </x:c>
      <x:c r="C94" s="68" t="n">
        <x:f>IF(B94="","",'График платежей'!B94)</x:f>
        <x:v>47383</x:v>
      </x:c>
      <x:c r="D94" s="67" t="n">
        <x:f>IF(B94="","",C94-C93)</x:f>
        <x:v>31</x:v>
      </x:c>
      <x:c r="E94" s="69" t="n">
        <x:f>IF(B94="","",IF('График платежей'!$I$19="Факт / 365",'График платежей'!$I$12*D94/'График платежей'!$I$20,'График платежей'!$I$17))</x:f>
        <x:v>0.00636986301369863</x:v>
      </x:c>
      <x:c r="F94" s="70" t="n">
        <x:f>IF(B94="","",F93/(1+E94))</x:f>
        <x:v>0.5896159980903583</x:v>
      </x:c>
    </x:row>
    <x:row r="95" ht="24" customHeight="1">
      <x:c r="B95" s="67" t="n">
        <x:f>IF('График платежей'!B95="","",ROW()-ROW($B$9))</x:f>
        <x:v>86</x:v>
      </x:c>
      <x:c r="C95" s="68" t="n">
        <x:f>IF(B95="","",'График платежей'!B95)</x:f>
        <x:v>47413</x:v>
      </x:c>
      <x:c r="D95" s="67" t="n">
        <x:f>IF(B95="","",C95-C94)</x:f>
        <x:v>30</x:v>
      </x:c>
      <x:c r="E95" s="69" t="n">
        <x:f>IF(B95="","",IF('График платежей'!$I$19="Факт / 365",'График платежей'!$I$12*D95/'График платежей'!$I$20,'График платежей'!$I$17))</x:f>
        <x:v>0.0061643835616438354</x:v>
      </x:c>
      <x:c r="F95" s="70" t="n">
        <x:f>IF(B95="","",F94/(1+E95))</x:f>
        <x:v>0.5860036468426978</x:v>
      </x:c>
    </x:row>
    <x:row r="96" ht="24" customHeight="1">
      <x:c r="B96" s="67" t="n">
        <x:f>IF('График платежей'!B96="","",ROW()-ROW($B$9))</x:f>
        <x:v>87</x:v>
      </x:c>
      <x:c r="C96" s="68" t="n">
        <x:f>IF(B96="","",'График платежей'!B96)</x:f>
        <x:v>47444</x:v>
      </x:c>
      <x:c r="D96" s="67" t="n">
        <x:f>IF(B96="","",C96-C95)</x:f>
        <x:v>31</x:v>
      </x:c>
      <x:c r="E96" s="69" t="n">
        <x:f>IF(B96="","",IF('График платежей'!$I$19="Факт / 365",'График платежей'!$I$12*D96/'График платежей'!$I$20,'График платежей'!$I$17))</x:f>
        <x:v>0.00636986301369863</x:v>
      </x:c>
      <x:c r="F96" s="70" t="n">
        <x:f>IF(B96="","",F95/(1+E96))</x:f>
        <x:v>0.5822945105766956</x:v>
      </x:c>
    </x:row>
    <x:row r="97" ht="24" customHeight="1">
      <x:c r="B97" s="67" t="n">
        <x:f>IF('График платежей'!B97="","",ROW()-ROW($B$9))</x:f>
        <x:v>88</x:v>
      </x:c>
      <x:c r="C97" s="68" t="n">
        <x:f>IF(B97="","",'График платежей'!B97)</x:f>
        <x:v>47474</x:v>
      </x:c>
      <x:c r="D97" s="67" t="n">
        <x:f>IF(B97="","",C97-C96)</x:f>
        <x:v>30</x:v>
      </x:c>
      <x:c r="E97" s="69" t="n">
        <x:f>IF(B97="","",IF('График платежей'!$I$19="Факт / 365",'График платежей'!$I$12*D97/'График платежей'!$I$20,'График платежей'!$I$17))</x:f>
        <x:v>0.0061643835616438354</x:v>
      </x:c>
      <x:c r="F97" s="70" t="n">
        <x:f>IF(B97="","",F96/(1+E97))</x:f>
        <x:v>0.5787270152770425</x:v>
      </x:c>
    </x:row>
    <x:row r="98" ht="24" customHeight="1">
      <x:c r="B98" s="67" t="n">
        <x:f>IF('График платежей'!B98="","",ROW()-ROW($B$9))</x:f>
        <x:v>89</x:v>
      </x:c>
      <x:c r="C98" s="68" t="n">
        <x:f>IF(B98="","",'График платежей'!B98)</x:f>
        <x:v>47505</x:v>
      </x:c>
      <x:c r="D98" s="67" t="n">
        <x:f>IF(B98="","",C98-C97)</x:f>
        <x:v>31</x:v>
      </x:c>
      <x:c r="E98" s="69" t="n">
        <x:f>IF(B98="","",IF('График платежей'!$I$19="Факт / 365",'График платежей'!$I$12*D98/'График платежей'!$I$20,'График платежей'!$I$17))</x:f>
        <x:v>0.00636986301369863</x:v>
      </x:c>
      <x:c r="F98" s="70" t="n">
        <x:f>IF(B98="","",F97/(1+E98))</x:f>
        <x:v>0.5750639367756634</x:v>
      </x:c>
    </x:row>
    <x:row r="99" ht="24" customHeight="1">
      <x:c r="B99" s="67" t="n">
        <x:f>IF('График платежей'!B99="","",ROW()-ROW($B$9))</x:f>
        <x:v>90</x:v>
      </x:c>
      <x:c r="C99" s="68" t="n">
        <x:f>IF(B99="","",'График платежей'!B99)</x:f>
        <x:v>47536</x:v>
      </x:c>
      <x:c r="D99" s="67" t="n">
        <x:f>IF(B99="","",C99-C98)</x:f>
        <x:v>31</x:v>
      </x:c>
      <x:c r="E99" s="69" t="n">
        <x:f>IF(B99="","",IF('График платежей'!$I$19="Факт / 365",'График платежей'!$I$12*D99/'График платежей'!$I$20,'График платежей'!$I$17))</x:f>
        <x:v>0.00636986301369863</x:v>
      </x:c>
      <x:c r="F99" s="70" t="n">
        <x:f>IF(B99="","",F98/(1+E99))</x:f>
        <x:v>0.5714240438933291</x:v>
      </x:c>
    </x:row>
    <x:row r="100" ht="24" customHeight="1">
      <x:c r="B100" s="67" t="n">
        <x:f>IF('График платежей'!B100="","",ROW()-ROW($B$9))</x:f>
        <x:v>91</x:v>
      </x:c>
      <x:c r="C100" s="68" t="n">
        <x:f>IF(B100="","",'График платежей'!B100)</x:f>
        <x:v>47564</x:v>
      </x:c>
      <x:c r="D100" s="67" t="n">
        <x:f>IF(B100="","",C100-C99)</x:f>
        <x:v>28</x:v>
      </x:c>
      <x:c r="E100" s="69" t="n">
        <x:f>IF(B100="","",IF('График платежей'!$I$19="Факт / 365",'График платежей'!$I$12*D100/'График платежей'!$I$20,'График платежей'!$I$17))</x:f>
        <x:v>0.005753424657534247</x:v>
      </x:c>
      <x:c r="F100" s="70" t="n">
        <x:f>IF(B100="","",F99/(1+E100))</x:f>
        <x:v>0.5681552057234136</x:v>
      </x:c>
    </x:row>
    <x:row r="101" ht="24" customHeight="1">
      <x:c r="B101" s="67" t="n">
        <x:f>IF('График платежей'!B101="","",ROW()-ROW($B$9))</x:f>
        <x:v>92</x:v>
      </x:c>
      <x:c r="C101" s="68" t="n">
        <x:f>IF(B101="","",'График платежей'!B101)</x:f>
        <x:v>47595</x:v>
      </x:c>
      <x:c r="D101" s="67" t="n">
        <x:f>IF(B101="","",C101-C100)</x:f>
        <x:v>31</x:v>
      </x:c>
      <x:c r="E101" s="69" t="n">
        <x:f>IF(B101="","",IF('График платежей'!$I$19="Факт / 365",'График платежей'!$I$12*D101/'График платежей'!$I$20,'График платежей'!$I$17))</x:f>
        <x:v>0.00636986301369863</x:v>
      </x:c>
      <x:c r="F101" s="70" t="n">
        <x:f>IF(B101="","",F100/(1+E101))</x:f>
        <x:v>0.5645590419629646</x:v>
      </x:c>
    </x:row>
    <x:row r="102" ht="24" customHeight="1">
      <x:c r="B102" s="67" t="n">
        <x:f>IF('График платежей'!B102="","",ROW()-ROW($B$9))</x:f>
        <x:v>93</x:v>
      </x:c>
      <x:c r="C102" s="68" t="n">
        <x:f>IF(B102="","",'График платежей'!B102)</x:f>
        <x:v>47625</x:v>
      </x:c>
      <x:c r="D102" s="67" t="n">
        <x:f>IF(B102="","",C102-C101)</x:f>
        <x:v>30</x:v>
      </x:c>
      <x:c r="E102" s="69" t="n">
        <x:f>IF(B102="","",IF('График платежей'!$I$19="Факт / 365",'График платежей'!$I$12*D102/'График платежей'!$I$20,'График платежей'!$I$17))</x:f>
        <x:v>0.0061643835616438354</x:v>
      </x:c>
      <x:c r="F102" s="70" t="n">
        <x:f>IF(B102="","",F101/(1+E102))</x:f>
        <x:v>0.5611002050823202</x:v>
      </x:c>
    </x:row>
    <x:row r="103" ht="24" customHeight="1">
      <x:c r="B103" s="67" t="n">
        <x:f>IF('График платежей'!B103="","",ROW()-ROW($B$9))</x:f>
        <x:v>94</x:v>
      </x:c>
      <x:c r="C103" s="68" t="n">
        <x:f>IF(B103="","",'График платежей'!B103)</x:f>
        <x:v>47656</x:v>
      </x:c>
      <x:c r="D103" s="67" t="n">
        <x:f>IF(B103="","",C103-C102)</x:f>
        <x:v>31</x:v>
      </x:c>
      <x:c r="E103" s="69" t="n">
        <x:f>IF(B103="","",IF('График платежей'!$I$19="Факт / 365",'График платежей'!$I$12*D103/'График платежей'!$I$20,'График платежей'!$I$17))</x:f>
        <x:v>0.00636986301369863</x:v>
      </x:c>
      <x:c r="F103" s="70" t="n">
        <x:f>IF(B103="","",F102/(1+E103))</x:f>
        <x:v>0.5575486962636544</x:v>
      </x:c>
    </x:row>
    <x:row r="104" ht="24" customHeight="1">
      <x:c r="B104" s="67" t="n">
        <x:f>IF('График платежей'!B104="","",ROW()-ROW($B$9))</x:f>
        <x:v>95</x:v>
      </x:c>
      <x:c r="C104" s="68" t="n">
        <x:f>IF(B104="","",'График платежей'!B104)</x:f>
        <x:v>47686</x:v>
      </x:c>
      <x:c r="D104" s="67" t="n">
        <x:f>IF(B104="","",C104-C103)</x:f>
        <x:v>30</x:v>
      </x:c>
      <x:c r="E104" s="69" t="n">
        <x:f>IF(B104="","",IF('График платежей'!$I$19="Факт / 365",'График платежей'!$I$12*D104/'График платежей'!$I$20,'График платежей'!$I$17))</x:f>
        <x:v>0.0061643835616438354</x:v>
      </x:c>
      <x:c r="F104" s="70" t="n">
        <x:f>IF(B104="","",F103/(1+E104))</x:f>
        <x:v>0.5541328090843672</x:v>
      </x:c>
    </x:row>
    <x:row r="105" ht="24" customHeight="1">
      <x:c r="B105" s="67" t="n">
        <x:f>IF('График платежей'!B105="","",ROW()-ROW($B$9))</x:f>
        <x:v>96</x:v>
      </x:c>
      <x:c r="C105" s="68" t="n">
        <x:f>IF(B105="","",'График платежей'!B105)</x:f>
        <x:v>47717</x:v>
      </x:c>
      <x:c r="D105" s="67" t="n">
        <x:f>IF(B105="","",C105-C104)</x:f>
        <x:v>31</x:v>
      </x:c>
      <x:c r="E105" s="69" t="n">
        <x:f>IF(B105="","",IF('График платежей'!$I$19="Факт / 365",'График платежей'!$I$12*D105/'График платежей'!$I$20,'График платежей'!$I$17))</x:f>
        <x:v>0.00636986301369863</x:v>
      </x:c>
      <x:c r="F105" s="70" t="n">
        <x:f>IF(B105="","",F104/(1+E105))</x:f>
        <x:v>0.5506254007099818</x:v>
      </x:c>
    </x:row>
    <x:row r="106" ht="24" customHeight="1">
      <x:c r="B106" s="67" t="n">
        <x:f>IF('График платежей'!B106="","",ROW()-ROW($B$9))</x:f>
        <x:v>97</x:v>
      </x:c>
      <x:c r="C106" s="68" t="n">
        <x:f>IF(B106="","",'График платежей'!B106)</x:f>
        <x:v>47748</x:v>
      </x:c>
      <x:c r="D106" s="67" t="n">
        <x:f>IF(B106="","",C106-C105)</x:f>
        <x:v>31</x:v>
      </x:c>
      <x:c r="E106" s="69" t="n">
        <x:f>IF(B106="","",IF('График платежей'!$I$19="Факт / 365",'График платежей'!$I$12*D106/'График платежей'!$I$20,'График платежей'!$I$17))</x:f>
        <x:v>0.00636986301369863</x:v>
      </x:c>
      <x:c r="F106" s="70" t="n">
        <x:f>IF(B106="","",F105/(1+E106))</x:f>
        <x:v>0.547140192633617</x:v>
      </x:c>
    </x:row>
    <x:row r="107" ht="24" customHeight="1">
      <x:c r="B107" s="67" t="n">
        <x:f>IF('График платежей'!B107="","",ROW()-ROW($B$9))</x:f>
        <x:v>98</x:v>
      </x:c>
      <x:c r="C107" s="68" t="n">
        <x:f>IF(B107="","",'График платежей'!B107)</x:f>
        <x:v>47778</x:v>
      </x:c>
      <x:c r="D107" s="67" t="n">
        <x:f>IF(B107="","",C107-C106)</x:f>
        <x:v>30</x:v>
      </x:c>
      <x:c r="E107" s="69" t="n">
        <x:f>IF(B107="","",IF('График платежей'!$I$19="Факт / 365",'График платежей'!$I$12*D107/'График платежей'!$I$20,'График платежей'!$I$17))</x:f>
        <x:v>0.0061643835616438354</x:v>
      </x:c>
      <x:c r="F107" s="70" t="n">
        <x:f>IF(B107="","",F106/(1+E107))</x:f>
        <x:v>0.5437880743669713</x:v>
      </x:c>
    </x:row>
    <x:row r="108" ht="24" customHeight="1">
      <x:c r="B108" s="67" t="n">
        <x:f>IF('График платежей'!B108="","",ROW()-ROW($B$9))</x:f>
        <x:v>99</x:v>
      </x:c>
      <x:c r="C108" s="68" t="n">
        <x:f>IF(B108="","",'График платежей'!B108)</x:f>
        <x:v>47809</x:v>
      </x:c>
      <x:c r="D108" s="67" t="n">
        <x:f>IF(B108="","",C108-C107)</x:f>
        <x:v>31</x:v>
      </x:c>
      <x:c r="E108" s="69" t="n">
        <x:f>IF(B108="","",IF('График платежей'!$I$19="Факт / 365",'График платежей'!$I$12*D108/'График платежей'!$I$20,'График платежей'!$I$17))</x:f>
        <x:v>0.00636986301369863</x:v>
      </x:c>
      <x:c r="F108" s="70" t="n">
        <x:f>IF(B108="","",F107/(1+E108))</x:f>
        <x:v>0.5403461434531941</x:v>
      </x:c>
    </x:row>
    <x:row r="109" ht="24" customHeight="1">
      <x:c r="B109" s="67" t="n">
        <x:f>IF('График платежей'!B109="","",ROW()-ROW($B$9))</x:f>
        <x:v>100</x:v>
      </x:c>
      <x:c r="C109" s="68" t="n">
        <x:f>IF(B109="","",'График платежей'!B109)</x:f>
        <x:v>47839</x:v>
      </x:c>
      <x:c r="D109" s="67" t="n">
        <x:f>IF(B109="","",C109-C108)</x:f>
        <x:v>30</x:v>
      </x:c>
      <x:c r="E109" s="69" t="n">
        <x:f>IF(B109="","",IF('График платежей'!$I$19="Факт / 365",'График платежей'!$I$12*D109/'График платежей'!$I$20,'График платежей'!$I$17))</x:f>
        <x:v>0.0061643835616438354</x:v>
      </x:c>
      <x:c r="F109" s="70" t="n">
        <x:f>IF(B109="","",F108/(1+E109))</x:f>
        <x:v>0.5370356497220309</x:v>
      </x:c>
    </x:row>
    <x:row r="110" ht="24" customHeight="1">
      <x:c r="B110" s="67" t="n">
        <x:f>IF('График платежей'!B110="","",ROW()-ROW($B$9))</x:f>
        <x:v>101</x:v>
      </x:c>
      <x:c r="C110" s="68" t="n">
        <x:f>IF(B110="","",'График платежей'!B110)</x:f>
        <x:v>47870</x:v>
      </x:c>
      <x:c r="D110" s="67" t="n">
        <x:f>IF(B110="","",C110-C109)</x:f>
        <x:v>31</x:v>
      </x:c>
      <x:c r="E110" s="69" t="n">
        <x:f>IF(B110="","",IF('График платежей'!$I$19="Факт / 365",'График платежей'!$I$12*D110/'График платежей'!$I$20,'График платежей'!$I$17))</x:f>
        <x:v>0.00636986301369863</x:v>
      </x:c>
      <x:c r="F110" s="70" t="n">
        <x:f>IF(B110="","",F109/(1+E110))</x:f>
        <x:v>0.5336364585817499</x:v>
      </x:c>
    </x:row>
    <x:row r="111" ht="24" customHeight="1">
      <x:c r="B111" s="67" t="n">
        <x:f>IF('График платежей'!B111="","",ROW()-ROW($B$9))</x:f>
        <x:v>102</x:v>
      </x:c>
      <x:c r="C111" s="68" t="n">
        <x:f>IF(B111="","",'График платежей'!B111)</x:f>
        <x:v>47901</x:v>
      </x:c>
      <x:c r="D111" s="67" t="n">
        <x:f>IF(B111="","",C111-C110)</x:f>
        <x:v>31</x:v>
      </x:c>
      <x:c r="E111" s="69" t="n">
        <x:f>IF(B111="","",IF('График платежей'!$I$19="Факт / 365",'График платежей'!$I$12*D111/'График платежей'!$I$20,'График платежей'!$I$17))</x:f>
        <x:v>0.00636986301369863</x:v>
      </x:c>
      <x:c r="F111" s="70" t="n">
        <x:f>IF(B111="","",F110/(1+E111))</x:f>
        <x:v>0.5302587827736711</x:v>
      </x:c>
    </x:row>
    <x:row r="112" ht="24" customHeight="1">
      <x:c r="B112" s="67" t="n">
        <x:f>IF('График платежей'!B112="","",ROW()-ROW($B$9))</x:f>
        <x:v>103</x:v>
      </x:c>
      <x:c r="C112" s="68" t="n">
        <x:f>IF(B112="","",'График платежей'!B112)</x:f>
        <x:v>47929</x:v>
      </x:c>
      <x:c r="D112" s="67" t="n">
        <x:f>IF(B112="","",C112-C111)</x:f>
        <x:v>28</x:v>
      </x:c>
      <x:c r="E112" s="69" t="n">
        <x:f>IF(B112="","",IF('График платежей'!$I$19="Факт / 365",'График платежей'!$I$12*D112/'График платежей'!$I$20,'График платежей'!$I$17))</x:f>
        <x:v>0.005753424657534247</x:v>
      </x:c>
      <x:c r="F112" s="70" t="n">
        <x:f>IF(B112="","",F111/(1+E112))</x:f>
        <x:v>0.5272254309789974</x:v>
      </x:c>
    </x:row>
    <x:row r="113" ht="24" customHeight="1">
      <x:c r="B113" s="67" t="n">
        <x:f>IF('График платежей'!B113="","",ROW()-ROW($B$9))</x:f>
        <x:v>104</x:v>
      </x:c>
      <x:c r="C113" s="68" t="n">
        <x:f>IF(B113="","",'График платежей'!B113)</x:f>
        <x:v>47960</x:v>
      </x:c>
      <x:c r="D113" s="67" t="n">
        <x:f>IF(B113="","",C113-C112)</x:f>
        <x:v>31</x:v>
      </x:c>
      <x:c r="E113" s="69" t="n">
        <x:f>IF(B113="","",IF('График платежей'!$I$19="Факт / 365",'График платежей'!$I$12*D113/'График платежей'!$I$20,'График платежей'!$I$17))</x:f>
        <x:v>0.00636986301369863</x:v>
      </x:c>
      <x:c r="F113" s="70" t="n">
        <x:f>IF(B113="","",F112/(1+E113))</x:f>
        <x:v>0.5238883340565822</x:v>
      </x:c>
    </x:row>
    <x:row r="114" ht="24" customHeight="1">
      <x:c r="B114" s="67" t="n">
        <x:f>IF('График платежей'!B114="","",ROW()-ROW($B$9))</x:f>
        <x:v>105</x:v>
      </x:c>
      <x:c r="C114" s="68" t="n">
        <x:f>IF(B114="","",'График платежей'!B114)</x:f>
        <x:v>47990</x:v>
      </x:c>
      <x:c r="D114" s="67" t="n">
        <x:f>IF(B114="","",C114-C113)</x:f>
        <x:v>30</x:v>
      </x:c>
      <x:c r="E114" s="69" t="n">
        <x:f>IF(B114="","",IF('График платежей'!$I$19="Факт / 365",'График платежей'!$I$12*D114/'График платежей'!$I$20,'График платежей'!$I$17))</x:f>
        <x:v>0.0061643835616438354</x:v>
      </x:c>
      <x:c r="F114" s="70" t="n">
        <x:f>IF(B114="","",F113/(1+E114))</x:f>
        <x:v>0.5206786710160721</x:v>
      </x:c>
    </x:row>
    <x:row r="115" ht="24" customHeight="1">
      <x:c r="B115" s="67" t="n">
        <x:f>IF('График платежей'!B115="","",ROW()-ROW($B$9))</x:f>
        <x:v>106</x:v>
      </x:c>
      <x:c r="C115" s="68" t="n">
        <x:f>IF(B115="","",'График платежей'!B115)</x:f>
        <x:v>48021</x:v>
      </x:c>
      <x:c r="D115" s="67" t="n">
        <x:f>IF(B115="","",C115-C114)</x:f>
        <x:v>31</x:v>
      </x:c>
      <x:c r="E115" s="69" t="n">
        <x:f>IF(B115="","",IF('График платежей'!$I$19="Факт / 365",'График платежей'!$I$12*D115/'График платежей'!$I$20,'График платежей'!$I$17))</x:f>
        <x:v>0.00636986301369863</x:v>
      </x:c>
      <x:c r="F115" s="70" t="n">
        <x:f>IF(B115="","",F114/(1+E115))</x:f>
        <x:v>0.517383012103359</x:v>
      </x:c>
    </x:row>
    <x:row r="116" ht="24" customHeight="1">
      <x:c r="B116" s="67" t="n">
        <x:f>IF('График платежей'!B116="","",ROW()-ROW($B$9))</x:f>
        <x:v>107</x:v>
      </x:c>
      <x:c r="C116" s="68" t="n">
        <x:f>IF(B116="","",'График платежей'!B116)</x:f>
        <x:v>48051</x:v>
      </x:c>
      <x:c r="D116" s="67" t="n">
        <x:f>IF(B116="","",C116-C115)</x:f>
        <x:v>30</x:v>
      </x:c>
      <x:c r="E116" s="69" t="n">
        <x:f>IF(B116="","",IF('График платежей'!$I$19="Факт / 365",'График платежей'!$I$12*D116/'График платежей'!$I$20,'График платежей'!$I$17))</x:f>
        <x:v>0.0061643835616438354</x:v>
      </x:c>
      <x:c r="F116" s="70" t="n">
        <x:f>IF(B116="","",F115/(1+E116))</x:f>
        <x:v>0.5142132046772663</x:v>
      </x:c>
    </x:row>
    <x:row r="117" ht="24" customHeight="1">
      <x:c r="B117" s="67" t="n">
        <x:f>IF('График платежей'!B117="","",ROW()-ROW($B$9))</x:f>
        <x:v>108</x:v>
      </x:c>
      <x:c r="C117" s="68" t="n">
        <x:f>IF(B117="","",'График платежей'!B117)</x:f>
        <x:v>48082</x:v>
      </x:c>
      <x:c r="D117" s="67" t="n">
        <x:f>IF(B117="","",C117-C116)</x:f>
        <x:v>31</x:v>
      </x:c>
      <x:c r="E117" s="69" t="n">
        <x:f>IF(B117="","",IF('График платежей'!$I$19="Факт / 365",'График платежей'!$I$12*D117/'График платежей'!$I$20,'График платежей'!$I$17))</x:f>
        <x:v>0.00636986301369863</x:v>
      </x:c>
      <x:c r="F117" s="70" t="n">
        <x:f>IF(B117="","",F116/(1+E117))</x:f>
        <x:v>0.510958469222629</x:v>
      </x:c>
    </x:row>
    <x:row r="118" ht="24" customHeight="1">
      <x:c r="B118" s="67" t="n">
        <x:f>IF('График платежей'!B118="","",ROW()-ROW($B$9))</x:f>
        <x:v>109</x:v>
      </x:c>
      <x:c r="C118" s="68" t="n">
        <x:f>IF(B118="","",'График платежей'!B118)</x:f>
        <x:v>48113</x:v>
      </x:c>
      <x:c r="D118" s="67" t="n">
        <x:f>IF(B118="","",C118-C117)</x:f>
        <x:v>31</x:v>
      </x:c>
      <x:c r="E118" s="69" t="n">
        <x:f>IF(B118="","",IF('График платежей'!$I$19="Факт / 365",'График платежей'!$I$12*D118/'График платежей'!$I$20,'График платежей'!$I$17))</x:f>
        <x:v>0.00636986301369863</x:v>
      </x:c>
      <x:c r="F118" s="70" t="n">
        <x:f>IF(B118="","",F117/(1+E118))</x:f>
        <x:v>0.5077243347614772</x:v>
      </x:c>
    </x:row>
    <x:row r="119" ht="24" customHeight="1">
      <x:c r="B119" s="67" t="n">
        <x:f>IF('График платежей'!B119="","",ROW()-ROW($B$9))</x:f>
        <x:v>110</x:v>
      </x:c>
      <x:c r="C119" s="68" t="n">
        <x:f>IF(B119="","",'График платежей'!B119)</x:f>
        <x:v>48143</x:v>
      </x:c>
      <x:c r="D119" s="67" t="n">
        <x:f>IF(B119="","",C119-C118)</x:f>
        <x:v>30</x:v>
      </x:c>
      <x:c r="E119" s="69" t="n">
        <x:f>IF(B119="","",IF('График платежей'!$I$19="Факт / 365",'График платежей'!$I$12*D119/'График платежей'!$I$20,'График платежей'!$I$17))</x:f>
        <x:v>0.0061643835616438354</x:v>
      </x:c>
      <x:c r="F119" s="70" t="n">
        <x:f>IF(B119="","",F118/(1+E119))</x:f>
        <x:v>0.5046137023497322</x:v>
      </x:c>
    </x:row>
    <x:row r="120" ht="24" customHeight="1">
      <x:c r="B120" s="67" t="n">
        <x:f>IF('График платежей'!B120="","",ROW()-ROW($B$9))</x:f>
        <x:v>111</x:v>
      </x:c>
      <x:c r="C120" s="68" t="n">
        <x:f>IF(B120="","",'График платежей'!B120)</x:f>
        <x:v>48174</x:v>
      </x:c>
      <x:c r="D120" s="67" t="n">
        <x:f>IF(B120="","",C120-C119)</x:f>
        <x:v>31</x:v>
      </x:c>
      <x:c r="E120" s="69" t="n">
        <x:f>IF(B120="","",IF('График платежей'!$I$19="Факт / 365",'График платежей'!$I$12*D120/'График платежей'!$I$20,'График платежей'!$I$17))</x:f>
        <x:v>0.00636986301369863</x:v>
      </x:c>
      <x:c r="F120" s="70" t="n">
        <x:f>IF(B120="","",F119/(1+E120))</x:f>
        <x:v>0.5014197273739938</x:v>
      </x:c>
    </x:row>
    <x:row r="121" ht="24" customHeight="1">
      <x:c r="B121" s="67" t="n">
        <x:f>IF('График платежей'!B121="","",ROW()-ROW($B$9))</x:f>
        <x:v>112</x:v>
      </x:c>
      <x:c r="C121" s="68" t="n">
        <x:f>IF(B121="","",'График платежей'!B121)</x:f>
        <x:v>48204</x:v>
      </x:c>
      <x:c r="D121" s="67" t="n">
        <x:f>IF(B121="","",C121-C120)</x:f>
        <x:v>30</x:v>
      </x:c>
      <x:c r="E121" s="69" t="n">
        <x:f>IF(B121="","",IF('График платежей'!$I$19="Факт / 365",'График платежей'!$I$12*D121/'График платежей'!$I$20,'График платежей'!$I$17))</x:f>
        <x:v>0.0061643835616438354</x:v>
      </x:c>
      <x:c r="F121" s="70" t="n">
        <x:f>IF(B121="","",F120/(1+E121))</x:f>
        <x:v>0.4983477208754465</x:v>
      </x:c>
    </x:row>
    <x:row r="122" ht="24" customHeight="1">
      <x:c r="B122" s="67" t="n">
        <x:f>IF('График платежей'!B122="","",ROW()-ROW($B$9))</x:f>
        <x:v>113</x:v>
      </x:c>
      <x:c r="C122" s="68" t="n">
        <x:f>IF(B122="","",'График платежей'!B122)</x:f>
        <x:v>48235</x:v>
      </x:c>
      <x:c r="D122" s="67" t="n">
        <x:f>IF(B122="","",C122-C121)</x:f>
        <x:v>31</x:v>
      </x:c>
      <x:c r="E122" s="69" t="n">
        <x:f>IF(B122="","",IF('График платежей'!$I$19="Факт / 365",'График платежей'!$I$12*D122/'График платежей'!$I$20,'График платежей'!$I$17))</x:f>
        <x:v>0.00636986301369863</x:v>
      </x:c>
      <x:c r="F122" s="70" t="n">
        <x:f>IF(B122="","",F121/(1+E122))</x:f>
        <x:v>0.49519340670942075</x:v>
      </x:c>
    </x:row>
    <x:row r="123" ht="24" customHeight="1">
      <x:c r="B123" s="67" t="n">
        <x:f>IF('График платежей'!B123="","",ROW()-ROW($B$9))</x:f>
        <x:v>114</x:v>
      </x:c>
      <x:c r="C123" s="68" t="n">
        <x:f>IF(B123="","",'График платежей'!B123)</x:f>
        <x:v>48266</x:v>
      </x:c>
      <x:c r="D123" s="67" t="n">
        <x:f>IF(B123="","",C123-C122)</x:f>
        <x:v>31</x:v>
      </x:c>
      <x:c r="E123" s="69" t="n">
        <x:f>IF(B123="","",IF('График платежей'!$I$19="Факт / 365",'График платежей'!$I$12*D123/'График платежей'!$I$20,'График платежей'!$I$17))</x:f>
        <x:v>0.00636986301369863</x:v>
      </x:c>
      <x:c r="F123" s="70" t="n">
        <x:f>IF(B123="","",F122/(1+E123))</x:f>
        <x:v>0.49205905791584725</x:v>
      </x:c>
    </x:row>
    <x:row r="124" ht="24" customHeight="1">
      <x:c r="B124" s="67" t="n">
        <x:f>IF('График платежей'!B124="","",ROW()-ROW($B$9))</x:f>
        <x:v>115</x:v>
      </x:c>
      <x:c r="C124" s="68" t="n">
        <x:f>IF(B124="","",'График платежей'!B124)</x:f>
        <x:v>48295</x:v>
      </x:c>
      <x:c r="D124" s="67" t="n">
        <x:f>IF(B124="","",C124-C123)</x:f>
        <x:v>29</x:v>
      </x:c>
      <x:c r="E124" s="69" t="n">
        <x:f>IF(B124="","",IF('График платежей'!$I$19="Факт / 365",'График платежей'!$I$12*D124/'График платежей'!$I$20,'График платежей'!$I$17))</x:f>
        <x:v>0.00595890410958904</x:v>
      </x:c>
      <x:c r="F124" s="70" t="n">
        <x:f>IF(B124="","",F123/(1+E124))</x:f>
        <x:v>0.48914429397231357</x:v>
      </x:c>
    </x:row>
    <x:row r="125" ht="24" customHeight="1">
      <x:c r="B125" s="67" t="n">
        <x:f>IF('График платежей'!B125="","",ROW()-ROW($B$9))</x:f>
        <x:v>116</x:v>
      </x:c>
      <x:c r="C125" s="68" t="n">
        <x:f>IF(B125="","",'График платежей'!B125)</x:f>
        <x:v>48326</x:v>
      </x:c>
      <x:c r="D125" s="67" t="n">
        <x:f>IF(B125="","",C125-C124)</x:f>
        <x:v>31</x:v>
      </x:c>
      <x:c r="E125" s="69" t="n">
        <x:f>IF(B125="","",IF('График платежей'!$I$19="Факт / 365",'График платежей'!$I$12*D125/'График платежей'!$I$20,'График платежей'!$I$17))</x:f>
        <x:v>0.00636986301369863</x:v>
      </x:c>
      <x:c r="F125" s="70" t="n">
        <x:f>IF(B125="","",F124/(1+E125))</x:f>
        <x:v>0.4860482333080908</x:v>
      </x:c>
    </x:row>
    <x:row r="126" ht="24" customHeight="1">
      <x:c r="B126" s="67" t="n">
        <x:f>IF('График платежей'!B126="","",ROW()-ROW($B$9))</x:f>
        <x:v>117</x:v>
      </x:c>
      <x:c r="C126" s="68" t="n">
        <x:f>IF(B126="","",'График платежей'!B126)</x:f>
        <x:v>48356</x:v>
      </x:c>
      <x:c r="D126" s="67" t="n">
        <x:f>IF(B126="","",C126-C125)</x:f>
        <x:v>30</x:v>
      </x:c>
      <x:c r="E126" s="69" t="n">
        <x:f>IF(B126="","",IF('График платежей'!$I$19="Факт / 365",'График платежей'!$I$12*D126/'График платежей'!$I$20,'График платежей'!$I$17))</x:f>
        <x:v>0.0061643835616438354</x:v>
      </x:c>
      <x:c r="F126" s="70" t="n">
        <x:f>IF(B126="","",F125/(1+E126))</x:f>
        <x:v>0.48307040206250007</x:v>
      </x:c>
    </x:row>
    <x:row r="127" ht="24" customHeight="1">
      <x:c r="B127" s="67" t="n">
        <x:f>IF('График платежей'!B127="","",ROW()-ROW($B$9))</x:f>
        <x:v>118</x:v>
      </x:c>
      <x:c r="C127" s="68" t="n">
        <x:f>IF(B127="","",'График платежей'!B127)</x:f>
        <x:v>48387</x:v>
      </x:c>
      <x:c r="D127" s="67" t="n">
        <x:f>IF(B127="","",C127-C126)</x:f>
        <x:v>31</x:v>
      </x:c>
      <x:c r="E127" s="69" t="n">
        <x:f>IF(B127="","",IF('График платежей'!$I$19="Факт / 365",'График платежей'!$I$12*D127/'График платежей'!$I$20,'График платежей'!$I$17))</x:f>
        <x:v>0.00636986301369863</x:v>
      </x:c>
      <x:c r="F127" s="70" t="n">
        <x:f>IF(B127="","",F126/(1+E127))</x:f>
        <x:v>0.4800127863685089</x:v>
      </x:c>
    </x:row>
    <x:row r="128" ht="24" customHeight="1">
      <x:c r="B128" s="67" t="n">
        <x:f>IF('График платежей'!B128="","",ROW()-ROW($B$9))</x:f>
        <x:v>119</x:v>
      </x:c>
      <x:c r="C128" s="68" t="n">
        <x:f>IF(B128="","",'График платежей'!B128)</x:f>
        <x:v>48417</x:v>
      </x:c>
      <x:c r="D128" s="67" t="n">
        <x:f>IF(B128="","",C128-C127)</x:f>
        <x:v>30</x:v>
      </x:c>
      <x:c r="E128" s="69" t="n">
        <x:f>IF(B128="","",IF('График платежей'!$I$19="Факт / 365",'График платежей'!$I$12*D128/'График платежей'!$I$20,'График платежей'!$I$17))</x:f>
        <x:v>0.0061643835616438354</x:v>
      </x:c>
      <x:c r="F128" s="70" t="n">
        <x:f>IF(B128="","",F127/(1+E128))</x:f>
        <x:v>0.4770719319932083</x:v>
      </x:c>
    </x:row>
    <x:row r="129" ht="24" customHeight="1">
      <x:c r="B129" s="67" t="n">
        <x:f>IF('График платежей'!B129="","",ROW()-ROW($B$9))</x:f>
        <x:v>120</x:v>
      </x:c>
      <x:c r="C129" s="68" t="n">
        <x:f>IF(B129="","",'График платежей'!B129)</x:f>
        <x:v>48448</x:v>
      </x:c>
      <x:c r="D129" s="67" t="n">
        <x:f>IF(B129="","",C129-C128)</x:f>
        <x:v>31</x:v>
      </x:c>
      <x:c r="E129" s="69" t="n">
        <x:f>IF(B129="","",IF('График платежей'!$I$19="Факт / 365",'График платежей'!$I$12*D129/'График платежей'!$I$20,'График платежей'!$I$17))</x:f>
        <x:v>0.00636986301369863</x:v>
      </x:c>
      <x:c r="F129" s="70" t="n">
        <x:f>IF(B129="","",F128/(1+E129))</x:f>
        <x:v>0.4740522838835392</x:v>
      </x:c>
    </x:row>
    <x:row r="130" ht="24" customHeight="1">
      <x:c r="B130" s="67" t="n">
        <x:f>IF('График платежей'!B130="","",ROW()-ROW($B$9))</x:f>
        <x:v>121</x:v>
      </x:c>
      <x:c r="C130" s="68" t="n">
        <x:f>IF(B130="","",'График платежей'!B130)</x:f>
        <x:v>48479</x:v>
      </x:c>
      <x:c r="D130" s="67" t="n">
        <x:f>IF(B130="","",C130-C129)</x:f>
        <x:v>31</x:v>
      </x:c>
      <x:c r="E130" s="69" t="n">
        <x:f>IF(B130="","",IF('График платежей'!$I$19="Факт / 365",'График платежей'!$I$12*D130/'График платежей'!$I$20,'График платежей'!$I$17))</x:f>
        <x:v>0.00636986301369863</x:v>
      </x:c>
      <x:c r="F130" s="70" t="n">
        <x:f>IF(B130="","",F129/(1+E130))</x:f>
        <x:v>0.4710517487715016</x:v>
      </x:c>
    </x:row>
    <x:row r="131" ht="24" customHeight="1">
      <x:c r="B131" s="67" t="n">
        <x:f>IF('График платежей'!B131="","",ROW()-ROW($B$9))</x:f>
        <x:v>122</x:v>
      </x:c>
      <x:c r="C131" s="68" t="n">
        <x:f>IF(B131="","",'График платежей'!B131)</x:f>
        <x:v>48509</x:v>
      </x:c>
      <x:c r="D131" s="67" t="n">
        <x:f>IF(B131="","",C131-C130)</x:f>
        <x:v>30</x:v>
      </x:c>
      <x:c r="E131" s="69" t="n">
        <x:f>IF(B131="","",IF('График платежей'!$I$19="Факт / 365",'График платежей'!$I$12*D131/'График платежей'!$I$20,'График платежей'!$I$17))</x:f>
        <x:v>0.0061643835616438354</x:v>
      </x:c>
      <x:c r="F131" s="70" t="n">
        <x:f>IF(B131="","",F130/(1+E131))</x:f>
        <x:v>0.4681657952392051</x:v>
      </x:c>
    </x:row>
    <x:row r="132" ht="24" customHeight="1">
      <x:c r="B132" s="67" t="n">
        <x:f>IF('График платежей'!B132="","",ROW()-ROW($B$9))</x:f>
        <x:v>123</x:v>
      </x:c>
      <x:c r="C132" s="68" t="n">
        <x:f>IF(B132="","",'График платежей'!B132)</x:f>
        <x:v>48540</x:v>
      </x:c>
      <x:c r="D132" s="67" t="n">
        <x:f>IF(B132="","",C132-C131)</x:f>
        <x:v>31</x:v>
      </x:c>
      <x:c r="E132" s="69" t="n">
        <x:f>IF(B132="","",IF('График платежей'!$I$19="Факт / 365",'График платежей'!$I$12*D132/'График платежей'!$I$20,'График платежей'!$I$17))</x:f>
        <x:v>0.00636986301369863</x:v>
      </x:c>
      <x:c r="F132" s="70" t="n">
        <x:f>IF(B132="","",F131/(1+E132))</x:f>
        <x:v>0.4652025189200568</x:v>
      </x:c>
    </x:row>
    <x:row r="133" ht="24" customHeight="1">
      <x:c r="B133" s="67" t="n">
        <x:f>IF('График платежей'!B133="","",ROW()-ROW($B$9))</x:f>
        <x:v>124</x:v>
      </x:c>
      <x:c r="C133" s="68" t="n">
        <x:f>IF(B133="","",'График платежей'!B133)</x:f>
        <x:v>48570</x:v>
      </x:c>
      <x:c r="D133" s="67" t="n">
        <x:f>IF(B133="","",C133-C132)</x:f>
        <x:v>30</x:v>
      </x:c>
      <x:c r="E133" s="69" t="n">
        <x:f>IF(B133="","",IF('График платежей'!$I$19="Факт / 365",'График платежей'!$I$12*D133/'График платежей'!$I$20,'График платежей'!$I$17))</x:f>
        <x:v>0.0061643835616438354</x:v>
      </x:c>
      <x:c r="F133" s="70" t="n">
        <x:f>IF(B133="","",F132/(1+E133))</x:f>
        <x:v>0.4623524013773199</x:v>
      </x:c>
    </x:row>
    <x:row r="134" ht="24" customHeight="1">
      <x:c r="B134" s="67" t="n">
        <x:f>IF('График платежей'!B134="","",ROW()-ROW($B$9))</x:f>
        <x:v>125</x:v>
      </x:c>
      <x:c r="C134" s="68" t="n">
        <x:f>IF(B134="","",'График платежей'!B134)</x:f>
        <x:v>48601</x:v>
      </x:c>
      <x:c r="D134" s="67" t="n">
        <x:f>IF(B134="","",C134-C133)</x:f>
        <x:v>31</x:v>
      </x:c>
      <x:c r="E134" s="69" t="n">
        <x:f>IF(B134="","",IF('График платежей'!$I$19="Факт / 365",'График платежей'!$I$12*D134/'График платежей'!$I$20,'График платежей'!$I$17))</x:f>
        <x:v>0.00636986301369863</x:v>
      </x:c>
      <x:c r="F134" s="70" t="n">
        <x:f>IF(B134="","",F133/(1+E134))</x:f>
        <x:v>0.45942592119436954</x:v>
      </x:c>
    </x:row>
    <x:row r="135" ht="24" customHeight="1">
      <x:c r="B135" s="67" t="n">
        <x:f>IF('График платежей'!B135="","",ROW()-ROW($B$9))</x:f>
        <x:v>126</x:v>
      </x:c>
      <x:c r="C135" s="68" t="n">
        <x:f>IF(B135="","",'График платежей'!B135)</x:f>
        <x:v>48632</x:v>
      </x:c>
      <x:c r="D135" s="67" t="n">
        <x:f>IF(B135="","",C135-C134)</x:f>
        <x:v>31</x:v>
      </x:c>
      <x:c r="E135" s="69" t="n">
        <x:f>IF(B135="","",IF('График платежей'!$I$19="Факт / 365",'График платежей'!$I$12*D135/'График платежей'!$I$20,'График платежей'!$I$17))</x:f>
        <x:v>0.00636986301369863</x:v>
      </x:c>
      <x:c r="F135" s="70" t="n">
        <x:f>IF(B135="","",F134/(1+E135))</x:f>
        <x:v>0.45651796429849556</x:v>
      </x:c>
    </x:row>
    <x:row r="136" ht="24" customHeight="1">
      <x:c r="B136" s="67" t="n">
        <x:f>IF('График платежей'!B136="","",ROW()-ROW($B$9))</x:f>
        <x:v>127</x:v>
      </x:c>
      <x:c r="C136" s="68" t="n">
        <x:f>IF(B136="","",'График платежей'!B136)</x:f>
        <x:v>48660</x:v>
      </x:c>
      <x:c r="D136" s="67" t="n">
        <x:f>IF(B136="","",C136-C135)</x:f>
        <x:v>28</x:v>
      </x:c>
      <x:c r="E136" s="69" t="n">
        <x:f>IF(B136="","",IF('График платежей'!$I$19="Факт / 365",'График платежей'!$I$12*D136/'График платежей'!$I$20,'График платежей'!$I$17))</x:f>
        <x:v>0.005753424657534247</x:v>
      </x:c>
      <x:c r="F136" s="70" t="n">
        <x:f>IF(B136="","",F135/(1+E136))</x:f>
        <x:v>0.45390644774979816</x:v>
      </x:c>
    </x:row>
    <x:row r="137" ht="24" customHeight="1">
      <x:c r="B137" s="67" t="n">
        <x:f>IF('График платежей'!B137="","",ROW()-ROW($B$9))</x:f>
        <x:v>128</x:v>
      </x:c>
      <x:c r="C137" s="68" t="n">
        <x:f>IF(B137="","",'График платежей'!B137)</x:f>
        <x:v>48691</x:v>
      </x:c>
      <x:c r="D137" s="67" t="n">
        <x:f>IF(B137="","",C137-C136)</x:f>
        <x:v>31</x:v>
      </x:c>
      <x:c r="E137" s="69" t="n">
        <x:f>IF(B137="","",IF('График платежей'!$I$19="Факт / 365",'График платежей'!$I$12*D137/'График платежей'!$I$20,'График платежей'!$I$17))</x:f>
        <x:v>0.00636986301369863</x:v>
      </x:c>
      <x:c r="F137" s="70" t="n">
        <x:f>IF(B137="","",F136/(1+E137))</x:f>
        <x:v>0.451033426607708</x:v>
      </x:c>
    </x:row>
    <x:row r="138" ht="24" customHeight="1">
      <x:c r="B138" s="67" t="n">
        <x:f>IF('График платежей'!B138="","",ROW()-ROW($B$9))</x:f>
        <x:v>129</x:v>
      </x:c>
      <x:c r="C138" s="68" t="n">
        <x:f>IF(B138="","",'График платежей'!B138)</x:f>
        <x:v>48721</x:v>
      </x:c>
      <x:c r="D138" s="67" t="n">
        <x:f>IF(B138="","",C138-C137)</x:f>
        <x:v>30</x:v>
      </x:c>
      <x:c r="E138" s="69" t="n">
        <x:f>IF(B138="","",IF('График платежей'!$I$19="Факт / 365",'График платежей'!$I$12*D138/'График платежей'!$I$20,'График платежей'!$I$17))</x:f>
        <x:v>0.0061643835616438354</x:v>
      </x:c>
      <x:c r="F138" s="70" t="n">
        <x:f>IF(B138="","",F137/(1+E138))</x:f>
        <x:v>0.4482701176632088</x:v>
      </x:c>
    </x:row>
    <x:row r="139" ht="24" customHeight="1">
      <x:c r="B139" s="67" t="n">
        <x:f>IF('График платежей'!B139="","",ROW()-ROW($B$9))</x:f>
        <x:v>130</x:v>
      </x:c>
      <x:c r="C139" s="68" t="n">
        <x:f>IF(B139="","",'График платежей'!B139)</x:f>
        <x:v>48752</x:v>
      </x:c>
      <x:c r="D139" s="67" t="n">
        <x:f>IF(B139="","",C139-C138)</x:f>
        <x:v>31</x:v>
      </x:c>
      <x:c r="E139" s="69" t="n">
        <x:f>IF(B139="","",IF('График платежей'!$I$19="Факт / 365",'График платежей'!$I$12*D139/'График платежей'!$I$20,'График платежей'!$I$17))</x:f>
        <x:v>0.00636986301369863</x:v>
      </x:c>
      <x:c r="F139" s="70" t="n">
        <x:f>IF(B139="","",F138/(1+E139))</x:f>
        <x:v>0.44543277192423936</x:v>
      </x:c>
    </x:row>
    <x:row r="140" ht="24" customHeight="1">
      <x:c r="B140" s="67" t="n">
        <x:f>IF('График платежей'!B140="","",ROW()-ROW($B$9))</x:f>
        <x:v>131</x:v>
      </x:c>
      <x:c r="C140" s="68" t="n">
        <x:f>IF(B140="","",'График платежей'!B140)</x:f>
        <x:v>48782</x:v>
      </x:c>
      <x:c r="D140" s="67" t="n">
        <x:f>IF(B140="","",C140-C139)</x:f>
        <x:v>30</x:v>
      </x:c>
      <x:c r="E140" s="69" t="n">
        <x:f>IF(B140="","",IF('График платежей'!$I$19="Факт / 365",'График платежей'!$I$12*D140/'График платежей'!$I$20,'График платежей'!$I$17))</x:f>
        <x:v>0.0061643835616438354</x:v>
      </x:c>
      <x:c r="F140" s="70" t="n">
        <x:f>IF(B140="","",F139/(1+E140))</x:f>
        <x:v>0.4427037760445129</x:v>
      </x:c>
    </x:row>
    <x:row r="141" ht="24" customHeight="1">
      <x:c r="B141" s="67" t="n">
        <x:f>IF('График платежей'!B141="","",ROW()-ROW($B$9))</x:f>
        <x:v>132</x:v>
      </x:c>
      <x:c r="C141" s="68" t="n">
        <x:f>IF(B141="","",'График платежей'!B141)</x:f>
        <x:v>48813</x:v>
      </x:c>
      <x:c r="D141" s="67" t="n">
        <x:f>IF(B141="","",C141-C140)</x:f>
        <x:v>31</x:v>
      </x:c>
      <x:c r="E141" s="69" t="n">
        <x:f>IF(B141="","",IF('График платежей'!$I$19="Факт / 365",'График платежей'!$I$12*D141/'График платежей'!$I$20,'График платежей'!$I$17))</x:f>
        <x:v>0.00636986301369863</x:v>
      </x:c>
      <x:c r="F141" s="70" t="n">
        <x:f>IF(B141="","",F140/(1+E141))</x:f>
        <x:v>0.4399016627135295</x:v>
      </x:c>
    </x:row>
    <x:row r="142" ht="24" customHeight="1">
      <x:c r="B142" s="67" t="n">
        <x:f>IF('График платежей'!B142="","",ROW()-ROW($B$9))</x:f>
        <x:v>133</x:v>
      </x:c>
      <x:c r="C142" s="68" t="n">
        <x:f>IF(B142="","",'График платежей'!B142)</x:f>
        <x:v>48844</x:v>
      </x:c>
      <x:c r="D142" s="67" t="n">
        <x:f>IF(B142="","",C142-C141)</x:f>
        <x:v>31</x:v>
      </x:c>
      <x:c r="E142" s="69" t="n">
        <x:f>IF(B142="","",IF('График платежей'!$I$19="Факт / 365",'График платежей'!$I$12*D142/'График платежей'!$I$20,'График платежей'!$I$17))</x:f>
        <x:v>0.00636986301369863</x:v>
      </x:c>
      <x:c r="F142" s="70" t="n">
        <x:f>IF(B142="","",F141/(1+E142))</x:f>
        <x:v>0.43711728548407613</x:v>
      </x:c>
    </x:row>
    <x:row r="143" ht="24" customHeight="1">
      <x:c r="B143" s="67" t="n">
        <x:f>IF('График платежей'!B143="","",ROW()-ROW($B$9))</x:f>
        <x:v>134</x:v>
      </x:c>
      <x:c r="C143" s="68" t="n">
        <x:f>IF(B143="","",'График платежей'!B143)</x:f>
        <x:v>48874</x:v>
      </x:c>
      <x:c r="D143" s="67" t="n">
        <x:f>IF(B143="","",C143-C142)</x:f>
        <x:v>30</x:v>
      </x:c>
      <x:c r="E143" s="69" t="n">
        <x:f>IF(B143="","",IF('График платежей'!$I$19="Факт / 365",'График платежей'!$I$12*D143/'График платежей'!$I$20,'График платежей'!$I$17))</x:f>
        <x:v>0.0061643835616438354</x:v>
      </x:c>
      <x:c r="F143" s="70" t="n">
        <x:f>IF(B143="","",F142/(1+E143))</x:f>
        <x:v>0.43443923540282586</x:v>
      </x:c>
    </x:row>
    <x:row r="144" ht="24" customHeight="1">
      <x:c r="B144" s="67" t="n">
        <x:f>IF('График платежей'!B144="","",ROW()-ROW($B$9))</x:f>
        <x:v>135</x:v>
      </x:c>
      <x:c r="C144" s="68" t="n">
        <x:f>IF(B144="","",'График платежей'!B144)</x:f>
        <x:v>48905</x:v>
      </x:c>
      <x:c r="D144" s="67" t="n">
        <x:f>IF(B144="","",C144-C143)</x:f>
        <x:v>31</x:v>
      </x:c>
      <x:c r="E144" s="69" t="n">
        <x:f>IF(B144="","",IF('График платежей'!$I$19="Факт / 365",'График платежей'!$I$12*D144/'График платежей'!$I$20,'График платежей'!$I$17))</x:f>
        <x:v>0.00636986301369863</x:v>
      </x:c>
      <x:c r="F144" s="70" t="n">
        <x:f>IF(B144="","",F143/(1+E144))</x:f>
        <x:v>0.4316894328511031</x:v>
      </x:c>
    </x:row>
    <x:row r="145" ht="24" customHeight="1">
      <x:c r="B145" s="67" t="n">
        <x:f>IF('График платежей'!B145="","",ROW()-ROW($B$9))</x:f>
        <x:v>136</x:v>
      </x:c>
      <x:c r="C145" s="68" t="n">
        <x:f>IF(B145="","",'График платежей'!B145)</x:f>
        <x:v>48935</x:v>
      </x:c>
      <x:c r="D145" s="67" t="n">
        <x:f>IF(B145="","",C145-C144)</x:f>
        <x:v>30</x:v>
      </x:c>
      <x:c r="E145" s="69" t="n">
        <x:f>IF(B145="","",IF('График платежей'!$I$19="Факт / 365",'График платежей'!$I$12*D145/'График платежей'!$I$20,'График платежей'!$I$17))</x:f>
        <x:v>0.0061643835616438354</x:v>
      </x:c>
      <x:c r="F145" s="70" t="n">
        <x:f>IF(B145="","",F144/(1+E145))</x:f>
        <x:v>0.42904463714268926</x:v>
      </x:c>
    </x:row>
    <x:row r="146" ht="24" customHeight="1">
      <x:c r="B146" s="67" t="n">
        <x:f>IF('График платежей'!B146="","",ROW()-ROW($B$9))</x:f>
        <x:v>137</x:v>
      </x:c>
      <x:c r="C146" s="68" t="n">
        <x:f>IF(B146="","",'График платежей'!B146)</x:f>
        <x:v>48966</x:v>
      </x:c>
      <x:c r="D146" s="67" t="n">
        <x:f>IF(B146="","",C146-C145)</x:f>
        <x:v>31</x:v>
      </x:c>
      <x:c r="E146" s="69" t="n">
        <x:f>IF(B146="","",IF('График платежей'!$I$19="Факт / 365",'График платежей'!$I$12*D146/'График платежей'!$I$20,'График платежей'!$I$17))</x:f>
        <x:v>0.00636986301369863</x:v>
      </x:c>
      <x:c r="F146" s="70" t="n">
        <x:f>IF(B146="","",F145/(1+E146))</x:f>
        <x:v>0.42632897994169083</x:v>
      </x:c>
    </x:row>
    <x:row r="147" ht="24" customHeight="1">
      <x:c r="B147" s="67" t="n">
        <x:f>IF('График платежей'!B147="","",ROW()-ROW($B$9))</x:f>
        <x:v>138</x:v>
      </x:c>
      <x:c r="C147" s="68" t="n">
        <x:f>IF(B147="","",'График платежей'!B147)</x:f>
        <x:v>48997</x:v>
      </x:c>
      <x:c r="D147" s="67" t="n">
        <x:f>IF(B147="","",C147-C146)</x:f>
        <x:v>31</x:v>
      </x:c>
      <x:c r="E147" s="69" t="n">
        <x:f>IF(B147="","",IF('График платежей'!$I$19="Факт / 365",'График платежей'!$I$12*D147/'График платежей'!$I$20,'График платежей'!$I$17))</x:f>
        <x:v>0.00636986301369863</x:v>
      </x:c>
      <x:c r="F147" s="70" t="n">
        <x:f>IF(B147="","",F146/(1+E147))</x:f>
        <x:v>0.4236305116142848</x:v>
      </x:c>
    </x:row>
    <x:row r="148" ht="24" customHeight="1">
      <x:c r="B148" s="67" t="n">
        <x:f>IF('График платежей'!B148="","",ROW()-ROW($B$9))</x:f>
        <x:v>139</x:v>
      </x:c>
      <x:c r="C148" s="68" t="n">
        <x:f>IF(B148="","",'График платежей'!B148)</x:f>
        <x:v>49025</x:v>
      </x:c>
      <x:c r="D148" s="67" t="n">
        <x:f>IF(B148="","",C148-C147)</x:f>
        <x:v>28</x:v>
      </x:c>
      <x:c r="E148" s="69" t="n">
        <x:f>IF(B148="","",IF('График платежей'!$I$19="Факт / 365",'График платежей'!$I$12*D148/'График платежей'!$I$20,'График платежей'!$I$17))</x:f>
        <x:v>0.005753424657534247</x:v>
      </x:c>
      <x:c r="F148" s="70" t="n">
        <x:f>IF(B148="","",F147/(1+E148))</x:f>
        <x:v>0.4212071281373303</x:v>
      </x:c>
    </x:row>
    <x:row r="149" ht="24" customHeight="1">
      <x:c r="B149" s="67" t="n">
        <x:f>IF('График платежей'!B149="","",ROW()-ROW($B$9))</x:f>
        <x:v>140</x:v>
      </x:c>
      <x:c r="C149" s="68" t="n">
        <x:f>IF(B149="","",'График платежей'!B149)</x:f>
        <x:v>49056</x:v>
      </x:c>
      <x:c r="D149" s="67" t="n">
        <x:f>IF(B149="","",C149-C148)</x:f>
        <x:v>31</x:v>
      </x:c>
      <x:c r="E149" s="69" t="n">
        <x:f>IF(B149="","",IF('График платежей'!$I$19="Факт / 365",'График платежей'!$I$12*D149/'График платежей'!$I$20,'График платежей'!$I$17))</x:f>
        <x:v>0.00636986301369863</x:v>
      </x:c>
      <x:c r="F149" s="70" t="n">
        <x:f>IF(B149="","",F148/(1+E149))</x:f>
        <x:v>0.41854107879977015</x:v>
      </x:c>
    </x:row>
    <x:row r="150" ht="24" customHeight="1">
      <x:c r="B150" s="67" t="n">
        <x:f>IF('График платежей'!B150="","",ROW()-ROW($B$9))</x:f>
        <x:v>141</x:v>
      </x:c>
      <x:c r="C150" s="68" t="n">
        <x:f>IF(B150="","",'График платежей'!B150)</x:f>
        <x:v>49086</x:v>
      </x:c>
      <x:c r="D150" s="67" t="n">
        <x:f>IF(B150="","",C150-C149)</x:f>
        <x:v>30</x:v>
      </x:c>
      <x:c r="E150" s="69" t="n">
        <x:f>IF(B150="","",IF('График платежей'!$I$19="Факт / 365",'График платежей'!$I$12*D150/'График платежей'!$I$20,'График платежей'!$I$17))</x:f>
        <x:v>0.0061643835616438354</x:v>
      </x:c>
      <x:c r="F150" s="70" t="n">
        <x:f>IF(B150="","",F149/(1+E150))</x:f>
        <x:v>0.41597683801747065</x:v>
      </x:c>
    </x:row>
    <x:row r="151" ht="24" customHeight="1">
      <x:c r="B151" s="67" t="n">
        <x:f>IF('График платежей'!B151="","",ROW()-ROW($B$9))</x:f>
        <x:v>142</x:v>
      </x:c>
      <x:c r="C151" s="68" t="n">
        <x:f>IF(B151="","",'График платежей'!B151)</x:f>
        <x:v>49117</x:v>
      </x:c>
      <x:c r="D151" s="67" t="n">
        <x:f>IF(B151="","",C151-C150)</x:f>
        <x:v>31</x:v>
      </x:c>
      <x:c r="E151" s="69" t="n">
        <x:f>IF(B151="","",IF('График платежей'!$I$19="Факт / 365",'График платежей'!$I$12*D151/'График платежей'!$I$20,'График платежей'!$I$17))</x:f>
        <x:v>0.00636986301369863</x:v>
      </x:c>
      <x:c r="F151" s="70" t="n">
        <x:f>IF(B151="","",F150/(1+E151))</x:f>
        <x:v>0.4133438940349195</x:v>
      </x:c>
    </x:row>
    <x:row r="152" ht="24" customHeight="1">
      <x:c r="B152" s="67" t="n">
        <x:f>IF('График платежей'!B152="","",ROW()-ROW($B$9))</x:f>
        <x:v>143</x:v>
      </x:c>
      <x:c r="C152" s="68" t="n">
        <x:f>IF(B152="","",'График платежей'!B152)</x:f>
        <x:v>49147</x:v>
      </x:c>
      <x:c r="D152" s="67" t="n">
        <x:f>IF(B152="","",C152-C151)</x:f>
        <x:v>30</x:v>
      </x:c>
      <x:c r="E152" s="69" t="n">
        <x:f>IF(B152="","",IF('График платежей'!$I$19="Факт / 365",'График платежей'!$I$12*D152/'График платежей'!$I$20,'График платежей'!$I$17))</x:f>
        <x:v>0.0061643835616438354</x:v>
      </x:c>
      <x:c r="F152" s="70" t="n">
        <x:f>IF(B152="","",F151/(1+E152))</x:f>
        <x:v>0.41081149441183284</x:v>
      </x:c>
    </x:row>
    <x:row r="153" ht="24" customHeight="1">
      <x:c r="B153" s="67" t="n">
        <x:f>IF('График платежей'!B153="","",ROW()-ROW($B$9))</x:f>
        <x:v>144</x:v>
      </x:c>
      <x:c r="C153" s="68" t="n">
        <x:f>IF(B153="","",'График платежей'!B153)</x:f>
        <x:v>49178</x:v>
      </x:c>
      <x:c r="D153" s="67" t="n">
        <x:f>IF(B153="","",C153-C152)</x:f>
        <x:v>31</x:v>
      </x:c>
      <x:c r="E153" s="69" t="n">
        <x:f>IF(B153="","",IF('График платежей'!$I$19="Факт / 365",'График платежей'!$I$12*D153/'График платежей'!$I$20,'График платежей'!$I$17))</x:f>
        <x:v>0.00636986301369863</x:v>
      </x:c>
      <x:c r="F153" s="70" t="n">
        <x:f>IF(B153="","",F152/(1+E153))</x:f>
        <x:v>0.408211244702427</x:v>
      </x:c>
    </x:row>
    <x:row r="154" ht="24" customHeight="1">
      <x:c r="B154" s="67" t="n">
        <x:f>IF('График платежей'!B154="","",ROW()-ROW($B$9))</x:f>
        <x:v>145</x:v>
      </x:c>
      <x:c r="C154" s="68" t="n">
        <x:f>IF(B154="","",'График платежей'!B154)</x:f>
        <x:v>49209</x:v>
      </x:c>
      <x:c r="D154" s="67" t="n">
        <x:f>IF(B154="","",C154-C153)</x:f>
        <x:v>31</x:v>
      </x:c>
      <x:c r="E154" s="69" t="n">
        <x:f>IF(B154="","",IF('График платежей'!$I$19="Факт / 365",'График платежей'!$I$12*D154/'График платежей'!$I$20,'График платежей'!$I$17))</x:f>
        <x:v>0.00636986301369863</x:v>
      </x:c>
      <x:c r="F154" s="70" t="n">
        <x:f>IF(B154="","",F153/(1+E154))</x:f>
        <x:v>0.40562745338973893</x:v>
      </x:c>
    </x:row>
    <x:row r="155" ht="24" customHeight="1">
      <x:c r="B155" s="67" t="n">
        <x:f>IF('График платежей'!B155="","",ROW()-ROW($B$9))</x:f>
        <x:v>146</x:v>
      </x:c>
      <x:c r="C155" s="68" t="n">
        <x:f>IF(B155="","",'График платежей'!B155)</x:f>
        <x:v>49239</x:v>
      </x:c>
      <x:c r="D155" s="67" t="n">
        <x:f>IF(B155="","",C155-C154)</x:f>
        <x:v>30</x:v>
      </x:c>
      <x:c r="E155" s="69" t="n">
        <x:f>IF(B155="","",IF('График платежей'!$I$19="Факт / 365",'График платежей'!$I$12*D155/'График платежей'!$I$20,'График платежей'!$I$17))</x:f>
        <x:v>0.0061643835616438354</x:v>
      </x:c>
      <x:c r="F155" s="70" t="n">
        <x:f>IF(B155="","",F154/(1+E155))</x:f>
        <x:v>0.4031423294411292</x:v>
      </x:c>
    </x:row>
    <x:row r="156" ht="24" customHeight="1">
      <x:c r="B156" s="67" t="n">
        <x:f>IF('График платежей'!B156="","",ROW()-ROW($B$9))</x:f>
        <x:v>147</x:v>
      </x:c>
      <x:c r="C156" s="68" t="n">
        <x:f>IF(B156="","",'График платежей'!B156)</x:f>
        <x:v>49270</x:v>
      </x:c>
      <x:c r="D156" s="67" t="n">
        <x:f>IF(B156="","",C156-C155)</x:f>
        <x:v>31</x:v>
      </x:c>
      <x:c r="E156" s="69" t="n">
        <x:f>IF(B156="","",IF('График платежей'!$I$19="Факт / 365",'График платежей'!$I$12*D156/'График платежей'!$I$20,'График платежей'!$I$17))</x:f>
        <x:v>0.00636986301369863</x:v>
      </x:c>
      <x:c r="F156" s="70" t="n">
        <x:f>IF(B156="","",F155/(1+E156))</x:f>
        <x:v>0.4005906220540725</x:v>
      </x:c>
    </x:row>
    <x:row r="157" ht="24" customHeight="1">
      <x:c r="B157" s="67" t="n">
        <x:f>IF('График платежей'!B157="","",ROW()-ROW($B$9))</x:f>
        <x:v>148</x:v>
      </x:c>
      <x:c r="C157" s="68" t="n">
        <x:f>IF(B157="","",'График платежей'!B157)</x:f>
        <x:v>49300</x:v>
      </x:c>
      <x:c r="D157" s="67" t="n">
        <x:f>IF(B157="","",C157-C156)</x:f>
        <x:v>30</x:v>
      </x:c>
      <x:c r="E157" s="69" t="n">
        <x:f>IF(B157="","",IF('График платежей'!$I$19="Факт / 365",'График платежей'!$I$12*D157/'График платежей'!$I$20,'График платежей'!$I$17))</x:f>
        <x:v>0.0061643835616438354</x:v>
      </x:c>
      <x:c r="F157" s="70" t="n">
        <x:f>IF(B157="","",F156/(1+E157))</x:f>
        <x:v>0.39813635684067106</x:v>
      </x:c>
    </x:row>
    <x:row r="158" ht="24" customHeight="1">
      <x:c r="B158" s="67" t="n">
        <x:f>IF('График платежей'!B158="","",ROW()-ROW($B$9))</x:f>
        <x:v>149</x:v>
      </x:c>
      <x:c r="C158" s="68" t="n">
        <x:f>IF(B158="","",'График платежей'!B158)</x:f>
        <x:v>49331</x:v>
      </x:c>
      <x:c r="D158" s="67" t="n">
        <x:f>IF(B158="","",C158-C157)</x:f>
        <x:v>31</x:v>
      </x:c>
      <x:c r="E158" s="69" t="n">
        <x:f>IF(B158="","",IF('График платежей'!$I$19="Факт / 365",'График платежей'!$I$12*D158/'График платежей'!$I$20,'График платежей'!$I$17))</x:f>
        <x:v>0.00636986301369863</x:v>
      </x:c>
      <x:c r="F158" s="70" t="n">
        <x:f>IF(B158="","",F157/(1+E158))</x:f>
        <x:v>0.39561633498086146</x:v>
      </x:c>
    </x:row>
    <x:row r="159" ht="24" customHeight="1">
      <x:c r="B159" s="67" t="n">
        <x:f>IF('График платежей'!B159="","",ROW()-ROW($B$9))</x:f>
        <x:v>150</x:v>
      </x:c>
      <x:c r="C159" s="68" t="n">
        <x:f>IF(B159="","",'График платежей'!B159)</x:f>
        <x:v>49362</x:v>
      </x:c>
      <x:c r="D159" s="67" t="n">
        <x:f>IF(B159="","",C159-C158)</x:f>
        <x:v>31</x:v>
      </x:c>
      <x:c r="E159" s="69" t="n">
        <x:f>IF(B159="","",IF('График платежей'!$I$19="Факт / 365",'График платежей'!$I$12*D159/'График платежей'!$I$20,'График платежей'!$I$17))</x:f>
        <x:v>0.00636986301369863</x:v>
      </x:c>
      <x:c r="F159" s="70" t="n">
        <x:f>IF(B159="","",F158/(1+E159))</x:f>
        <x:v>0.393112263712011</x:v>
      </x:c>
    </x:row>
    <x:row r="160" ht="24" customHeight="1">
      <x:c r="B160" s="67" t="n">
        <x:f>IF('График платежей'!B160="","",ROW()-ROW($B$9))</x:f>
        <x:v>151</x:v>
      </x:c>
      <x:c r="C160" s="68" t="n">
        <x:f>IF(B160="","",'График платежей'!B160)</x:f>
        <x:v>49390</x:v>
      </x:c>
      <x:c r="D160" s="67" t="n">
        <x:f>IF(B160="","",C160-C159)</x:f>
        <x:v>28</x:v>
      </x:c>
      <x:c r="E160" s="69" t="n">
        <x:f>IF(B160="","",IF('График платежей'!$I$19="Факт / 365",'График платежей'!$I$12*D160/'График платежей'!$I$20,'График платежей'!$I$17))</x:f>
        <x:v>0.005753424657534247</x:v>
      </x:c>
      <x:c r="F160" s="70" t="n">
        <x:f>IF(B160="","",F159/(1+E160))</x:f>
        <x:v>0.39086346024212487</x:v>
      </x:c>
    </x:row>
    <x:row r="161" ht="24" customHeight="1">
      <x:c r="B161" s="67" t="n">
        <x:f>IF('График платежей'!B161="","",ROW()-ROW($B$9))</x:f>
        <x:v>152</x:v>
      </x:c>
      <x:c r="C161" s="68" t="n">
        <x:f>IF(B161="","",'График платежей'!B161)</x:f>
        <x:v>49421</x:v>
      </x:c>
      <x:c r="D161" s="67" t="n">
        <x:f>IF(B161="","",C161-C160)</x:f>
        <x:v>31</x:v>
      </x:c>
      <x:c r="E161" s="69" t="n">
        <x:f>IF(B161="","",IF('График платежей'!$I$19="Факт / 365",'График платежей'!$I$12*D161/'График платежей'!$I$20,'График платежей'!$I$17))</x:f>
        <x:v>0.00636986301369863</x:v>
      </x:c>
      <x:c r="F161" s="70" t="n">
        <x:f>IF(B161="","",F160/(1+E161))</x:f>
        <x:v>0.38838947250629713</x:v>
      </x:c>
    </x:row>
    <x:row r="162" ht="24" customHeight="1">
      <x:c r="B162" s="67" t="n">
        <x:f>IF('График платежей'!B162="","",ROW()-ROW($B$9))</x:f>
        <x:v>153</x:v>
      </x:c>
      <x:c r="C162" s="68" t="n">
        <x:f>IF(B162="","",'График платежей'!B162)</x:f>
        <x:v>49451</x:v>
      </x:c>
      <x:c r="D162" s="67" t="n">
        <x:f>IF(B162="","",C162-C161)</x:f>
        <x:v>30</x:v>
      </x:c>
      <x:c r="E162" s="69" t="n">
        <x:f>IF(B162="","",IF('График платежей'!$I$19="Факт / 365",'График платежей'!$I$12*D162/'График платежей'!$I$20,'График платежей'!$I$17))</x:f>
        <x:v>0.0061643835616438354</x:v>
      </x:c>
      <x:c r="F162" s="70" t="n">
        <x:f>IF(B162="","",F161/(1+E162))</x:f>
        <x:v>0.3860099590600366</x:v>
      </x:c>
    </x:row>
    <x:row r="163" ht="24" customHeight="1">
      <x:c r="B163" s="67" t="n">
        <x:f>IF('График платежей'!B163="","",ROW()-ROW($B$9))</x:f>
        <x:v>154</x:v>
      </x:c>
      <x:c r="C163" s="68" t="n">
        <x:f>IF(B163="","",'График платежей'!B163)</x:f>
        <x:v>49482</x:v>
      </x:c>
      <x:c r="D163" s="67" t="n">
        <x:f>IF(B163="","",C163-C162)</x:f>
        <x:v>31</x:v>
      </x:c>
      <x:c r="E163" s="69" t="n">
        <x:f>IF(B163="","",IF('График платежей'!$I$19="Факт / 365",'График платежей'!$I$12*D163/'График платежей'!$I$20,'График платежей'!$I$17))</x:f>
        <x:v>0.00636986301369863</x:v>
      </x:c>
      <x:c r="F163" s="70" t="n">
        <x:f>IF(B163="","",F162/(1+E163))</x:f>
        <x:v>0.38356669177680086</x:v>
      </x:c>
    </x:row>
    <x:row r="164" ht="24" customHeight="1">
      <x:c r="B164" s="67" t="n">
        <x:f>IF('График платежей'!B164="","",ROW()-ROW($B$9))</x:f>
        <x:v>155</x:v>
      </x:c>
      <x:c r="C164" s="68" t="n">
        <x:f>IF(B164="","",'График платежей'!B164)</x:f>
        <x:v>49512</x:v>
      </x:c>
      <x:c r="D164" s="67" t="n">
        <x:f>IF(B164="","",C164-C163)</x:f>
        <x:v>30</x:v>
      </x:c>
      <x:c r="E164" s="69" t="n">
        <x:f>IF(B164="","",IF('График платежей'!$I$19="Факт / 365",'График платежей'!$I$12*D164/'График платежей'!$I$20,'График платежей'!$I$17))</x:f>
        <x:v>0.0061643835616438354</x:v>
      </x:c>
      <x:c r="F164" s="70" t="n">
        <x:f>IF(B164="","",F163/(1+E164))</x:f>
        <x:v>0.38121672565972037</x:v>
      </x:c>
    </x:row>
    <x:row r="165" ht="24" customHeight="1">
      <x:c r="B165" s="67" t="n">
        <x:f>IF('График платежей'!B165="","",ROW()-ROW($B$9))</x:f>
        <x:v>156</x:v>
      </x:c>
      <x:c r="C165" s="68" t="n">
        <x:f>IF(B165="","",'График платежей'!B165)</x:f>
        <x:v>49543</x:v>
      </x:c>
      <x:c r="D165" s="67" t="n">
        <x:f>IF(B165="","",C165-C164)</x:f>
        <x:v>31</x:v>
      </x:c>
      <x:c r="E165" s="69" t="n">
        <x:f>IF(B165="","",IF('График платежей'!$I$19="Факт / 365",'График платежей'!$I$12*D165/'График платежей'!$I$20,'График платежей'!$I$17))</x:f>
        <x:v>0.00636986301369863</x:v>
      </x:c>
      <x:c r="F165" s="70" t="n">
        <x:f>IF(B165="","",F164/(1+E165))</x:f>
        <x:v>0.378803797361459</x:v>
      </x:c>
    </x:row>
    <x:row r="166" ht="24" customHeight="1">
      <x:c r="B166" s="67" t="n">
        <x:f>IF('График платежей'!B166="","",ROW()-ROW($B$9))</x:f>
        <x:v>157</x:v>
      </x:c>
      <x:c r="C166" s="68" t="n">
        <x:f>IF(B166="","",'График платежей'!B166)</x:f>
        <x:v>49574</x:v>
      </x:c>
      <x:c r="D166" s="67" t="n">
        <x:f>IF(B166="","",C166-C165)</x:f>
        <x:v>31</x:v>
      </x:c>
      <x:c r="E166" s="69" t="n">
        <x:f>IF(B166="","",IF('График платежей'!$I$19="Факт / 365",'График платежей'!$I$12*D166/'График платежей'!$I$20,'График платежей'!$I$17))</x:f>
        <x:v>0.00636986301369863</x:v>
      </x:c>
      <x:c r="F166" s="70" t="n">
        <x:f>IF(B166="","",F165/(1+E166))</x:f>
        <x:v>0.37640614180067394</x:v>
      </x:c>
    </x:row>
    <x:row r="167" ht="24" customHeight="1">
      <x:c r="B167" s="67" t="n">
        <x:f>IF('График платежей'!B167="","",ROW()-ROW($B$9))</x:f>
        <x:v>158</x:v>
      </x:c>
      <x:c r="C167" s="68" t="n">
        <x:f>IF(B167="","",'График платежей'!B167)</x:f>
        <x:v>49604</x:v>
      </x:c>
      <x:c r="D167" s="67" t="n">
        <x:f>IF(B167="","",C167-C166)</x:f>
        <x:v>30</x:v>
      </x:c>
      <x:c r="E167" s="69" t="n">
        <x:f>IF(B167="","",IF('График платежей'!$I$19="Факт / 365",'График платежей'!$I$12*D167/'График платежей'!$I$20,'График платежей'!$I$17))</x:f>
        <x:v>0.0061643835616438354</x:v>
      </x:c>
      <x:c r="F167" s="70" t="n">
        <x:f>IF(B167="","",F166/(1+E167))</x:f>
        <x:v>0.3741000456289884</x:v>
      </x:c>
    </x:row>
    <x:row r="168" ht="24" customHeight="1">
      <x:c r="B168" s="67" t="n">
        <x:f>IF('График платежей'!B168="","",ROW()-ROW($B$9))</x:f>
        <x:v>159</x:v>
      </x:c>
      <x:c r="C168" s="68" t="n">
        <x:f>IF(B168="","",'График платежей'!B168)</x:f>
        <x:v>49635</x:v>
      </x:c>
      <x:c r="D168" s="67" t="n">
        <x:f>IF(B168="","",C168-C167)</x:f>
        <x:v>31</x:v>
      </x:c>
      <x:c r="E168" s="69" t="n">
        <x:f>IF(B168="","",IF('График платежей'!$I$19="Факт / 365",'График платежей'!$I$12*D168/'График платежей'!$I$20,'График платежей'!$I$17))</x:f>
        <x:v>0.00636986301369863</x:v>
      </x:c>
      <x:c r="F168" s="70" t="n">
        <x:f>IF(B168="","",F167/(1+E168))</x:f>
        <x:v>0.371732162674963</x:v>
      </x:c>
    </x:row>
    <x:row r="169" ht="24" customHeight="1">
      <x:c r="B169" s="67" t="n">
        <x:f>IF('График платежей'!B169="","",ROW()-ROW($B$9))</x:f>
        <x:v>160</x:v>
      </x:c>
      <x:c r="C169" s="68" t="n">
        <x:f>IF(B169="","",'График платежей'!B169)</x:f>
        <x:v>49665</x:v>
      </x:c>
      <x:c r="D169" s="67" t="n">
        <x:f>IF(B169="","",C169-C168)</x:f>
        <x:v>30</x:v>
      </x:c>
      <x:c r="E169" s="69" t="n">
        <x:f>IF(B169="","",IF('График платежей'!$I$19="Факт / 365",'График платежей'!$I$12*D169/'График платежей'!$I$20,'График платежей'!$I$17))</x:f>
        <x:v>0.0061643835616438354</x:v>
      </x:c>
      <x:c r="F169" s="70" t="n">
        <x:f>IF(B169="","",F168/(1+E169))</x:f>
        <x:v>0.3694547021820599</x:v>
      </x:c>
    </x:row>
    <x:row r="170" ht="24" customHeight="1">
      <x:c r="B170" s="67" t="n">
        <x:f>IF('График платежей'!B170="","",ROW()-ROW($B$9))</x:f>
        <x:v>161</x:v>
      </x:c>
      <x:c r="C170" s="68" t="n">
        <x:f>IF(B170="","",'График платежей'!B170)</x:f>
        <x:v>49696</x:v>
      </x:c>
      <x:c r="D170" s="67" t="n">
        <x:f>IF(B170="","",C170-C169)</x:f>
        <x:v>31</x:v>
      </x:c>
      <x:c r="E170" s="69" t="n">
        <x:f>IF(B170="","",IF('График платежей'!$I$19="Факт / 365",'График платежей'!$I$12*D170/'График платежей'!$I$20,'График платежей'!$I$17))</x:f>
        <x:v>0.00636986301369863</x:v>
      </x:c>
      <x:c r="F170" s="70" t="n">
        <x:f>IF(B170="","",F169/(1+E170))</x:f>
        <x:v>0.36711622213694106</x:v>
      </x:c>
    </x:row>
    <x:row r="171" ht="24" customHeight="1">
      <x:c r="B171" s="67" t="n">
        <x:f>IF('График платежей'!B171="","",ROW()-ROW($B$9))</x:f>
        <x:v>162</x:v>
      </x:c>
      <x:c r="C171" s="68" t="n">
        <x:f>IF(B171="","",'График платежей'!B171)</x:f>
        <x:v>49727</x:v>
      </x:c>
      <x:c r="D171" s="67" t="n">
        <x:f>IF(B171="","",C171-C170)</x:f>
        <x:v>31</x:v>
      </x:c>
      <x:c r="E171" s="69" t="n">
        <x:f>IF(B171="","",IF('График платежей'!$I$19="Факт / 365",'График платежей'!$I$12*D171/'График платежей'!$I$20,'График платежей'!$I$17))</x:f>
        <x:v>0.00636986301369863</x:v>
      </x:c>
      <x:c r="F171" s="70" t="n">
        <x:f>IF(B171="","",F170/(1+E171))</x:f>
        <x:v>0.36479254360575375</x:v>
      </x:c>
    </x:row>
    <x:row r="172" ht="24" customHeight="1">
      <x:c r="B172" s="67" t="n">
        <x:f>IF('График платежей'!B172="","",ROW()-ROW($B$9))</x:f>
        <x:v>163</x:v>
      </x:c>
      <x:c r="C172" s="68" t="n">
        <x:f>IF(B172="","",'График платежей'!B172)</x:f>
        <x:v>49756</x:v>
      </x:c>
      <x:c r="D172" s="67" t="n">
        <x:f>IF(B172="","",C172-C171)</x:f>
        <x:v>29</x:v>
      </x:c>
      <x:c r="E172" s="69" t="n">
        <x:f>IF(B172="","",IF('График платежей'!$I$19="Факт / 365",'График платежей'!$I$12*D172/'График платежей'!$I$20,'График платежей'!$I$17))</x:f>
        <x:v>0.00595890410958904</x:v>
      </x:c>
      <x:c r="F172" s="70" t="n">
        <x:f>IF(B172="","",F171/(1+E172))</x:f>
        <x:v>0.36263165633853095</x:v>
      </x:c>
    </x:row>
    <x:row r="173" ht="24" customHeight="1">
      <x:c r="B173" s="67" t="n">
        <x:f>IF('График платежей'!B173="","",ROW()-ROW($B$9))</x:f>
        <x:v>164</x:v>
      </x:c>
      <x:c r="C173" s="68" t="n">
        <x:f>IF(B173="","",'График платежей'!B173)</x:f>
        <x:v>49787</x:v>
      </x:c>
      <x:c r="D173" s="67" t="n">
        <x:f>IF(B173="","",C173-C172)</x:f>
        <x:v>31</x:v>
      </x:c>
      <x:c r="E173" s="69" t="n">
        <x:f>IF(B173="","",IF('График платежей'!$I$19="Факт / 365",'График платежей'!$I$12*D173/'График платежей'!$I$20,'График платежей'!$I$17))</x:f>
        <x:v>0.00636986301369863</x:v>
      </x:c>
      <x:c r="F173" s="70" t="n">
        <x:f>IF(B173="","",F172/(1+E173))</x:f>
        <x:v>0.36033636306694017</x:v>
      </x:c>
    </x:row>
    <x:row r="174" ht="24" customHeight="1">
      <x:c r="B174" s="67" t="n">
        <x:f>IF('График платежей'!B174="","",ROW()-ROW($B$9))</x:f>
        <x:v>165</x:v>
      </x:c>
      <x:c r="C174" s="68" t="n">
        <x:f>IF(B174="","",'График платежей'!B174)</x:f>
        <x:v>49817</x:v>
      </x:c>
      <x:c r="D174" s="67" t="n">
        <x:f>IF(B174="","",C174-C173)</x:f>
        <x:v>30</x:v>
      </x:c>
      <x:c r="E174" s="69" t="n">
        <x:f>IF(B174="","",IF('График платежей'!$I$19="Факт / 365",'График платежей'!$I$12*D174/'График платежей'!$I$20,'График платежей'!$I$17))</x:f>
        <x:v>0.0061643835616438354</x:v>
      </x:c>
      <x:c r="F174" s="70" t="n">
        <x:f>IF(B174="","",F173/(1+E174))</x:f>
        <x:v>0.3581287202707506</x:v>
      </x:c>
    </x:row>
    <x:row r="175" ht="24" customHeight="1">
      <x:c r="B175" s="67" t="n">
        <x:f>IF('График платежей'!B175="","",ROW()-ROW($B$9))</x:f>
        <x:v>166</x:v>
      </x:c>
      <x:c r="C175" s="68" t="n">
        <x:f>IF(B175="","",'График платежей'!B175)</x:f>
        <x:v>49848</x:v>
      </x:c>
      <x:c r="D175" s="67" t="n">
        <x:f>IF(B175="","",C175-C174)</x:f>
        <x:v>31</x:v>
      </x:c>
      <x:c r="E175" s="69" t="n">
        <x:f>IF(B175="","",IF('График платежей'!$I$19="Факт / 365",'График платежей'!$I$12*D175/'График платежей'!$I$20,'График платежей'!$I$17))</x:f>
        <x:v>0.00636986301369863</x:v>
      </x:c>
      <x:c r="F175" s="70" t="n">
        <x:f>IF(B175="","",F174/(1+E175))</x:f>
        <x:v>0.3558619285341972</x:v>
      </x:c>
    </x:row>
    <x:row r="176" ht="24" customHeight="1">
      <x:c r="B176" s="67" t="n">
        <x:f>IF('График платежей'!B176="","",ROW()-ROW($B$9))</x:f>
        <x:v>167</x:v>
      </x:c>
      <x:c r="C176" s="68" t="n">
        <x:f>IF(B176="","",'График платежей'!B176)</x:f>
        <x:v>49878</x:v>
      </x:c>
      <x:c r="D176" s="67" t="n">
        <x:f>IF(B176="","",C176-C175)</x:f>
        <x:v>30</x:v>
      </x:c>
      <x:c r="E176" s="69" t="n">
        <x:f>IF(B176="","",IF('График платежей'!$I$19="Факт / 365",'График платежей'!$I$12*D176/'График платежей'!$I$20,'График платежей'!$I$17))</x:f>
        <x:v>0.0061643835616438354</x:v>
      </x:c>
      <x:c r="F176" s="70" t="n">
        <x:f>IF(B176="","",F175/(1+E176))</x:f>
        <x:v>0.35368169888354517</x:v>
      </x:c>
    </x:row>
    <x:row r="177" ht="24" customHeight="1">
      <x:c r="B177" s="67" t="n">
        <x:f>IF('График платежей'!B177="","",ROW()-ROW($B$9))</x:f>
        <x:v>168</x:v>
      </x:c>
      <x:c r="C177" s="68" t="n">
        <x:f>IF(B177="","",'График платежей'!B177)</x:f>
        <x:v>49909</x:v>
      </x:c>
      <x:c r="D177" s="67" t="n">
        <x:f>IF(B177="","",C177-C176)</x:f>
        <x:v>31</x:v>
      </x:c>
      <x:c r="E177" s="69" t="n">
        <x:f>IF(B177="","",IF('График платежей'!$I$19="Факт / 365",'График платежей'!$I$12*D177/'График платежей'!$I$20,'График платежей'!$I$17))</x:f>
        <x:v>0.00636986301369863</x:v>
      </x:c>
      <x:c r="F177" s="70" t="n">
        <x:f>IF(B177="","",F176/(1+E177))</x:f>
        <x:v>0.35144305476756005</x:v>
      </x:c>
    </x:row>
    <x:row r="178" ht="24" customHeight="1">
      <x:c r="B178" s="67" t="n">
        <x:f>IF('График платежей'!B178="","",ROW()-ROW($B$9))</x:f>
        <x:v>169</x:v>
      </x:c>
      <x:c r="C178" s="68" t="n">
        <x:f>IF(B178="","",'График платежей'!B178)</x:f>
        <x:v>49940</x:v>
      </x:c>
      <x:c r="D178" s="67" t="n">
        <x:f>IF(B178="","",C178-C177)</x:f>
        <x:v>31</x:v>
      </x:c>
      <x:c r="E178" s="69" t="n">
        <x:f>IF(B178="","",IF('График платежей'!$I$19="Факт / 365",'График платежей'!$I$12*D178/'График платежей'!$I$20,'График платежей'!$I$17))</x:f>
        <x:v>0.00636986301369863</x:v>
      </x:c>
      <x:c r="F178" s="70" t="n">
        <x:f>IF(B178="","",F177/(1+E178))</x:f>
        <x:v>0.34921858024953223</x:v>
      </x:c>
    </x:row>
    <x:row r="179" ht="24" customHeight="1">
      <x:c r="B179" s="67" t="n">
        <x:f>IF('График платежей'!B179="","",ROW()-ROW($B$9))</x:f>
        <x:v>170</x:v>
      </x:c>
      <x:c r="C179" s="68" t="n">
        <x:f>IF(B179="","",'График платежей'!B179)</x:f>
        <x:v>49970</x:v>
      </x:c>
      <x:c r="D179" s="67" t="n">
        <x:f>IF(B179="","",C179-C178)</x:f>
        <x:v>30</x:v>
      </x:c>
      <x:c r="E179" s="69" t="n">
        <x:f>IF(B179="","",IF('График платежей'!$I$19="Факт / 365",'График платежей'!$I$12*D179/'График платежей'!$I$20,'График платежей'!$I$17))</x:f>
        <x:v>0.0061643835616438354</x:v>
      </x:c>
      <x:c r="F179" s="70" t="n">
        <x:f>IF(B179="","",F178/(1+E179))</x:f>
        <x:v>0.34707905184773113</x:v>
      </x:c>
    </x:row>
    <x:row r="180" ht="24" customHeight="1">
      <x:c r="B180" s="67" t="n">
        <x:f>IF('График платежей'!B180="","",ROW()-ROW($B$9))</x:f>
        <x:v>171</x:v>
      </x:c>
      <x:c r="C180" s="68" t="n">
        <x:f>IF(B180="","",'График платежей'!B180)</x:f>
        <x:v>50001</x:v>
      </x:c>
      <x:c r="D180" s="67" t="n">
        <x:f>IF(B180="","",C180-C179)</x:f>
        <x:v>31</x:v>
      </x:c>
      <x:c r="E180" s="69" t="n">
        <x:f>IF(B180="","",IF('График платежей'!$I$19="Факт / 365",'График платежей'!$I$12*D180/'График платежей'!$I$20,'График платежей'!$I$17))</x:f>
        <x:v>0.00636986301369863</x:v>
      </x:c>
      <x:c r="F180" s="70" t="n">
        <x:f>IF(B180="","",F179/(1+E180))</x:f>
        <x:v>0.344882199481173</x:v>
      </x:c>
    </x:row>
    <x:row r="181" ht="24" customHeight="1">
      <x:c r="B181" s="67" t="n">
        <x:f>IF('График платежей'!B181="","",ROW()-ROW($B$9))</x:f>
        <x:v>172</x:v>
      </x:c>
      <x:c r="C181" s="68" t="n">
        <x:f>IF(B181="","",'График платежей'!B181)</x:f>
        <x:v>50031</x:v>
      </x:c>
      <x:c r="D181" s="67" t="n">
        <x:f>IF(B181="","",C181-C180)</x:f>
        <x:v>30</x:v>
      </x:c>
      <x:c r="E181" s="69" t="n">
        <x:f>IF(B181="","",IF('График платежей'!$I$19="Факт / 365",'График платежей'!$I$12*D181/'График платежей'!$I$20,'График платежей'!$I$17))</x:f>
        <x:v>0.0061643835616438354</x:v>
      </x:c>
      <x:c r="F181" s="70" t="n">
        <x:f>IF(B181="","",F180/(1+E181))</x:f>
        <x:v>0.34276923842240475</x:v>
      </x:c>
    </x:row>
    <x:row r="182" ht="24" customHeight="1">
      <x:c r="B182" s="67" t="n">
        <x:f>IF('График платежей'!B182="","",ROW()-ROW($B$9))</x:f>
        <x:v>173</x:v>
      </x:c>
      <x:c r="C182" s="68" t="n">
        <x:f>IF(B182="","",'График платежей'!B182)</x:f>
        <x:v>50062</x:v>
      </x:c>
      <x:c r="D182" s="67" t="n">
        <x:f>IF(B182="","",C182-C181)</x:f>
        <x:v>31</x:v>
      </x:c>
      <x:c r="E182" s="69" t="n">
        <x:f>IF(B182="","",IF('График платежей'!$I$19="Факт / 365",'График платежей'!$I$12*D182/'График платежей'!$I$20,'График платежей'!$I$17))</x:f>
        <x:v>0.00636986301369863</x:v>
      </x:c>
      <x:c r="F182" s="70" t="n">
        <x:f>IF(B182="","",F181/(1+E182))</x:f>
        <x:v>0.3405996652124896</x:v>
      </x:c>
    </x:row>
    <x:row r="183" ht="24" customHeight="1">
      <x:c r="B183" s="67" t="n">
        <x:f>IF('График платежей'!B183="","",ROW()-ROW($B$9))</x:f>
        <x:v>174</x:v>
      </x:c>
      <x:c r="C183" s="68" t="n">
        <x:f>IF(B183="","",'График платежей'!B183)</x:f>
        <x:v>50093</x:v>
      </x:c>
      <x:c r="D183" s="67" t="n">
        <x:f>IF(B183="","",C183-C182)</x:f>
        <x:v>31</x:v>
      </x:c>
      <x:c r="E183" s="69" t="n">
        <x:f>IF(B183="","",IF('График платежей'!$I$19="Факт / 365",'График платежей'!$I$12*D183/'График платежей'!$I$20,'График платежей'!$I$17))</x:f>
        <x:v>0.00636986301369863</x:v>
      </x:c>
      <x:c r="F183" s="70" t="n">
        <x:f>IF(B183="","",F182/(1+E183))</x:f>
        <x:v>0.3384438244131456</x:v>
      </x:c>
    </x:row>
    <x:row r="184" ht="24" customHeight="1">
      <x:c r="B184" s="67" t="n">
        <x:f>IF('График платежей'!B184="","",ROW()-ROW($B$9))</x:f>
        <x:v>175</x:v>
      </x:c>
      <x:c r="C184" s="68" t="n">
        <x:f>IF(B184="","",'График платежей'!B184)</x:f>
        <x:v>50121</x:v>
      </x:c>
      <x:c r="D184" s="67" t="n">
        <x:f>IF(B184="","",C184-C183)</x:f>
        <x:v>28</x:v>
      </x:c>
      <x:c r="E184" s="69" t="n">
        <x:f>IF(B184="","",IF('График платежей'!$I$19="Факт / 365",'График платежей'!$I$12*D184/'График платежей'!$I$20,'График платежей'!$I$17))</x:f>
        <x:v>0.005753424657534247</x:v>
      </x:c>
      <x:c r="F184" s="70" t="n">
        <x:f>IF(B184="","",F183/(1+E184))</x:f>
        <x:v>0.33650775241296144</x:v>
      </x:c>
    </x:row>
    <x:row r="185" ht="24" customHeight="1">
      <x:c r="B185" s="67" t="n">
        <x:f>IF('График платежей'!B185="","",ROW()-ROW($B$9))</x:f>
        <x:v>176</x:v>
      </x:c>
      <x:c r="C185" s="68" t="n">
        <x:f>IF(B185="","",'График платежей'!B185)</x:f>
        <x:v>50152</x:v>
      </x:c>
      <x:c r="D185" s="67" t="n">
        <x:f>IF(B185="","",C185-C184)</x:f>
        <x:v>31</x:v>
      </x:c>
      <x:c r="E185" s="69" t="n">
        <x:f>IF(B185="","",IF('График платежей'!$I$19="Факт / 365",'График платежей'!$I$12*D185/'График платежей'!$I$20,'График платежей'!$I$17))</x:f>
        <x:v>0.00636986301369863</x:v>
      </x:c>
      <x:c r="F185" s="70" t="n">
        <x:f>IF(B185="","",F184/(1+E185))</x:f>
        <x:v>0.33437781155851337</x:v>
      </x:c>
    </x:row>
    <x:row r="186" ht="24" customHeight="1">
      <x:c r="B186" s="67" t="n">
        <x:f>IF('График платежей'!B186="","",ROW()-ROW($B$9))</x:f>
        <x:v>177</x:v>
      </x:c>
      <x:c r="C186" s="68" t="n">
        <x:f>IF(B186="","",'График платежей'!B186)</x:f>
        <x:v>50182</x:v>
      </x:c>
      <x:c r="D186" s="67" t="n">
        <x:f>IF(B186="","",C186-C185)</x:f>
        <x:v>30</x:v>
      </x:c>
      <x:c r="E186" s="69" t="n">
        <x:f>IF(B186="","",IF('График платежей'!$I$19="Факт / 365",'График платежей'!$I$12*D186/'График платежей'!$I$20,'График платежей'!$I$17))</x:f>
        <x:v>0.0061643835616438354</x:v>
      </x:c>
      <x:c r="F186" s="70" t="n">
        <x:f>IF(B186="","",F185/(1+E186))</x:f>
        <x:v>0.3323292068586995</x:v>
      </x:c>
    </x:row>
    <x:row r="187" ht="24" customHeight="1">
      <x:c r="B187" s="67" t="n">
        <x:f>IF('График платежей'!B187="","",ROW()-ROW($B$9))</x:f>
        <x:v>178</x:v>
      </x:c>
      <x:c r="C187" s="68" t="n">
        <x:f>IF(B187="","",'График платежей'!B187)</x:f>
        <x:v>50213</x:v>
      </x:c>
      <x:c r="D187" s="67" t="n">
        <x:f>IF(B187="","",C187-C186)</x:f>
        <x:v>31</x:v>
      </x:c>
      <x:c r="E187" s="69" t="n">
        <x:f>IF(B187="","",IF('График платежей'!$I$19="Факт / 365",'График платежей'!$I$12*D187/'График платежей'!$I$20,'График платежей'!$I$17))</x:f>
        <x:v>0.00636986301369863</x:v>
      </x:c>
      <x:c r="F187" s="70" t="n">
        <x:f>IF(B187="","",F186/(1+E187))</x:f>
        <x:v>0.33022571429503933</x:v>
      </x:c>
    </x:row>
    <x:row r="188" ht="24" customHeight="1">
      <x:c r="B188" s="67" t="n">
        <x:f>IF('График платежей'!B188="","",ROW()-ROW($B$9))</x:f>
        <x:v>179</x:v>
      </x:c>
      <x:c r="C188" s="68" t="n">
        <x:f>IF(B188="","",'График платежей'!B188)</x:f>
        <x:v>50243</x:v>
      </x:c>
      <x:c r="D188" s="67" t="n">
        <x:f>IF(B188="","",C188-C187)</x:f>
        <x:v>30</x:v>
      </x:c>
      <x:c r="E188" s="69" t="n">
        <x:f>IF(B188="","",IF('График платежей'!$I$19="Факт / 365",'График платежей'!$I$12*D188/'График платежей'!$I$20,'График платежей'!$I$17))</x:f>
        <x:v>0.0061643835616438354</x:v>
      </x:c>
      <x:c r="F188" s="70" t="n">
        <x:f>IF(B188="","",F187/(1+E188))</x:f>
        <x:v>0.3282025479038512</x:v>
      </x:c>
    </x:row>
    <x:row r="189" ht="24" customHeight="1">
      <x:c r="B189" s="67" t="n">
        <x:f>IF('График платежей'!B189="","",ROW()-ROW($B$9))</x:f>
        <x:v>180</x:v>
      </x:c>
      <x:c r="C189" s="68" t="n">
        <x:f>IF(B189="","",'График платежей'!B189)</x:f>
        <x:v>50274</x:v>
      </x:c>
      <x:c r="D189" s="67" t="n">
        <x:f>IF(B189="","",C189-C188)</x:f>
        <x:v>31</x:v>
      </x:c>
      <x:c r="E189" s="69" t="n">
        <x:f>IF(B189="","",IF('График платежей'!$I$19="Факт / 365",'График платежей'!$I$12*D189/'График платежей'!$I$20,'График платежей'!$I$17))</x:f>
        <x:v>0.00636986301369863</x:v>
      </x:c>
      <x:c r="F189" s="70" t="n">
        <x:f>IF(B189="","",F188/(1+E189))</x:f>
        <x:v>0.3261251752124296</x:v>
      </x:c>
    </x:row>
    <x:row r="190" ht="24" customHeight="1">
      <x:c r="B190" s="67" t="n">
        <x:f>IF('График платежей'!B190="","",ROW()-ROW($B$9))</x:f>
        <x:v>181</x:v>
      </x:c>
      <x:c r="C190" s="68" t="n">
        <x:f>IF(B190="","",'График платежей'!B190)</x:f>
        <x:v>50305</x:v>
      </x:c>
      <x:c r="D190" s="67" t="n">
        <x:f>IF(B190="","",C190-C189)</x:f>
        <x:v>31</x:v>
      </x:c>
      <x:c r="E190" s="69" t="n">
        <x:f>IF(B190="","",IF('График платежей'!$I$19="Факт / 365",'График платежей'!$I$12*D190/'График платежей'!$I$20,'График платежей'!$I$17))</x:f>
        <x:v>0.00636986301369863</x:v>
      </x:c>
      <x:c r="F190" s="70" t="n">
        <x:f>IF(B190="","",F189/(1+E190))</x:f>
        <x:v>0.3240609513442777</x:v>
      </x:c>
    </x:row>
    <x:row r="191" ht="24" customHeight="1">
      <x:c r="B191" s="67" t="n">
        <x:f>IF('График платежей'!B191="","",ROW()-ROW($B$9))</x:f>
        <x:v>182</x:v>
      </x:c>
      <x:c r="C191" s="68" t="n">
        <x:f>IF(B191="","",'График платежей'!B191)</x:f>
        <x:v>50335</x:v>
      </x:c>
      <x:c r="D191" s="67" t="n">
        <x:f>IF(B191="","",C191-C190)</x:f>
        <x:v>30</x:v>
      </x:c>
      <x:c r="E191" s="69" t="n">
        <x:f>IF(B191="","",IF('График платежей'!$I$19="Факт / 365",'График платежей'!$I$12*D191/'График платежей'!$I$20,'График платежей'!$I$17))</x:f>
        <x:v>0.0061643835616438354</x:v>
      </x:c>
      <x:c r="F191" s="70" t="n">
        <x:f>IF(B191="","",F190/(1+E191))</x:f>
        <x:v>0.32207555409301936</x:v>
      </x:c>
    </x:row>
    <x:row r="192" ht="24" customHeight="1">
      <x:c r="B192" s="67" t="n">
        <x:f>IF('График платежей'!B192="","",ROW()-ROW($B$9))</x:f>
        <x:v>183</x:v>
      </x:c>
      <x:c r="C192" s="68" t="n">
        <x:f>IF(B192="","",'График платежей'!B192)</x:f>
        <x:v>50366</x:v>
      </x:c>
      <x:c r="D192" s="67" t="n">
        <x:f>IF(B192="","",C192-C191)</x:f>
        <x:v>31</x:v>
      </x:c>
      <x:c r="E192" s="69" t="n">
        <x:f>IF(B192="","",IF('График платежей'!$I$19="Факт / 365",'График платежей'!$I$12*D192/'График платежей'!$I$20,'График платежей'!$I$17))</x:f>
        <x:v>0.00636986301369863</x:v>
      </x:c>
      <x:c r="F192" s="70" t="n">
        <x:f>IF(B192="","",F191/(1+E192))</x:f>
        <x:v>0.3200369624826845</x:v>
      </x:c>
    </x:row>
    <x:row r="193" ht="24" customHeight="1">
      <x:c r="B193" s="67" t="n">
        <x:f>IF('График платежей'!B193="","",ROW()-ROW($B$9))</x:f>
        <x:v>184</x:v>
      </x:c>
      <x:c r="C193" s="68" t="n">
        <x:f>IF(B193="","",'График платежей'!B193)</x:f>
        <x:v>50396</x:v>
      </x:c>
      <x:c r="D193" s="67" t="n">
        <x:f>IF(B193="","",C193-C192)</x:f>
        <x:v>30</x:v>
      </x:c>
      <x:c r="E193" s="69" t="n">
        <x:f>IF(B193="","",IF('График платежей'!$I$19="Факт / 365",'График платежей'!$I$12*D193/'График платежей'!$I$20,'График платежей'!$I$17))</x:f>
        <x:v>0.0061643835616438354</x:v>
      </x:c>
      <x:c r="F193" s="70" t="n">
        <x:f>IF(B193="","",F192/(1+E193))</x:f>
        <x:v>0.3180762186689716</x:v>
      </x:c>
    </x:row>
    <x:row r="194" ht="24" customHeight="1">
      <x:c r="B194" s="67" t="n">
        <x:f>IF('График платежей'!B194="","",ROW()-ROW($B$9))</x:f>
        <x:v>185</x:v>
      </x:c>
      <x:c r="C194" s="68" t="n">
        <x:f>IF(B194="","",'График платежей'!B194)</x:f>
        <x:v>50427</x:v>
      </x:c>
      <x:c r="D194" s="67" t="n">
        <x:f>IF(B194="","",C194-C193)</x:f>
        <x:v>31</x:v>
      </x:c>
      <x:c r="E194" s="69" t="n">
        <x:f>IF(B194="","",IF('График платежей'!$I$19="Факт / 365",'График платежей'!$I$12*D194/'График платежей'!$I$20,'График платежей'!$I$17))</x:f>
        <x:v>0.00636986301369863</x:v>
      </x:c>
      <x:c r="F194" s="70" t="n">
        <x:f>IF(B194="","",F193/(1+E194))</x:f>
        <x:v>0.3160629410308981</x:v>
      </x:c>
    </x:row>
    <x:row r="195" ht="24" customHeight="1">
      <x:c r="B195" s="67" t="n">
        <x:f>IF('График платежей'!B195="","",ROW()-ROW($B$9))</x:f>
        <x:v>186</x:v>
      </x:c>
      <x:c r="C195" s="68" t="n">
        <x:f>IF(B195="","",'График платежей'!B195)</x:f>
        <x:v>50458</x:v>
      </x:c>
      <x:c r="D195" s="67" t="n">
        <x:f>IF(B195="","",C195-C194)</x:f>
        <x:v>31</x:v>
      </x:c>
      <x:c r="E195" s="69" t="n">
        <x:f>IF(B195="","",IF('График платежей'!$I$19="Факт / 365",'График платежей'!$I$12*D195/'График платежей'!$I$20,'График платежей'!$I$17))</x:f>
        <x:v>0.00636986301369863</x:v>
      </x:c>
      <x:c r="F195" s="70" t="n">
        <x:f>IF(B195="","",F194/(1+E195))</x:f>
        <x:v>0.3140624065235903</x:v>
      </x:c>
    </x:row>
    <x:row r="196" ht="24" customHeight="1">
      <x:c r="B196" s="67" t="n">
        <x:f>IF('График платежей'!B196="","",ROW()-ROW($B$9))</x:f>
        <x:v>187</x:v>
      </x:c>
      <x:c r="C196" s="68" t="n">
        <x:f>IF(B196="","",'График платежей'!B196)</x:f>
        <x:v>50486</x:v>
      </x:c>
      <x:c r="D196" s="67" t="n">
        <x:f>IF(B196="","",C196-C195)</x:f>
        <x:v>28</x:v>
      </x:c>
      <x:c r="E196" s="69" t="n">
        <x:f>IF(B196="","",IF('График платежей'!$I$19="Факт / 365",'График платежей'!$I$12*D196/'График платежей'!$I$20,'График платежей'!$I$17))</x:f>
        <x:v>0.005753424657534247</x:v>
      </x:c>
      <x:c r="F196" s="70" t="n">
        <x:f>IF(B196="","",F195/(1+E196))</x:f>
        <x:v>0.3122658087199958</x:v>
      </x:c>
    </x:row>
    <x:row r="197" ht="24" customHeight="1">
      <x:c r="B197" s="67" t="n">
        <x:f>IF('График платежей'!B197="","",ROW()-ROW($B$9))</x:f>
        <x:v>188</x:v>
      </x:c>
      <x:c r="C197" s="68" t="n">
        <x:f>IF(B197="","",'График платежей'!B197)</x:f>
        <x:v>50517</x:v>
      </x:c>
      <x:c r="D197" s="67" t="n">
        <x:f>IF(B197="","",C197-C196)</x:f>
        <x:v>31</x:v>
      </x:c>
      <x:c r="E197" s="69" t="n">
        <x:f>IF(B197="","",IF('График платежей'!$I$19="Факт / 365",'График платежей'!$I$12*D197/'График платежей'!$I$20,'График платежей'!$I$17))</x:f>
        <x:v>0.00636986301369863</x:v>
      </x:c>
      <x:c r="F197" s="70" t="n">
        <x:f>IF(B197="","",F196/(1+E197))</x:f>
        <x:v>0.3102893083313101</x:v>
      </x:c>
    </x:row>
    <x:row r="198" ht="24" customHeight="1">
      <x:c r="B198" s="67" t="n">
        <x:f>IF('График платежей'!B198="","",ROW()-ROW($B$9))</x:f>
        <x:v>189</x:v>
      </x:c>
      <x:c r="C198" s="68" t="n">
        <x:f>IF(B198="","",'График платежей'!B198)</x:f>
        <x:v>50547</x:v>
      </x:c>
      <x:c r="D198" s="67" t="n">
        <x:f>IF(B198="","",C198-C197)</x:f>
        <x:v>30</x:v>
      </x:c>
      <x:c r="E198" s="69" t="n">
        <x:f>IF(B198="","",IF('График платежей'!$I$19="Факт / 365",'График платежей'!$I$12*D198/'График платежей'!$I$20,'График платежей'!$I$17))</x:f>
        <x:v>0.0061643835616438354</x:v>
      </x:c>
      <x:c r="F198" s="70" t="n">
        <x:f>IF(B198="","",F197/(1+E198))</x:f>
        <x:v>0.3083882846587561</x:v>
      </x:c>
    </x:row>
    <x:row r="199" ht="24" customHeight="1">
      <x:c r="B199" s="67" t="n">
        <x:f>IF('График платежей'!B199="","",ROW()-ROW($B$9))</x:f>
        <x:v>190</x:v>
      </x:c>
      <x:c r="C199" s="68" t="n">
        <x:f>IF(B199="","",'График платежей'!B199)</x:f>
        <x:v>50578</x:v>
      </x:c>
      <x:c r="D199" s="67" t="n">
        <x:f>IF(B199="","",C199-C198)</x:f>
        <x:v>31</x:v>
      </x:c>
      <x:c r="E199" s="69" t="n">
        <x:f>IF(B199="","",IF('График платежей'!$I$19="Факт / 365",'График платежей'!$I$12*D199/'График платежей'!$I$20,'График платежей'!$I$17))</x:f>
        <x:v>0.00636986301369863</x:v>
      </x:c>
      <x:c r="F199" s="70" t="n">
        <x:f>IF(B199="","",F198/(1+E199))</x:f>
        <x:v>0.3064363272318682</x:v>
      </x:c>
    </x:row>
    <x:row r="200" ht="24" customHeight="1">
      <x:c r="B200" s="67" t="n">
        <x:f>IF('График платежей'!B200="","",ROW()-ROW($B$9))</x:f>
        <x:v>191</x:v>
      </x:c>
      <x:c r="C200" s="68" t="n">
        <x:f>IF(B200="","",'График платежей'!B200)</x:f>
        <x:v>50608</x:v>
      </x:c>
      <x:c r="D200" s="67" t="n">
        <x:f>IF(B200="","",C200-C199)</x:f>
        <x:v>30</x:v>
      </x:c>
      <x:c r="E200" s="69" t="n">
        <x:f>IF(B200="","",IF('График платежей'!$I$19="Факт / 365",'График платежей'!$I$12*D200/'График платежей'!$I$20,'График платежей'!$I$17))</x:f>
        <x:v>0.0061643835616438354</x:v>
      </x:c>
      <x:c r="F200" s="70" t="n">
        <x:f>IF(B200="","",F199/(1+E200))</x:f>
        <x:v>0.3045589092978404</x:v>
      </x:c>
    </x:row>
    <x:row r="201" ht="24" customHeight="1">
      <x:c r="B201" s="67" t="n">
        <x:f>IF('График платежей'!B201="","",ROW()-ROW($B$9))</x:f>
        <x:v>192</x:v>
      </x:c>
      <x:c r="C201" s="68" t="n">
        <x:f>IF(B201="","",'График платежей'!B201)</x:f>
        <x:v>50639</x:v>
      </x:c>
      <x:c r="D201" s="67" t="n">
        <x:f>IF(B201="","",C201-C200)</x:f>
        <x:v>31</x:v>
      </x:c>
      <x:c r="E201" s="69" t="n">
        <x:f>IF(B201="","",IF('График платежей'!$I$19="Факт / 365",'График платежей'!$I$12*D201/'График платежей'!$I$20,'График платежей'!$I$17))</x:f>
        <x:v>0.00636986301369863</x:v>
      </x:c>
      <x:c r="F201" s="70" t="n">
        <x:f>IF(B201="","",F200/(1+E201))</x:f>
        <x:v>0.3026311900734003</x:v>
      </x:c>
    </x:row>
    <x:row r="202" ht="24" customHeight="1">
      <x:c r="B202" s="67" t="n">
        <x:f>IF('График платежей'!B202="","",ROW()-ROW($B$9))</x:f>
        <x:v>193</x:v>
      </x:c>
      <x:c r="C202" s="68" t="n">
        <x:f>IF(B202="","",'График платежей'!B202)</x:f>
        <x:v>50670</x:v>
      </x:c>
      <x:c r="D202" s="67" t="n">
        <x:f>IF(B202="","",C202-C201)</x:f>
        <x:v>31</x:v>
      </x:c>
      <x:c r="E202" s="69" t="n">
        <x:f>IF(B202="","",IF('График платежей'!$I$19="Факт / 365",'График платежей'!$I$12*D202/'График платежей'!$I$20,'График платежей'!$I$17))</x:f>
        <x:v>0.00636986301369863</x:v>
      </x:c>
      <x:c r="F202" s="70" t="n">
        <x:f>IF(B202="","",F201/(1+E202))</x:f>
        <x:v>0.30071567243392394</x:v>
      </x:c>
    </x:row>
    <x:row r="203" ht="24" customHeight="1">
      <x:c r="B203" s="67" t="n">
        <x:f>IF('График платежей'!B203="","",ROW()-ROW($B$9))</x:f>
        <x:v>194</x:v>
      </x:c>
      <x:c r="C203" s="68" t="n">
        <x:f>IF(B203="","",'График платежей'!B203)</x:f>
        <x:v>50700</x:v>
      </x:c>
      <x:c r="D203" s="67" t="n">
        <x:f>IF(B203="","",C203-C202)</x:f>
        <x:v>30</x:v>
      </x:c>
      <x:c r="E203" s="69" t="n">
        <x:f>IF(B203="","",IF('График платежей'!$I$19="Факт / 365",'График платежей'!$I$12*D203/'График платежей'!$I$20,'График платежей'!$I$17))</x:f>
        <x:v>0.0061643835616438354</x:v>
      </x:c>
      <x:c r="F203" s="70" t="n">
        <x:f>IF(B203="","",F202/(1+E203))</x:f>
        <x:v>0.29887330275937984</x:v>
      </x:c>
    </x:row>
    <x:row r="204" ht="24" customHeight="1">
      <x:c r="B204" s="67" t="n">
        <x:f>IF('График платежей'!B204="","",ROW()-ROW($B$9))</x:f>
        <x:v>195</x:v>
      </x:c>
      <x:c r="C204" s="68" t="n">
        <x:f>IF(B204="","",'График платежей'!B204)</x:f>
        <x:v>50731</x:v>
      </x:c>
      <x:c r="D204" s="67" t="n">
        <x:f>IF(B204="","",C204-C203)</x:f>
        <x:v>31</x:v>
      </x:c>
      <x:c r="E204" s="69" t="n">
        <x:f>IF(B204="","",IF('График платежей'!$I$19="Факт / 365",'График платежей'!$I$12*D204/'График платежей'!$I$20,'График платежей'!$I$17))</x:f>
        <x:v>0.00636986301369863</x:v>
      </x:c>
      <x:c r="F204" s="70" t="n">
        <x:f>IF(B204="","",F203/(1+E204))</x:f>
        <x:v>0.29698157083556426</x:v>
      </x:c>
    </x:row>
    <x:row r="205" ht="24" customHeight="1">
      <x:c r="B205" s="67" t="n">
        <x:f>IF('График платежей'!B205="","",ROW()-ROW($B$9))</x:f>
        <x:v>196</x:v>
      </x:c>
      <x:c r="C205" s="68" t="n">
        <x:f>IF(B205="","",'График платежей'!B205)</x:f>
        <x:v>50761</x:v>
      </x:c>
      <x:c r="D205" s="67" t="n">
        <x:f>IF(B205="","",C205-C204)</x:f>
        <x:v>30</x:v>
      </x:c>
      <x:c r="E205" s="69" t="n">
        <x:f>IF(B205="","",IF('График платежей'!$I$19="Факт / 365",'График платежей'!$I$12*D205/'График платежей'!$I$20,'График платежей'!$I$17))</x:f>
        <x:v>0.0061643835616438354</x:v>
      </x:c>
      <x:c r="F205" s="70" t="n">
        <x:f>IF(B205="","",F204/(1+E205))</x:f>
        <x:v>0.2951620785704042</x:v>
      </x:c>
    </x:row>
    <x:row r="206" ht="24" customHeight="1">
      <x:c r="B206" s="67" t="n">
        <x:f>IF('График платежей'!B206="","",ROW()-ROW($B$9))</x:f>
        <x:v>197</x:v>
      </x:c>
      <x:c r="C206" s="68" t="n">
        <x:f>IF(B206="","",'График платежей'!B206)</x:f>
        <x:v>50792</x:v>
      </x:c>
      <x:c r="D206" s="67" t="n">
        <x:f>IF(B206="","",C206-C205)</x:f>
        <x:v>31</x:v>
      </x:c>
      <x:c r="E206" s="69" t="n">
        <x:f>IF(B206="","",IF('График платежей'!$I$19="Факт / 365",'График платежей'!$I$12*D206/'График платежей'!$I$20,'График платежей'!$I$17))</x:f>
        <x:v>0.00636986301369863</x:v>
      </x:c>
      <x:c r="F206" s="70" t="n">
        <x:f>IF(B206="","",F205/(1+E206))</x:f>
        <x:v>0.2932938370059145</x:v>
      </x:c>
    </x:row>
    <x:row r="207" ht="24" customHeight="1">
      <x:c r="B207" s="67" t="n">
        <x:f>IF('График платежей'!B207="","",ROW()-ROW($B$9))</x:f>
        <x:v>198</x:v>
      </x:c>
      <x:c r="C207" s="68" t="n">
        <x:f>IF(B207="","",'График платежей'!B207)</x:f>
        <x:v>50823</x:v>
      </x:c>
      <x:c r="D207" s="67" t="n">
        <x:f>IF(B207="","",C207-C206)</x:f>
        <x:v>31</x:v>
      </x:c>
      <x:c r="E207" s="69" t="n">
        <x:f>IF(B207="","",IF('График платежей'!$I$19="Факт / 365",'График платежей'!$I$12*D207/'График платежей'!$I$20,'График платежей'!$I$17))</x:f>
        <x:v>0.00636986301369863</x:v>
      </x:c>
      <x:c r="F207" s="70" t="n">
        <x:f>IF(B207="","",F206/(1+E207))</x:f>
        <x:v>0.29143742055988237</x:v>
      </x:c>
    </x:row>
    <x:row r="208" ht="24" customHeight="1">
      <x:c r="B208" s="67" t="n">
        <x:f>IF('График платежей'!B208="","",ROW()-ROW($B$9))</x:f>
        <x:v>199</x:v>
      </x:c>
      <x:c r="C208" s="68" t="n">
        <x:f>IF(B208="","",'График платежей'!B208)</x:f>
        <x:v>50851</x:v>
      </x:c>
      <x:c r="D208" s="67" t="n">
        <x:f>IF(B208="","",C208-C207)</x:f>
        <x:v>28</x:v>
      </x:c>
      <x:c r="E208" s="69" t="n">
        <x:f>IF(B208="","",IF('График платежей'!$I$19="Факт / 365",'График платежей'!$I$12*D208/'График платежей'!$I$20,'График платежей'!$I$17))</x:f>
        <x:v>0.005753424657534247</x:v>
      </x:c>
      <x:c r="F208" s="70" t="n">
        <x:f>IF(B208="","",F207/(1+E208))</x:f>
        <x:v>0.28977024926275424</x:v>
      </x:c>
    </x:row>
    <x:row r="209" ht="24" customHeight="1">
      <x:c r="B209" s="67" t="n">
        <x:f>IF('График платежей'!B209="","",ROW()-ROW($B$9))</x:f>
        <x:v>200</x:v>
      </x:c>
      <x:c r="C209" s="68" t="n">
        <x:f>IF(B209="","",'График платежей'!B209)</x:f>
        <x:v>50882</x:v>
      </x:c>
      <x:c r="D209" s="67" t="n">
        <x:f>IF(B209="","",C209-C208)</x:f>
        <x:v>31</x:v>
      </x:c>
      <x:c r="E209" s="69" t="n">
        <x:f>IF(B209="","",IF('График платежей'!$I$19="Факт / 365",'График платежей'!$I$12*D209/'График платежей'!$I$20,'График платежей'!$I$17))</x:f>
        <x:v>0.00636986301369863</x:v>
      </x:c>
      <x:c r="F209" s="70" t="n">
        <x:f>IF(B209="","",F208/(1+E209))</x:f>
        <x:v>0.28793613552278036</x:v>
      </x:c>
    </x:row>
    <x:row r="210" ht="24" customHeight="1">
      <x:c r="B210" s="67" t="n">
        <x:f>IF('График платежей'!B210="","",ROW()-ROW($B$9))</x:f>
        <x:v>201</x:v>
      </x:c>
      <x:c r="C210" s="68" t="n">
        <x:f>IF(B210="","",'График платежей'!B210)</x:f>
        <x:v>50912</x:v>
      </x:c>
      <x:c r="D210" s="67" t="n">
        <x:f>IF(B210="","",C210-C209)</x:f>
        <x:v>30</x:v>
      </x:c>
      <x:c r="E210" s="69" t="n">
        <x:f>IF(B210="","",IF('График платежей'!$I$19="Факт / 365",'График платежей'!$I$12*D210/'График платежей'!$I$20,'График платежей'!$I$17))</x:f>
        <x:v>0.0061643835616438354</x:v>
      </x:c>
      <x:c r="F210" s="70" t="n">
        <x:f>IF(B210="","",F209/(1+E210))</x:f>
        <x:v>0.28617206117308325</x:v>
      </x:c>
    </x:row>
    <x:row r="211" ht="24" customHeight="1">
      <x:c r="B211" s="67" t="n">
        <x:f>IF('График платежей'!B211="","",ROW()-ROW($B$9))</x:f>
        <x:v>202</x:v>
      </x:c>
      <x:c r="C211" s="68" t="n">
        <x:f>IF(B211="","",'График платежей'!B211)</x:f>
        <x:v>50943</x:v>
      </x:c>
      <x:c r="D211" s="67" t="n">
        <x:f>IF(B211="","",C211-C210)</x:f>
        <x:v>31</x:v>
      </x:c>
      <x:c r="E211" s="69" t="n">
        <x:f>IF(B211="","",IF('График платежей'!$I$19="Факт / 365",'График платежей'!$I$12*D211/'График платежей'!$I$20,'График платежей'!$I$17))</x:f>
        <x:v>0.00636986301369863</x:v>
      </x:c>
      <x:c r="F211" s="70" t="n">
        <x:f>IF(B211="","",F210/(1+E211))</x:f>
        <x:v>0.2843607223253941</x:v>
      </x:c>
    </x:row>
    <x:row r="212" ht="24" customHeight="1">
      <x:c r="B212" s="67" t="n">
        <x:f>IF('График платежей'!B212="","",ROW()-ROW($B$9))</x:f>
        <x:v>203</x:v>
      </x:c>
      <x:c r="C212" s="68" t="n">
        <x:f>IF(B212="","",'График платежей'!B212)</x:f>
        <x:v>50973</x:v>
      </x:c>
      <x:c r="D212" s="67" t="n">
        <x:f>IF(B212="","",C212-C211)</x:f>
        <x:v>30</x:v>
      </x:c>
      <x:c r="E212" s="69" t="n">
        <x:f>IF(B212="","",IF('График платежей'!$I$19="Факт / 365",'График платежей'!$I$12*D212/'График платежей'!$I$20,'График платежей'!$I$17))</x:f>
        <x:v>0.0061643835616438354</x:v>
      </x:c>
      <x:c r="F212" s="70" t="n">
        <x:f>IF(B212="","",F211/(1+E212))</x:f>
        <x:v>0.2826185531620663</x:v>
      </x:c>
    </x:row>
    <x:row r="213" ht="24" customHeight="1">
      <x:c r="B213" s="67" t="n">
        <x:f>IF('График платежей'!B213="","",ROW()-ROW($B$9))</x:f>
        <x:v>204</x:v>
      </x:c>
      <x:c r="C213" s="68" t="n">
        <x:f>IF(B213="","",'График платежей'!B213)</x:f>
        <x:v>51004</x:v>
      </x:c>
      <x:c r="D213" s="67" t="n">
        <x:f>IF(B213="","",C213-C212)</x:f>
        <x:v>31</x:v>
      </x:c>
      <x:c r="E213" s="69" t="n">
        <x:f>IF(B213="","",IF('График платежей'!$I$19="Факт / 365",'График платежей'!$I$12*D213/'График платежей'!$I$20,'График платежей'!$I$17))</x:f>
        <x:v>0.00636986301369863</x:v>
      </x:c>
      <x:c r="F213" s="70" t="n">
        <x:f>IF(B213="","",F212/(1+E213))</x:f>
        <x:v>0.2808297064021077</x:v>
      </x:c>
    </x:row>
    <x:row r="214" ht="24" customHeight="1">
      <x:c r="B214" s="67" t="n">
        <x:f>IF('График платежей'!B214="","",ROW()-ROW($B$9))</x:f>
        <x:v>205</x:v>
      </x:c>
      <x:c r="C214" s="68" t="n">
        <x:f>IF(B214="","",'График платежей'!B214)</x:f>
        <x:v>51035</x:v>
      </x:c>
      <x:c r="D214" s="67" t="n">
        <x:f>IF(B214="","",C214-C213)</x:f>
        <x:v>31</x:v>
      </x:c>
      <x:c r="E214" s="69" t="n">
        <x:f>IF(B214="","",IF('График платежей'!$I$19="Факт / 365",'График платежей'!$I$12*D214/'График платежей'!$I$20,'График платежей'!$I$17))</x:f>
        <x:v>0.00636986301369863</x:v>
      </x:c>
      <x:c r="F214" s="70" t="n">
        <x:f>IF(B214="","",F213/(1+E214))</x:f>
        <x:v>0.27905218222764394</x:v>
      </x:c>
    </x:row>
    <x:row r="215" ht="24" customHeight="1">
      <x:c r="B215" s="67" t="n">
        <x:f>IF('График платежей'!B215="","",ROW()-ROW($B$9))</x:f>
        <x:v>206</x:v>
      </x:c>
      <x:c r="C215" s="68" t="n">
        <x:f>IF(B215="","",'График платежей'!B215)</x:f>
        <x:v>51065</x:v>
      </x:c>
      <x:c r="D215" s="67" t="n">
        <x:f>IF(B215="","",C215-C214)</x:f>
        <x:v>30</x:v>
      </x:c>
      <x:c r="E215" s="69" t="n">
        <x:f>IF(B215="","",IF('График платежей'!$I$19="Факт / 365",'График платежей'!$I$12*D215/'График платежей'!$I$20,'График платежей'!$I$17))</x:f>
        <x:v>0.0061643835616438354</x:v>
      </x:c>
      <x:c r="F215" s="70" t="n">
        <x:f>IF(B215="","",F214/(1+E215))</x:f>
        <x:v>0.27734253645497625</x:v>
      </x:c>
    </x:row>
    <x:row r="216" ht="24" customHeight="1">
      <x:c r="B216" s="67" t="n">
        <x:f>IF('График платежей'!B216="","",ROW()-ROW($B$9))</x:f>
        <x:v>207</x:v>
      </x:c>
      <x:c r="C216" s="68" t="n">
        <x:f>IF(B216="","",'График платежей'!B216)</x:f>
        <x:v>51096</x:v>
      </x:c>
      <x:c r="D216" s="67" t="n">
        <x:f>IF(B216="","",C216-C215)</x:f>
        <x:v>31</x:v>
      </x:c>
      <x:c r="E216" s="69" t="n">
        <x:f>IF(B216="","",IF('График платежей'!$I$19="Факт / 365",'График платежей'!$I$12*D216/'График платежей'!$I$20,'График платежей'!$I$17))</x:f>
        <x:v>0.00636986301369863</x:v>
      </x:c>
      <x:c r="F216" s="70" t="n">
        <x:f>IF(B216="","",F215/(1+E216))</x:f>
        <x:v>0.2755870844785036</x:v>
      </x:c>
    </x:row>
    <x:row r="217" ht="24" customHeight="1">
      <x:c r="B217" s="67" t="n">
        <x:f>IF('График платежей'!B217="","",ROW()-ROW($B$9))</x:f>
        <x:v>208</x:v>
      </x:c>
      <x:c r="C217" s="68" t="n">
        <x:f>IF(B217="","",'График платежей'!B217)</x:f>
        <x:v>51126</x:v>
      </x:c>
      <x:c r="D217" s="67" t="n">
        <x:f>IF(B217="","",C217-C216)</x:f>
        <x:v>30</x:v>
      </x:c>
      <x:c r="E217" s="69" t="n">
        <x:f>IF(B217="","",IF('График платежей'!$I$19="Факт / 365",'График платежей'!$I$12*D217/'График платежей'!$I$20,'График платежей'!$I$17))</x:f>
        <x:v>0.0061643835616438354</x:v>
      </x:c>
      <x:c r="F217" s="70" t="n">
        <x:f>IF(B217="","",F216/(1+E217))</x:f>
        <x:v>0.27389866803173263</x:v>
      </x:c>
    </x:row>
    <x:row r="218" ht="24" customHeight="1">
      <x:c r="B218" s="67" t="n">
        <x:f>IF('График платежей'!B218="","",ROW()-ROW($B$9))</x:f>
        <x:v>209</x:v>
      </x:c>
      <x:c r="C218" s="68" t="n">
        <x:f>IF(B218="","",'График платежей'!B218)</x:f>
        <x:v>51157</x:v>
      </x:c>
      <x:c r="D218" s="67" t="n">
        <x:f>IF(B218="","",C218-C217)</x:f>
        <x:v>31</x:v>
      </x:c>
      <x:c r="E218" s="69" t="n">
        <x:f>IF(B218="","",IF('График платежей'!$I$19="Факт / 365",'График платежей'!$I$12*D218/'График платежей'!$I$20,'График платежей'!$I$17))</x:f>
        <x:v>0.00636986301369863</x:v>
      </x:c>
      <x:c r="F218" s="70" t="n">
        <x:f>IF(B218="","",F217/(1+E218))</x:f>
        <x:v>0.2721650141743209</x:v>
      </x:c>
    </x:row>
    <x:row r="219" ht="24" customHeight="1">
      <x:c r="B219" s="67" t="n">
        <x:f>IF('График платежей'!B219="","",ROW()-ROW($B$9))</x:f>
        <x:v>210</x:v>
      </x:c>
      <x:c r="C219" s="68" t="n">
        <x:f>IF(B219="","",'График платежей'!B219)</x:f>
        <x:v>51188</x:v>
      </x:c>
      <x:c r="D219" s="67" t="n">
        <x:f>IF(B219="","",C219-C218)</x:f>
        <x:v>31</x:v>
      </x:c>
      <x:c r="E219" s="69" t="n">
        <x:f>IF(B219="","",IF('График платежей'!$I$19="Факт / 365",'График платежей'!$I$12*D219/'График платежей'!$I$20,'График платежей'!$I$17))</x:f>
        <x:v>0.00636986301369863</x:v>
      </x:c>
      <x:c r="F219" s="70" t="n">
        <x:f>IF(B219="","",F218/(1+E219))</x:f>
        <x:v>0.27044233355646125</x:v>
      </x:c>
    </x:row>
    <x:row r="220" ht="24" customHeight="1">
      <x:c r="B220" s="67" t="n">
        <x:f>IF('График платежей'!B220="","",ROW()-ROW($B$9))</x:f>
        <x:v>211</x:v>
      </x:c>
      <x:c r="C220" s="68" t="n">
        <x:f>IF(B220="","",'График платежей'!B220)</x:f>
        <x:v>51217</x:v>
      </x:c>
      <x:c r="D220" s="67" t="n">
        <x:f>IF(B220="","",C220-C219)</x:f>
        <x:v>29</x:v>
      </x:c>
      <x:c r="E220" s="69" t="n">
        <x:f>IF(B220="","",IF('График платежей'!$I$19="Факт / 365",'График платежей'!$I$12*D220/'График платежей'!$I$20,'График платежей'!$I$17))</x:f>
        <x:v>0.00595890410958904</x:v>
      </x:c>
      <x:c r="F220" s="70" t="n">
        <x:f>IF(B220="","",F219/(1+E220))</x:f>
        <x:v>0.2688403397510951</x:v>
      </x:c>
    </x:row>
    <x:row r="221" ht="24" customHeight="1">
      <x:c r="B221" s="67" t="n">
        <x:f>IF('График платежей'!B221="","",ROW()-ROW($B$9))</x:f>
        <x:v>212</x:v>
      </x:c>
      <x:c r="C221" s="68" t="n">
        <x:f>IF(B221="","",'График платежей'!B221)</x:f>
        <x:v>51248</x:v>
      </x:c>
      <x:c r="D221" s="67" t="n">
        <x:f>IF(B221="","",C221-C220)</x:f>
        <x:v>31</x:v>
      </x:c>
      <x:c r="E221" s="69" t="n">
        <x:f>IF(B221="","",IF('График платежей'!$I$19="Факт / 365",'График платежей'!$I$12*D221/'График платежей'!$I$20,'График платежей'!$I$17))</x:f>
        <x:v>0.00636986301369863</x:v>
      </x:c>
      <x:c r="F221" s="70" t="n">
        <x:f>IF(B221="","",F220/(1+E221))</x:f>
        <x:v>0.2671387028085475</x:v>
      </x:c>
    </x:row>
    <x:row r="222" ht="24" customHeight="1">
      <x:c r="B222" s="67" t="n">
        <x:f>IF('График платежей'!B222="","",ROW()-ROW($B$9))</x:f>
        <x:v>213</x:v>
      </x:c>
      <x:c r="C222" s="68" t="n">
        <x:f>IF(B222="","",'График платежей'!B222)</x:f>
        <x:v>51278</x:v>
      </x:c>
      <x:c r="D222" s="67" t="n">
        <x:f>IF(B222="","",C222-C221)</x:f>
        <x:v>30</x:v>
      </x:c>
      <x:c r="E222" s="69" t="n">
        <x:f>IF(B222="","",IF('График платежей'!$I$19="Факт / 365",'График платежей'!$I$12*D222/'График платежей'!$I$20,'График платежей'!$I$17))</x:f>
        <x:v>0.0061643835616438354</x:v>
      </x:c>
      <x:c r="F222" s="70" t="n">
        <x:f>IF(B222="","",F221/(1+E222))</x:f>
        <x:v>0.26550204635839303</x:v>
      </x:c>
    </x:row>
    <x:row r="223" ht="24" customHeight="1">
      <x:c r="B223" s="67" t="n">
        <x:f>IF('График платежей'!B223="","",ROW()-ROW($B$9))</x:f>
        <x:v>214</x:v>
      </x:c>
      <x:c r="C223" s="68" t="n">
        <x:f>IF(B223="","",'График платежей'!B223)</x:f>
        <x:v>51309</x:v>
      </x:c>
      <x:c r="D223" s="67" t="n">
        <x:f>IF(B223="","",C223-C222)</x:f>
        <x:v>31</x:v>
      </x:c>
      <x:c r="E223" s="69" t="n">
        <x:f>IF(B223="","",IF('График платежей'!$I$19="Факт / 365",'График платежей'!$I$12*D223/'График платежей'!$I$20,'График платежей'!$I$17))</x:f>
        <x:v>0.00636986301369863</x:v>
      </x:c>
      <x:c r="F223" s="70" t="n">
        <x:f>IF(B223="","",F222/(1+E223))</x:f>
        <x:v>0.2638215392930333</x:v>
      </x:c>
    </x:row>
    <x:row r="224" ht="24" customHeight="1">
      <x:c r="B224" s="67" t="n">
        <x:f>IF('График платежей'!B224="","",ROW()-ROW($B$9))</x:f>
        <x:v>215</x:v>
      </x:c>
      <x:c r="C224" s="68" t="n">
        <x:f>IF(B224="","",'График платежей'!B224)</x:f>
        <x:v>51339</x:v>
      </x:c>
      <x:c r="D224" s="67" t="n">
        <x:f>IF(B224="","",C224-C223)</x:f>
        <x:v>30</x:v>
      </x:c>
      <x:c r="E224" s="69" t="n">
        <x:f>IF(B224="","",IF('График платежей'!$I$19="Факт / 365",'График платежей'!$I$12*D224/'График платежей'!$I$20,'График платежей'!$I$17))</x:f>
        <x:v>0.0061643835616438354</x:v>
      </x:c>
      <x:c r="F224" s="70" t="n">
        <x:f>IF(B224="","",F223/(1+E224))</x:f>
        <x:v>0.2622052058324225</x:v>
      </x:c>
    </x:row>
    <x:row r="225" ht="24" customHeight="1">
      <x:c r="B225" s="67" t="n">
        <x:f>IF('График платежей'!B225="","",ROW()-ROW($B$9))</x:f>
        <x:v>216</x:v>
      </x:c>
      <x:c r="C225" s="68" t="n">
        <x:f>IF(B225="","",'График платежей'!B225)</x:f>
        <x:v>51370</x:v>
      </x:c>
      <x:c r="D225" s="67" t="n">
        <x:f>IF(B225="","",C225-C224)</x:f>
        <x:v>31</x:v>
      </x:c>
      <x:c r="E225" s="69" t="n">
        <x:f>IF(B225="","",IF('График платежей'!$I$19="Факт / 365",'График платежей'!$I$12*D225/'График платежей'!$I$20,'График платежей'!$I$17))</x:f>
        <x:v>0.00636986301369863</x:v>
      </x:c>
      <x:c r="F225" s="70" t="n">
        <x:f>IF(B225="","",F224/(1+E225))</x:f>
        <x:v>0.2605455662664785</x:v>
      </x:c>
    </x:row>
    <x:row r="226" ht="24" customHeight="1">
      <x:c r="B226" s="67" t="n">
        <x:f>IF('График платежей'!B226="","",ROW()-ROW($B$9))</x:f>
        <x:v>217</x:v>
      </x:c>
      <x:c r="C226" s="68" t="n">
        <x:f>IF(B226="","",'График платежей'!B226)</x:f>
        <x:v>51401</x:v>
      </x:c>
      <x:c r="D226" s="67" t="n">
        <x:f>IF(B226="","",C226-C225)</x:f>
        <x:v>31</x:v>
      </x:c>
      <x:c r="E226" s="69" t="n">
        <x:f>IF(B226="","",IF('График платежей'!$I$19="Факт / 365",'График платежей'!$I$12*D226/'График платежей'!$I$20,'График платежей'!$I$17))</x:f>
        <x:v>0.00636986301369863</x:v>
      </x:c>
      <x:c r="F226" s="70" t="n">
        <x:f>IF(B226="","",F225/(1+E226))</x:f>
        <x:v>0.25889643146332175</x:v>
      </x:c>
    </x:row>
    <x:row r="227" ht="24" customHeight="1">
      <x:c r="B227" s="67" t="n">
        <x:f>IF('График платежей'!B227="","",ROW()-ROW($B$9))</x:f>
        <x:v>218</x:v>
      </x:c>
      <x:c r="C227" s="68" t="n">
        <x:f>IF(B227="","",'График платежей'!B227)</x:f>
        <x:v>51431</x:v>
      </x:c>
      <x:c r="D227" s="67" t="n">
        <x:f>IF(B227="","",C227-C226)</x:f>
        <x:v>30</x:v>
      </x:c>
      <x:c r="E227" s="69" t="n">
        <x:f>IF(B227="","",IF('График платежей'!$I$19="Факт / 365",'График платежей'!$I$12*D227/'График платежей'!$I$20,'График платежей'!$I$17))</x:f>
        <x:v>0.0061643835616438354</x:v>
      </x:c>
      <x:c r="F227" s="70" t="n">
        <x:f>IF(B227="","",F226/(1+E227))</x:f>
        <x:v>0.2573102722508167</x:v>
      </x:c>
    </x:row>
    <x:row r="228" ht="24" customHeight="1">
      <x:c r="B228" s="67" t="n">
        <x:f>IF('График платежей'!B228="","",ROW()-ROW($B$9))</x:f>
        <x:v>219</x:v>
      </x:c>
      <x:c r="C228" s="68" t="n">
        <x:f>IF(B228="","",'График платежей'!B228)</x:f>
        <x:v>51462</x:v>
      </x:c>
      <x:c r="D228" s="67" t="n">
        <x:f>IF(B228="","",C228-C227)</x:f>
        <x:v>31</x:v>
      </x:c>
      <x:c r="E228" s="69" t="n">
        <x:f>IF(B228="","",IF('График платежей'!$I$19="Факт / 365",'График платежей'!$I$12*D228/'График платежей'!$I$20,'График платежей'!$I$17))</x:f>
        <x:v>0.00636986301369863</x:v>
      </x:c>
      <x:c r="F228" s="70" t="n">
        <x:f>IF(B228="","",F227/(1+E228))</x:f>
        <x:v>0.25568161538568873</x:v>
      </x:c>
    </x:row>
    <x:row r="229" ht="24" customHeight="1">
      <x:c r="B229" s="67" t="n">
        <x:f>IF('График платежей'!B229="","",ROW()-ROW($B$9))</x:f>
        <x:v>220</x:v>
      </x:c>
      <x:c r="C229" s="68" t="n">
        <x:f>IF(B229="","",'График платежей'!B229)</x:f>
        <x:v>51492</x:v>
      </x:c>
      <x:c r="D229" s="67" t="n">
        <x:f>IF(B229="","",C229-C228)</x:f>
        <x:v>30</x:v>
      </x:c>
      <x:c r="E229" s="69" t="n">
        <x:f>IF(B229="","",IF('График платежей'!$I$19="Факт / 365",'График платежей'!$I$12*D229/'График платежей'!$I$20,'График платежей'!$I$17))</x:f>
        <x:v>0.0061643835616438354</x:v>
      </x:c>
      <x:c r="F229" s="70" t="n">
        <x:f>IF(B229="","",F228/(1+E229))</x:f>
        <x:v>0.2541151521192005</x:v>
      </x:c>
    </x:row>
    <x:row r="230" ht="24" customHeight="1">
      <x:c r="B230" s="67" t="n">
        <x:f>IF('График платежей'!B230="","",ROW()-ROW($B$9))</x:f>
        <x:v>221</x:v>
      </x:c>
      <x:c r="C230" s="68" t="n">
        <x:f>IF(B230="","",'График платежей'!B230)</x:f>
        <x:v>51523</x:v>
      </x:c>
      <x:c r="D230" s="67" t="n">
        <x:f>IF(B230="","",C230-C229)</x:f>
        <x:v>31</x:v>
      </x:c>
      <x:c r="E230" s="69" t="n">
        <x:f>IF(B230="","",IF('График платежей'!$I$19="Факт / 365",'График платежей'!$I$12*D230/'График платежей'!$I$20,'График платежей'!$I$17))</x:f>
        <x:v>0.00636986301369863</x:v>
      </x:c>
      <x:c r="F230" s="70" t="n">
        <x:f>IF(B230="","",F229/(1+E230))</x:f>
        <x:v>0.25250671890970716</x:v>
      </x:c>
    </x:row>
    <x:row r="231" ht="24" customHeight="1">
      <x:c r="B231" s="67" t="n">
        <x:f>IF('График платежей'!B231="","",ROW()-ROW($B$9))</x:f>
        <x:v>222</x:v>
      </x:c>
      <x:c r="C231" s="68" t="n">
        <x:f>IF(B231="","",'График платежей'!B231)</x:f>
        <x:v>51554</x:v>
      </x:c>
      <x:c r="D231" s="67" t="n">
        <x:f>IF(B231="","",C231-C230)</x:f>
        <x:v>31</x:v>
      </x:c>
      <x:c r="E231" s="69" t="n">
        <x:f>IF(B231="","",IF('График платежей'!$I$19="Факт / 365",'График платежей'!$I$12*D231/'График платежей'!$I$20,'График платежей'!$I$17))</x:f>
        <x:v>0.00636986301369863</x:v>
      </x:c>
      <x:c r="F231" s="70" t="n">
        <x:f>IF(B231="","",F230/(1+E231))</x:f>
        <x:v>0.25090846635007996</x:v>
      </x:c>
    </x:row>
    <x:row r="232" ht="24" customHeight="1">
      <x:c r="B232" s="67" t="n">
        <x:f>IF('График платежей'!B232="","",ROW()-ROW($B$9))</x:f>
        <x:v>223</x:v>
      </x:c>
      <x:c r="C232" s="68" t="n">
        <x:f>IF(B232="","",'График платежей'!B232)</x:f>
        <x:v>51582</x:v>
      </x:c>
      <x:c r="D232" s="67" t="n">
        <x:f>IF(B232="","",C232-C231)</x:f>
        <x:v>28</x:v>
      </x:c>
      <x:c r="E232" s="69" t="n">
        <x:f>IF(B232="","",IF('График платежей'!$I$19="Факт / 365",'График платежей'!$I$12*D232/'График платежей'!$I$20,'График платежей'!$I$17))</x:f>
        <x:v>0.005753424657534247</x:v>
      </x:c>
      <x:c r="F232" s="70" t="n">
        <x:f>IF(B232="","",F231/(1+E232))</x:f>
        <x:v>0.2494731414268025</x:v>
      </x:c>
    </x:row>
    <x:row r="233" ht="24" customHeight="1">
      <x:c r="B233" s="67" t="n">
        <x:f>IF('График платежей'!B233="","",ROW()-ROW($B$9))</x:f>
        <x:v>224</x:v>
      </x:c>
      <x:c r="C233" s="68" t="n">
        <x:f>IF(B233="","",'График платежей'!B233)</x:f>
        <x:v>51613</x:v>
      </x:c>
      <x:c r="D233" s="67" t="n">
        <x:f>IF(B233="","",C233-C232)</x:f>
        <x:v>31</x:v>
      </x:c>
      <x:c r="E233" s="69" t="n">
        <x:f>IF(B233="","",IF('График платежей'!$I$19="Факт / 365",'График платежей'!$I$12*D233/'График платежей'!$I$20,'График платежей'!$I$17))</x:f>
        <x:v>0.00636986301369863</x:v>
      </x:c>
      <x:c r="F233" s="70" t="n">
        <x:f>IF(B233="","",F232/(1+E233))</x:f>
        <x:v>0.24789409003139704</x:v>
      </x:c>
    </x:row>
    <x:row r="234" ht="24" customHeight="1">
      <x:c r="B234" s="67" t="n">
        <x:f>IF('График платежей'!B234="","",ROW()-ROW($B$9))</x:f>
        <x:v>225</x:v>
      </x:c>
      <x:c r="C234" s="68" t="n">
        <x:f>IF(B234="","",'График платежей'!B234)</x:f>
        <x:v>51643</x:v>
      </x:c>
      <x:c r="D234" s="67" t="n">
        <x:f>IF(B234="","",C234-C233)</x:f>
        <x:v>30</x:v>
      </x:c>
      <x:c r="E234" s="69" t="n">
        <x:f>IF(B234="","",IF('График платежей'!$I$19="Факт / 365",'График платежей'!$I$12*D234/'График платежей'!$I$20,'График платежей'!$I$17))</x:f>
        <x:v>0.0061643835616438354</x:v>
      </x:c>
      <x:c r="F234" s="70" t="n">
        <x:f>IF(B234="","",F233/(1+E234))</x:f>
        <x:v>0.24637533794815497</x:v>
      </x:c>
    </x:row>
    <x:row r="235" ht="24" customHeight="1">
      <x:c r="B235" s="67" t="n">
        <x:f>IF('График платежей'!B235="","",ROW()-ROW($B$9))</x:f>
        <x:v>226</x:v>
      </x:c>
      <x:c r="C235" s="68" t="n">
        <x:f>IF(B235="","",'График платежей'!B235)</x:f>
        <x:v>51674</x:v>
      </x:c>
      <x:c r="D235" s="67" t="n">
        <x:f>IF(B235="","",C235-C234)</x:f>
        <x:v>31</x:v>
      </x:c>
      <x:c r="E235" s="69" t="n">
        <x:f>IF(B235="","",IF('График платежей'!$I$19="Факт / 365",'График платежей'!$I$12*D235/'График платежей'!$I$20,'График платежей'!$I$17))</x:f>
        <x:v>0.00636986301369863</x:v>
      </x:c>
      <x:c r="F235" s="70" t="n">
        <x:f>IF(B235="","",F234/(1+E235))</x:f>
        <x:v>0.244815894238281</x:v>
      </x:c>
    </x:row>
    <x:row r="236" ht="24" customHeight="1">
      <x:c r="B236" s="67" t="n">
        <x:f>IF('График платежей'!B236="","",ROW()-ROW($B$9))</x:f>
        <x:v>227</x:v>
      </x:c>
      <x:c r="C236" s="68" t="n">
        <x:f>IF(B236="","",'График платежей'!B236)</x:f>
        <x:v>51704</x:v>
      </x:c>
      <x:c r="D236" s="67" t="n">
        <x:f>IF(B236="","",C236-C235)</x:f>
        <x:v>30</x:v>
      </x:c>
      <x:c r="E236" s="69" t="n">
        <x:f>IF(B236="","",IF('График платежей'!$I$19="Факт / 365",'График платежей'!$I$12*D236/'График платежей'!$I$20,'График платежей'!$I$17))</x:f>
        <x:v>0.0061643835616438354</x:v>
      </x:c>
      <x:c r="F236" s="70" t="n">
        <x:f>IF(B236="","",F235/(1+E236))</x:f>
        <x:v>0.2433160010809328</x:v>
      </x:c>
    </x:row>
    <x:row r="237" ht="24" customHeight="1">
      <x:c r="B237" s="67" t="n">
        <x:f>IF('График платежей'!B237="","",ROW()-ROW($B$9))</x:f>
        <x:v>228</x:v>
      </x:c>
      <x:c r="C237" s="68" t="n">
        <x:f>IF(B237="","",'График платежей'!B237)</x:f>
        <x:v>51735</x:v>
      </x:c>
      <x:c r="D237" s="67" t="n">
        <x:f>IF(B237="","",C237-C236)</x:f>
        <x:v>31</x:v>
      </x:c>
      <x:c r="E237" s="69" t="n">
        <x:f>IF(B237="","",IF('График платежей'!$I$19="Факт / 365",'График платежей'!$I$12*D237/'График платежей'!$I$20,'График платежей'!$I$17))</x:f>
        <x:v>0.00636986301369863</x:v>
      </x:c>
      <x:c r="F237" s="70" t="n">
        <x:f>IF(B237="","",F236/(1+E237))</x:f>
        <x:v>0.24177592158045458</x:v>
      </x:c>
    </x:row>
    <x:row r="238" ht="24" customHeight="1">
      <x:c r="B238" s="67" t="n">
        <x:f>IF('График платежей'!B238="","",ROW()-ROW($B$9))</x:f>
        <x:v>229</x:v>
      </x:c>
      <x:c r="C238" s="68" t="n">
        <x:f>IF(B238="","",'График платежей'!B238)</x:f>
        <x:v>51766</x:v>
      </x:c>
      <x:c r="D238" s="67" t="n">
        <x:f>IF(B238="","",C238-C237)</x:f>
        <x:v>31</x:v>
      </x:c>
      <x:c r="E238" s="69" t="n">
        <x:f>IF(B238="","",IF('График платежей'!$I$19="Факт / 365",'График платежей'!$I$12*D238/'График платежей'!$I$20,'График платежей'!$I$17))</x:f>
        <x:v>0.00636986301369863</x:v>
      </x:c>
      <x:c r="F238" s="70" t="n">
        <x:f>IF(B238="","",F237/(1+E238))</x:f>
        <x:v>0.24024559008198715</x:v>
      </x:c>
    </x:row>
    <x:row r="239" ht="24" customHeight="1">
      <x:c r="B239" s="67" t="n">
        <x:f>IF('График платежей'!B239="","",ROW()-ROW($B$9))</x:f>
        <x:v>230</x:v>
      </x:c>
      <x:c r="C239" s="68" t="n">
        <x:f>IF(B239="","",'График платежей'!B239)</x:f>
        <x:v>51796</x:v>
      </x:c>
      <x:c r="D239" s="67" t="n">
        <x:f>IF(B239="","",C239-C238)</x:f>
        <x:v>30</x:v>
      </x:c>
      <x:c r="E239" s="69" t="n">
        <x:f>IF(B239="","",IF('График платежей'!$I$19="Факт / 365",'График платежей'!$I$12*D239/'График платежей'!$I$20,'График платежей'!$I$17))</x:f>
        <x:v>0.0061643835616438354</x:v>
      </x:c>
      <x:c r="F239" s="70" t="n">
        <x:f>IF(B239="","",F238/(1+E239))</x:f>
        <x:v>0.23877369742661758</x:v>
      </x:c>
    </x:row>
    <x:row r="240" ht="24" customHeight="1">
      <x:c r="B240" s="67" t="n">
        <x:f>IF('График платежей'!B240="","",ROW()-ROW($B$9))</x:f>
        <x:v>231</x:v>
      </x:c>
      <x:c r="C240" s="68" t="n">
        <x:f>IF(B240="","",'График платежей'!B240)</x:f>
        <x:v>51827</x:v>
      </x:c>
      <x:c r="D240" s="67" t="n">
        <x:f>IF(B240="","",C240-C239)</x:f>
        <x:v>31</x:v>
      </x:c>
      <x:c r="E240" s="69" t="n">
        <x:f>IF(B240="","",IF('График платежей'!$I$19="Факт / 365",'График платежей'!$I$12*D240/'График платежей'!$I$20,'График платежей'!$I$17))</x:f>
        <x:v>0.00636986301369863</x:v>
      </x:c>
      <x:c r="F240" s="70" t="n">
        <x:f>IF(B240="","",F239/(1+E240))</x:f>
        <x:v>0.23726236864007466</x:v>
      </x:c>
    </x:row>
    <x:row r="241" ht="24" customHeight="1">
      <x:c r="B241" s="67" t="n">
        <x:f>IF('График платежей'!B241="","",ROW()-ROW($B$9))</x:f>
        <x:v>232</x:v>
      </x:c>
      <x:c r="C241" s="68" t="n">
        <x:f>IF(B241="","",'График платежей'!B241)</x:f>
        <x:v>51857</x:v>
      </x:c>
      <x:c r="D241" s="67" t="n">
        <x:f>IF(B241="","",C241-C240)</x:f>
        <x:v>30</x:v>
      </x:c>
      <x:c r="E241" s="69" t="n">
        <x:f>IF(B241="","",IF('График платежей'!$I$19="Факт / 365",'График платежей'!$I$12*D241/'График платежей'!$I$20,'График платежей'!$I$17))</x:f>
        <x:v>0.0061643835616438354</x:v>
      </x:c>
      <x:c r="F241" s="70" t="n">
        <x:f>IF(B241="","",F240/(1+E241))</x:f>
        <x:v>0.23580875303914842</x:v>
      </x:c>
    </x:row>
    <x:row r="242" ht="24" customHeight="1">
      <x:c r="B242" s="67" t="n">
        <x:f>IF('График платежей'!B242="","",ROW()-ROW($B$9))</x:f>
        <x:v>233</x:v>
      </x:c>
      <x:c r="C242" s="68" t="n">
        <x:f>IF(B242="","",'График платежей'!B242)</x:f>
        <x:v>51888</x:v>
      </x:c>
      <x:c r="D242" s="67" t="n">
        <x:f>IF(B242="","",C242-C241)</x:f>
        <x:v>31</x:v>
      </x:c>
      <x:c r="E242" s="69" t="n">
        <x:f>IF(B242="","",IF('График платежей'!$I$19="Факт / 365",'График платежей'!$I$12*D242/'График платежей'!$I$20,'График платежей'!$I$17))</x:f>
        <x:v>0.00636986301369863</x:v>
      </x:c>
      <x:c r="F242" s="70" t="n">
        <x:f>IF(B242="","",F241/(1+E242))</x:f>
        <x:v>0.23431619100058307</x:v>
      </x:c>
    </x:row>
    <x:row r="243" ht="24" customHeight="1">
      <x:c r="B243" s="67" t="n">
        <x:f>IF('График платежей'!B243="","",ROW()-ROW($B$9))</x:f>
        <x:v>234</x:v>
      </x:c>
      <x:c r="C243" s="68" t="n">
        <x:f>IF(B243="","",'График платежей'!B243)</x:f>
        <x:v>51919</x:v>
      </x:c>
      <x:c r="D243" s="67" t="n">
        <x:f>IF(B243="","",C243-C242)</x:f>
        <x:v>31</x:v>
      </x:c>
      <x:c r="E243" s="69" t="n">
        <x:f>IF(B243="","",IF('График платежей'!$I$19="Факт / 365",'График платежей'!$I$12*D243/'График платежей'!$I$20,'График платежей'!$I$17))</x:f>
        <x:v>0.00636986301369863</x:v>
      </x:c>
      <x:c r="F243" s="70" t="n">
        <x:f>IF(B243="","",F242/(1+E243))</x:f>
        <x:v>0.2328330762001302</x:v>
      </x:c>
    </x:row>
    <x:row r="244" ht="24" customHeight="1">
      <x:c r="B244" s="67" t="n">
        <x:f>IF('График платежей'!B244="","",ROW()-ROW($B$9))</x:f>
        <x:v>235</x:v>
      </x:c>
      <x:c r="C244" s="68" t="n">
        <x:f>IF(B244="","",'График платежей'!B244)</x:f>
        <x:v>51947</x:v>
      </x:c>
      <x:c r="D244" s="67" t="n">
        <x:f>IF(B244="","",C244-C243)</x:f>
        <x:v>28</x:v>
      </x:c>
      <x:c r="E244" s="69" t="n">
        <x:f>IF(B244="","",IF('График платежей'!$I$19="Факт / 365",'График платежей'!$I$12*D244/'График платежей'!$I$20,'График платежей'!$I$17))</x:f>
        <x:v>0.005753424657534247</x:v>
      </x:c>
      <x:c r="F244" s="70" t="n">
        <x:f>IF(B244="","",F243/(1+E244))</x:f>
        <x:v>0.23150115176531608</x:v>
      </x:c>
    </x:row>
    <x:row r="245" ht="24" customHeight="1">
      <x:c r="B245" s="67" t="n">
        <x:f>IF('График платежей'!B245="","",ROW()-ROW($B$9))</x:f>
        <x:v>236</x:v>
      </x:c>
      <x:c r="C245" s="68" t="n">
        <x:f>IF(B245="","",'График платежей'!B245)</x:f>
        <x:v>51978</x:v>
      </x:c>
      <x:c r="D245" s="67" t="n">
        <x:f>IF(B245="","",C245-C244)</x:f>
        <x:v>31</x:v>
      </x:c>
      <x:c r="E245" s="69" t="n">
        <x:f>IF(B245="","",IF('График платежей'!$I$19="Факт / 365",'График платежей'!$I$12*D245/'График платежей'!$I$20,'График платежей'!$I$17))</x:f>
        <x:v>0.00636986301369863</x:v>
      </x:c>
      <x:c r="F245" s="70" t="n">
        <x:f>IF(B245="","",F244/(1+E245))</x:f>
        <x:v>0.23003585488148198</x:v>
      </x:c>
    </x:row>
    <x:row r="246" ht="24" customHeight="1">
      <x:c r="B246" s="67" t="n">
        <x:f>IF('График платежей'!B246="","",ROW()-ROW($B$9))</x:f>
        <x:v>237</x:v>
      </x:c>
      <x:c r="C246" s="68" t="n">
        <x:f>IF(B246="","",'График платежей'!B246)</x:f>
        <x:v>52008</x:v>
      </x:c>
      <x:c r="D246" s="67" t="n">
        <x:f>IF(B246="","",C246-C245)</x:f>
        <x:v>30</x:v>
      </x:c>
      <x:c r="E246" s="69" t="n">
        <x:f>IF(B246="","",IF('График платежей'!$I$19="Факт / 365",'График платежей'!$I$12*D246/'График платежей'!$I$20,'График платежей'!$I$17))</x:f>
        <x:v>0.0061643835616438354</x:v>
      </x:c>
      <x:c r="F246" s="70" t="n">
        <x:f>IF(B246="","",F245/(1+E246))</x:f>
        <x:v>0.22862651336076495</x:v>
      </x:c>
    </x:row>
    <x:row r="247" ht="24" customHeight="1">
      <x:c r="B247" s="67" t="n">
        <x:f>IF('График платежей'!B247="","",ROW()-ROW($B$9))</x:f>
        <x:v>238</x:v>
      </x:c>
      <x:c r="C247" s="68" t="n">
        <x:f>IF(B247="","",'График платежей'!B247)</x:f>
        <x:v>52039</x:v>
      </x:c>
      <x:c r="D247" s="67" t="n">
        <x:f>IF(B247="","",C247-C246)</x:f>
        <x:v>31</x:v>
      </x:c>
      <x:c r="E247" s="69" t="n">
        <x:f>IF(B247="","",IF('График платежей'!$I$19="Факт / 365",'График платежей'!$I$12*D247/'График платежей'!$I$20,'График платежей'!$I$17))</x:f>
        <x:v>0.00636986301369863</x:v>
      </x:c>
      <x:c r="F247" s="70" t="n">
        <x:f>IF(B247="","",F246/(1+E247))</x:f>
        <x:v>0.2271794116291546</x:v>
      </x:c>
    </x:row>
    <x:row r="248" ht="24" customHeight="1">
      <x:c r="B248" s="67" t="n">
        <x:f>IF('График платежей'!B248="","",ROW()-ROW($B$9))</x:f>
        <x:v>239</x:v>
      </x:c>
      <x:c r="C248" s="68" t="n">
        <x:f>IF(B248="","",'График платежей'!B248)</x:f>
        <x:v>52069</x:v>
      </x:c>
      <x:c r="D248" s="67" t="n">
        <x:f>IF(B248="","",C248-C247)</x:f>
        <x:v>30</x:v>
      </x:c>
      <x:c r="E248" s="69" t="n">
        <x:f>IF(B248="","",IF('График платежей'!$I$19="Факт / 365",'График платежей'!$I$12*D248/'График платежей'!$I$20,'График платежей'!$I$17))</x:f>
        <x:v>0.0061643835616438354</x:v>
      </x:c>
      <x:c r="F248" s="70" t="n">
        <x:f>IF(B248="","",F247/(1+E248))</x:f>
        <x:v>0.2257875704415015</x:v>
      </x:c>
    </x:row>
    <x:row r="249" ht="24" customHeight="1">
      <x:c r="B249" s="67" t="n">
        <x:f>IF('График платежей'!B249="","",ROW()-ROW($B$9))</x:f>
        <x:v>240</x:v>
      </x:c>
      <x:c r="C249" s="68" t="n">
        <x:f>IF(B249="","",'График платежей'!B249)</x:f>
        <x:v>52100</x:v>
      </x:c>
      <x:c r="D249" s="67" t="n">
        <x:f>IF(B249="","",C249-C248)</x:f>
        <x:v>31</x:v>
      </x:c>
      <x:c r="E249" s="69" t="n">
        <x:f>IF(B249="","",IF('График платежей'!$I$19="Факт / 365",'График платежей'!$I$12*D249/'График платежей'!$I$20,'График платежей'!$I$17))</x:f>
        <x:v>0.00636986301369863</x:v>
      </x:c>
      <x:c r="F249" s="70" t="n">
        <x:f>IF(B249="","",F248/(1+E249))</x:f>
        <x:v>0.22435843792594581</x:v>
      </x:c>
    </x:row>
    <x:row r="250" ht="24" customHeight="1">
      <x:c r="B250" s="67" t="n">
        <x:f>IF('График платежей'!B250="","",ROW()-ROW($B$9))</x:f>
        <x:v>241</x:v>
      </x:c>
      <x:c r="C250" s="68" t="n">
        <x:f>IF(B250="","",'График платежей'!B250)</x:f>
        <x:v>52131</x:v>
      </x:c>
      <x:c r="D250" s="67" t="n">
        <x:f>IF(B250="","",C250-C249)</x:f>
        <x:v>31</x:v>
      </x:c>
      <x:c r="E250" s="69" t="n">
        <x:f>IF(B250="","",IF('График платежей'!$I$19="Факт / 365",'График платежей'!$I$12*D250/'График платежей'!$I$20,'График платежей'!$I$17))</x:f>
        <x:v>0.00636986301369863</x:v>
      </x:c>
      <x:c r="F250" s="70" t="n">
        <x:f>IF(B250="","",F249/(1+E250))</x:f>
        <x:v>0.22293835116850264</x:v>
      </x:c>
    </x:row>
    <x:row r="251" ht="24" customHeight="1">
      <x:c r="B251" s="67" t="n">
        <x:f>IF('График платежей'!B251="","",ROW()-ROW($B$9))</x:f>
        <x:v>242</x:v>
      </x:c>
      <x:c r="C251" s="68" t="n">
        <x:f>IF(B251="","",'График платежей'!B251)</x:f>
        <x:v>52161</x:v>
      </x:c>
      <x:c r="D251" s="67" t="n">
        <x:f>IF(B251="","",C251-C250)</x:f>
        <x:v>30</x:v>
      </x:c>
      <x:c r="E251" s="69" t="n">
        <x:f>IF(B251="","",IF('График платежей'!$I$19="Факт / 365",'График платежей'!$I$12*D251/'График платежей'!$I$20,'График платежей'!$I$17))</x:f>
        <x:v>0.0061643835616438354</x:v>
      </x:c>
      <x:c r="F251" s="70" t="n">
        <x:f>IF(B251="","",F250/(1+E251))</x:f>
        <x:v>0.22157249333288895</x:v>
      </x:c>
    </x:row>
    <x:row r="252" ht="24" customHeight="1">
      <x:c r="B252" s="67" t="n">
        <x:f>IF('График платежей'!B252="","",ROW()-ROW($B$9))</x:f>
        <x:v>243</x:v>
      </x:c>
      <x:c r="C252" s="68" t="n">
        <x:f>IF(B252="","",'График платежей'!B252)</x:f>
        <x:v>52192</x:v>
      </x:c>
      <x:c r="D252" s="67" t="n">
        <x:f>IF(B252="","",C252-C251)</x:f>
        <x:v>31</x:v>
      </x:c>
      <x:c r="E252" s="69" t="n">
        <x:f>IF(B252="","",IF('График платежей'!$I$19="Факт / 365",'График платежей'!$I$12*D252/'График платежей'!$I$20,'График платежей'!$I$17))</x:f>
        <x:v>0.00636986301369863</x:v>
      </x:c>
      <x:c r="F252" s="70" t="n">
        <x:f>IF(B252="","",F251/(1+E252))</x:f>
        <x:v>0.2201700403362267</x:v>
      </x:c>
    </x:row>
    <x:row r="253" ht="24" customHeight="1">
      <x:c r="B253" s="67" t="n">
        <x:f>IF('График платежей'!B253="","",ROW()-ROW($B$9))</x:f>
        <x:v>244</x:v>
      </x:c>
      <x:c r="C253" s="68" t="n">
        <x:f>IF(B253="","",'График платежей'!B253)</x:f>
        <x:v>52222</x:v>
      </x:c>
      <x:c r="D253" s="67" t="n">
        <x:f>IF(B253="","",C253-C252)</x:f>
        <x:v>30</x:v>
      </x:c>
      <x:c r="E253" s="69" t="n">
        <x:f>IF(B253="","",IF('График платежей'!$I$19="Факт / 365",'График платежей'!$I$12*D253/'График платежей'!$I$20,'График платежей'!$I$17))</x:f>
        <x:v>0.0061643835616438354</x:v>
      </x:c>
      <x:c r="F253" s="70" t="n">
        <x:f>IF(B253="","",F252/(1+E253))</x:f>
        <x:v>0.2188211428801164</x:v>
      </x:c>
    </x:row>
    <x:row r="254" ht="24" customHeight="1">
      <x:c r="B254" s="67" t="n">
        <x:f>IF('График платежей'!B254="","",ROW()-ROW($B$9))</x:f>
        <x:v>245</x:v>
      </x:c>
      <x:c r="C254" s="68" t="n">
        <x:f>IF(B254="","",'График платежей'!B254)</x:f>
        <x:v>52253</x:v>
      </x:c>
      <x:c r="D254" s="67" t="n">
        <x:f>IF(B254="","",C254-C253)</x:f>
        <x:v>31</x:v>
      </x:c>
      <x:c r="E254" s="69" t="n">
        <x:f>IF(B254="","",IF('График платежей'!$I$19="Факт / 365",'График платежей'!$I$12*D254/'График платежей'!$I$20,'График платежей'!$I$17))</x:f>
        <x:v>0.00636986301369863</x:v>
      </x:c>
      <x:c r="F254" s="70" t="n">
        <x:f>IF(B254="","",F253/(1+E254))</x:f>
        <x:v>0.21743610467907845</x:v>
      </x:c>
    </x:row>
    <x:row r="255" ht="24" customHeight="1">
      <x:c r="B255" s="67" t="n">
        <x:f>IF('График платежей'!B255="","",ROW()-ROW($B$9))</x:f>
        <x:v>246</x:v>
      </x:c>
      <x:c r="C255" s="68" t="n">
        <x:f>IF(B255="","",'График платежей'!B255)</x:f>
        <x:v>52284</x:v>
      </x:c>
      <x:c r="D255" s="67" t="n">
        <x:f>IF(B255="","",C255-C254)</x:f>
        <x:v>31</x:v>
      </x:c>
      <x:c r="E255" s="69" t="n">
        <x:f>IF(B255="","",IF('График платежей'!$I$19="Факт / 365",'График платежей'!$I$12*D255/'График платежей'!$I$20,'График платежей'!$I$17))</x:f>
        <x:v>0.00636986301369863</x:v>
      </x:c>
      <x:c r="F255" s="70" t="n">
        <x:f>IF(B255="","",F254/(1+E255))</x:f>
        <x:v>0.21605983313921906</x:v>
      </x:c>
    </x:row>
    <x:row r="256" ht="24" customHeight="1">
      <x:c r="B256" s="67" t="n">
        <x:f>IF('График платежей'!B256="","",ROW()-ROW($B$9))</x:f>
        <x:v>247</x:v>
      </x:c>
      <x:c r="C256" s="68" t="n">
        <x:f>IF(B256="","",'График платежей'!B256)</x:f>
        <x:v>52312</x:v>
      </x:c>
      <x:c r="D256" s="67" t="n">
        <x:f>IF(B256="","",C256-C255)</x:f>
        <x:v>28</x:v>
      </x:c>
      <x:c r="E256" s="69" t="n">
        <x:f>IF(B256="","",IF('График платежей'!$I$19="Факт / 365",'График платежей'!$I$12*D256/'График платежей'!$I$20,'График платежей'!$I$17))</x:f>
        <x:v>0.005753424657534247</x:v>
      </x:c>
      <x:c r="F256" s="70" t="n">
        <x:f>IF(B256="","",F255/(1+E256))</x:f>
        <x:v>0.21482386024466077</x:v>
      </x:c>
    </x:row>
    <x:row r="257" ht="24" customHeight="1">
      <x:c r="B257" s="67" t="n">
        <x:f>IF('График платежей'!B257="","",ROW()-ROW($B$9))</x:f>
        <x:v>248</x:v>
      </x:c>
      <x:c r="C257" s="68" t="n">
        <x:f>IF(B257="","",'График платежей'!B257)</x:f>
        <x:v>52343</x:v>
      </x:c>
      <x:c r="D257" s="67" t="n">
        <x:f>IF(B257="","",C257-C256)</x:f>
        <x:v>31</x:v>
      </x:c>
      <x:c r="E257" s="69" t="n">
        <x:f>IF(B257="","",IF('График платежей'!$I$19="Факт / 365",'График платежей'!$I$12*D257/'График платежей'!$I$20,'График платежей'!$I$17))</x:f>
        <x:v>0.00636986301369863</x:v>
      </x:c>
      <x:c r="F257" s="70" t="n">
        <x:f>IF(B257="","",F256/(1+E257))</x:f>
        <x:v>0.21346412302266707</x:v>
      </x:c>
    </x:row>
    <x:row r="258" ht="24" customHeight="1">
      <x:c r="B258" s="67" t="n">
        <x:f>IF('График платежей'!B258="","",ROW()-ROW($B$9))</x:f>
        <x:v>249</x:v>
      </x:c>
      <x:c r="C258" s="68" t="n">
        <x:f>IF(B258="","",'График платежей'!B258)</x:f>
        <x:v>52373</x:v>
      </x:c>
      <x:c r="D258" s="67" t="n">
        <x:f>IF(B258="","",C258-C257)</x:f>
        <x:v>30</x:v>
      </x:c>
      <x:c r="E258" s="69" t="n">
        <x:f>IF(B258="","",IF('График платежей'!$I$19="Факт / 365",'График платежей'!$I$12*D258/'График платежей'!$I$20,'График платежей'!$I$17))</x:f>
        <x:v>0.0061643835616438354</x:v>
      </x:c>
      <x:c r="F258" s="70" t="n">
        <x:f>IF(B258="","",F257/(1+E258))</x:f>
        <x:v>0.2121563101518679</x:v>
      </x:c>
    </x:row>
    <x:row r="259" ht="24" customHeight="1">
      <x:c r="B259" s="67" t="n">
        <x:f>IF('График платежей'!B259="","",ROW()-ROW($B$9))</x:f>
        <x:v>250</x:v>
      </x:c>
      <x:c r="C259" s="68" t="n">
        <x:f>IF(B259="","",'График платежей'!B259)</x:f>
        <x:v>52404</x:v>
      </x:c>
      <x:c r="D259" s="67" t="n">
        <x:f>IF(B259="","",C259-C258)</x:f>
        <x:v>31</x:v>
      </x:c>
      <x:c r="E259" s="69" t="n">
        <x:f>IF(B259="","",IF('График платежей'!$I$19="Факт / 365",'График платежей'!$I$12*D259/'График платежей'!$I$20,'График платежей'!$I$17))</x:f>
        <x:v>0.00636986301369863</x:v>
      </x:c>
      <x:c r="F259" s="70" t="n">
        <x:f>IF(B259="","",F258/(1+E259))</x:f>
        <x:v>0.21081345730737572</x:v>
      </x:c>
    </x:row>
    <x:row r="260" ht="24" customHeight="1">
      <x:c r="B260" s="67" t="n">
        <x:f>IF('График платежей'!B260="","",ROW()-ROW($B$9))</x:f>
        <x:v>251</x:v>
      </x:c>
      <x:c r="C260" s="68" t="n">
        <x:f>IF(B260="","",'График платежей'!B260)</x:f>
        <x:v>52434</x:v>
      </x:c>
      <x:c r="D260" s="67" t="n">
        <x:f>IF(B260="","",C260-C259)</x:f>
        <x:v>30</x:v>
      </x:c>
      <x:c r="E260" s="69" t="n">
        <x:f>IF(B260="","",IF('График платежей'!$I$19="Факт / 365",'График платежей'!$I$12*D260/'График платежей'!$I$20,'График платежей'!$I$17))</x:f>
        <x:v>0.0061643835616438354</x:v>
      </x:c>
      <x:c r="F260" s="70" t="n">
        <x:f>IF(B260="","",F259/(1+E260))</x:f>
        <x:v>0.20952188404953612</x:v>
      </x:c>
    </x:row>
    <x:row r="261" ht="24" customHeight="1">
      <x:c r="B261" s="67" t="n">
        <x:f>IF('График платежей'!B261="","",ROW()-ROW($B$9))</x:f>
        <x:v>252</x:v>
      </x:c>
      <x:c r="C261" s="68" t="n">
        <x:f>IF(B261="","",'График платежей'!B261)</x:f>
        <x:v>52465</x:v>
      </x:c>
      <x:c r="D261" s="67" t="n">
        <x:f>IF(B261="","",C261-C260)</x:f>
        <x:v>31</x:v>
      </x:c>
      <x:c r="E261" s="69" t="n">
        <x:f>IF(B261="","",IF('График платежей'!$I$19="Факт / 365",'График платежей'!$I$12*D261/'График платежей'!$I$20,'График платежей'!$I$17))</x:f>
        <x:v>0.00636986301369863</x:v>
      </x:c>
      <x:c r="F261" s="70" t="n">
        <x:f>IF(B261="","",F260/(1+E261))</x:f>
        <x:v>0.20819570592276782</x:v>
      </x:c>
    </x:row>
    <x:row r="262" ht="24" customHeight="1">
      <x:c r="B262" s="67" t="n">
        <x:f>IF('График платежей'!B262="","",ROW()-ROW($B$9))</x:f>
        <x:v>253</x:v>
      </x:c>
      <x:c r="C262" s="68" t="n">
        <x:f>IF(B262="","",'График платежей'!B262)</x:f>
        <x:v>52496</x:v>
      </x:c>
      <x:c r="D262" s="67" t="n">
        <x:f>IF(B262="","",C262-C261)</x:f>
        <x:v>31</x:v>
      </x:c>
      <x:c r="E262" s="69" t="n">
        <x:f>IF(B262="","",IF('График платежей'!$I$19="Факт / 365",'График платежей'!$I$12*D262/'График платежей'!$I$20,'График платежей'!$I$17))</x:f>
        <x:v>0.00636986301369863</x:v>
      </x:c>
      <x:c r="F262" s="70" t="n">
        <x:f>IF(B262="","",F261/(1+E262))</x:f>
        <x:v>0.20687792189970805</x:v>
      </x:c>
    </x:row>
    <x:row r="263" ht="24" customHeight="1">
      <x:c r="B263" s="67" t="n">
        <x:f>IF('График платежей'!B263="","",ROW()-ROW($B$9))</x:f>
        <x:v>254</x:v>
      </x:c>
      <x:c r="C263" s="68" t="n">
        <x:f>IF(B263="","",'График платежей'!B263)</x:f>
        <x:v>52526</x:v>
      </x:c>
      <x:c r="D263" s="67" t="n">
        <x:f>IF(B263="","",C263-C262)</x:f>
        <x:v>30</x:v>
      </x:c>
      <x:c r="E263" s="69" t="n">
        <x:f>IF(B263="","",IF('График платежей'!$I$19="Факт / 365",'График платежей'!$I$12*D263/'График платежей'!$I$20,'График платежей'!$I$17))</x:f>
        <x:v>0.0061643835616438354</x:v>
      </x:c>
      <x:c r="F263" s="70" t="n">
        <x:f>IF(B263="","",F262/(1+E263))</x:f>
        <x:v>0.20561046015900186</x:v>
      </x:c>
    </x:row>
    <x:row r="264" ht="24" customHeight="1">
      <x:c r="B264" s="67" t="n">
        <x:f>IF('График платежей'!B264="","",ROW()-ROW($B$9))</x:f>
        <x:v>255</x:v>
      </x:c>
      <x:c r="C264" s="68" t="n">
        <x:f>IF(B264="","",'График платежей'!B264)</x:f>
        <x:v>52557</x:v>
      </x:c>
      <x:c r="D264" s="67" t="n">
        <x:f>IF(B264="","",C264-C263)</x:f>
        <x:v>31</x:v>
      </x:c>
      <x:c r="E264" s="69" t="n">
        <x:f>IF(B264="","",IF('График платежей'!$I$19="Факт / 365",'График платежей'!$I$12*D264/'График платежей'!$I$20,'График платежей'!$I$17))</x:f>
        <x:v>0.00636986301369863</x:v>
      </x:c>
      <x:c r="F264" s="70" t="n">
        <x:f>IF(B264="","",F263/(1+E264))</x:f>
        <x:v>0.20430903956451557</x:v>
      </x:c>
    </x:row>
    <x:row r="265" ht="24" customHeight="1">
      <x:c r="B265" s="67" t="n">
        <x:f>IF('График платежей'!B265="","",ROW()-ROW($B$9))</x:f>
        <x:v>256</x:v>
      </x:c>
      <x:c r="C265" s="68" t="n">
        <x:f>IF(B265="","",'График платежей'!B265)</x:f>
        <x:v>52587</x:v>
      </x:c>
      <x:c r="D265" s="67" t="n">
        <x:f>IF(B265="","",C265-C264)</x:f>
        <x:v>30</x:v>
      </x:c>
      <x:c r="E265" s="69" t="n">
        <x:f>IF(B265="","",IF('График платежей'!$I$19="Факт / 365",'График платежей'!$I$12*D265/'График платежей'!$I$20,'График платежей'!$I$17))</x:f>
        <x:v>0.0061643835616438354</x:v>
      </x:c>
      <x:c r="F265" s="70" t="n">
        <x:f>IF(B265="","",F264/(1+E265))</x:f>
        <x:v>0.20305731638134292</x:v>
      </x:c>
    </x:row>
    <x:row r="266" ht="24" customHeight="1">
      <x:c r="B266" s="67" t="n">
        <x:f>IF('График платежей'!B266="","",ROW()-ROW($B$9))</x:f>
        <x:v>257</x:v>
      </x:c>
      <x:c r="C266" s="68" t="n">
        <x:f>IF(B266="","",'График платежей'!B266)</x:f>
        <x:v>52618</x:v>
      </x:c>
      <x:c r="D266" s="67" t="n">
        <x:f>IF(B266="","",C266-C265)</x:f>
        <x:v>31</x:v>
      </x:c>
      <x:c r="E266" s="69" t="n">
        <x:f>IF(B266="","",IF('График платежей'!$I$19="Факт / 365",'График платежей'!$I$12*D266/'График платежей'!$I$20,'График платежей'!$I$17))</x:f>
        <x:v>0.00636986301369863</x:v>
      </x:c>
      <x:c r="F266" s="70" t="n">
        <x:f>IF(B266="","",F265/(1+E266))</x:f>
        <x:v>0.2017720560244747</x:v>
      </x:c>
    </x:row>
    <x:row r="267" ht="24" customHeight="1">
      <x:c r="B267" s="67" t="n">
        <x:f>IF('График платежей'!B267="","",ROW()-ROW($B$9))</x:f>
        <x:v>258</x:v>
      </x:c>
      <x:c r="C267" s="68" t="n">
        <x:f>IF(B267="","",'График платежей'!B267)</x:f>
        <x:v>52649</x:v>
      </x:c>
      <x:c r="D267" s="67" t="n">
        <x:f>IF(B267="","",C267-C266)</x:f>
        <x:v>31</x:v>
      </x:c>
      <x:c r="E267" s="69" t="n">
        <x:f>IF(B267="","",IF('График платежей'!$I$19="Факт / 365",'График платежей'!$I$12*D267/'График платежей'!$I$20,'График платежей'!$I$17))</x:f>
        <x:v>0.00636986301369863</x:v>
      </x:c>
      <x:c r="F267" s="70" t="n">
        <x:f>IF(B267="","",F266/(1+E267))</x:f>
        <x:v>0.20049493078046218</x:v>
      </x:c>
    </x:row>
    <x:row r="268" ht="24" customHeight="1">
      <x:c r="B268" s="67" t="n">
        <x:f>IF('График платежей'!B268="","",ROW()-ROW($B$9))</x:f>
        <x:v>259</x:v>
      </x:c>
      <x:c r="C268" s="68" t="n">
        <x:f>IF(B268="","",'График платежей'!B268)</x:f>
        <x:v>52678</x:v>
      </x:c>
      <x:c r="D268" s="67" t="n">
        <x:f>IF(B268="","",C268-C267)</x:f>
        <x:v>29</x:v>
      </x:c>
      <x:c r="E268" s="69" t="n">
        <x:f>IF(B268="","",IF('График платежей'!$I$19="Факт / 365",'График платежей'!$I$12*D268/'График платежей'!$I$20,'График платежей'!$I$17))</x:f>
        <x:v>0.00595890410958904</x:v>
      </x:c>
      <x:c r="F268" s="70" t="n">
        <x:f>IF(B268="","",F267/(1+E268))</x:f>
        <x:v>0.1993072778235683</x:v>
      </x:c>
    </x:row>
    <x:row r="269" ht="24" customHeight="1">
      <x:c r="B269" s="67" t="n">
        <x:f>IF('График платежей'!B269="","",ROW()-ROW($B$9))</x:f>
        <x:v>260</x:v>
      </x:c>
      <x:c r="C269" s="68" t="n">
        <x:f>IF(B269="","",'График платежей'!B269)</x:f>
        <x:v>52709</x:v>
      </x:c>
      <x:c r="D269" s="67" t="n">
        <x:f>IF(B269="","",C269-C268)</x:f>
        <x:v>31</x:v>
      </x:c>
      <x:c r="E269" s="69" t="n">
        <x:f>IF(B269="","",IF('График платежей'!$I$19="Факт / 365",'График платежей'!$I$12*D269/'График платежей'!$I$20,'График платежей'!$I$17))</x:f>
        <x:v>0.00636986301369863</x:v>
      </x:c>
      <x:c r="F269" s="70" t="n">
        <x:f>IF(B269="","",F268/(1+E269))</x:f>
        <x:v>0.19804575350330753</x:v>
      </x:c>
    </x:row>
    <x:row r="270" ht="24" customHeight="1">
      <x:c r="B270" s="67" t="n">
        <x:f>IF('График платежей'!B270="","",ROW()-ROW($B$9))</x:f>
        <x:v>261</x:v>
      </x:c>
      <x:c r="C270" s="68" t="n">
        <x:f>IF(B270="","",'График платежей'!B270)</x:f>
        <x:v>52739</x:v>
      </x:c>
      <x:c r="D270" s="67" t="n">
        <x:f>IF(B270="","",C270-C269)</x:f>
        <x:v>30</x:v>
      </x:c>
      <x:c r="E270" s="69" t="n">
        <x:f>IF(B270="","",IF('График платежей'!$I$19="Факт / 365",'График платежей'!$I$12*D270/'График платежей'!$I$20,'График платежей'!$I$17))</x:f>
        <x:v>0.0061643835616438354</x:v>
      </x:c>
      <x:c r="F270" s="70" t="n">
        <x:f>IF(B270="","",F269/(1+E270))</x:f>
        <x:v>0.196832403073403</x:v>
      </x:c>
    </x:row>
    <x:row r="271" ht="24" customHeight="1">
      <x:c r="B271" s="67" t="n">
        <x:f>IF('График платежей'!B271="","",ROW()-ROW($B$9))</x:f>
        <x:v>262</x:v>
      </x:c>
      <x:c r="C271" s="68" t="n">
        <x:f>IF(B271="","",'График платежей'!B271)</x:f>
        <x:v>52770</x:v>
      </x:c>
      <x:c r="D271" s="67" t="n">
        <x:f>IF(B271="","",C271-C270)</x:f>
        <x:v>31</x:v>
      </x:c>
      <x:c r="E271" s="69" t="n">
        <x:f>IF(B271="","",IF('График платежей'!$I$19="Факт / 365",'График платежей'!$I$12*D271/'График платежей'!$I$20,'График платежей'!$I$17))</x:f>
        <x:v>0.00636986301369863</x:v>
      </x:c>
      <x:c r="F271" s="70" t="n">
        <x:f>IF(B271="","",F270/(1+E271))</x:f>
        <x:v>0.19558654358345362</x:v>
      </x:c>
    </x:row>
    <x:row r="272" ht="24" customHeight="1">
      <x:c r="B272" s="67" t="n">
        <x:f>IF('График платежей'!B272="","",ROW()-ROW($B$9))</x:f>
        <x:v>263</x:v>
      </x:c>
      <x:c r="C272" s="68" t="n">
        <x:f>IF(B272="","",'График платежей'!B272)</x:f>
        <x:v>52800</x:v>
      </x:c>
      <x:c r="D272" s="67" t="n">
        <x:f>IF(B272="","",C272-C271)</x:f>
        <x:v>30</x:v>
      </x:c>
      <x:c r="E272" s="69" t="n">
        <x:f>IF(B272="","",IF('График платежей'!$I$19="Факт / 365",'График платежей'!$I$12*D272/'График платежей'!$I$20,'График платежей'!$I$17))</x:f>
        <x:v>0.0061643835616438354</x:v>
      </x:c>
      <x:c r="F272" s="70" t="n">
        <x:f>IF(B272="","",F271/(1+E272))</x:f>
        <x:v>0.1943882597902262</x:v>
      </x:c>
    </x:row>
    <x:row r="273" ht="24" customHeight="1">
      <x:c r="B273" s="67" t="n">
        <x:f>IF('График платежей'!B273="","",ROW()-ROW($B$9))</x:f>
        <x:v>264</x:v>
      </x:c>
      <x:c r="C273" s="68" t="n">
        <x:f>IF(B273="","",'График платежей'!B273)</x:f>
        <x:v>52831</x:v>
      </x:c>
      <x:c r="D273" s="67" t="n">
        <x:f>IF(B273="","",C273-C272)</x:f>
        <x:v>31</x:v>
      </x:c>
      <x:c r="E273" s="69" t="n">
        <x:f>IF(B273="","",IF('График платежей'!$I$19="Факт / 365",'График платежей'!$I$12*D273/'График платежей'!$I$20,'График платежей'!$I$17))</x:f>
        <x:v>0.00636986301369863</x:v>
      </x:c>
      <x:c r="F273" s="70" t="n">
        <x:f>IF(B273="","",F272/(1+E273))</x:f>
        <x:v>0.1931578706143948</x:v>
      </x:c>
    </x:row>
    <x:row r="274" ht="24" customHeight="1">
      <x:c r="B274" s="67" t="n">
        <x:f>IF('График платежей'!B274="","",ROW()-ROW($B$9))</x:f>
        <x:v>265</x:v>
      </x:c>
      <x:c r="C274" s="68" t="n">
        <x:f>IF(B274="","",'График платежей'!B274)</x:f>
        <x:v>52862</x:v>
      </x:c>
      <x:c r="D274" s="67" t="n">
        <x:f>IF(B274="","",C274-C273)</x:f>
        <x:v>31</x:v>
      </x:c>
      <x:c r="E274" s="69" t="n">
        <x:f>IF(B274="","",IF('График платежей'!$I$19="Факт / 365",'График платежей'!$I$12*D274/'График платежей'!$I$20,'График платежей'!$I$17))</x:f>
        <x:v>0.00636986301369863</x:v>
      </x:c>
      <x:c r="F274" s="70" t="n">
        <x:f>IF(B274="","",F273/(1+E274))</x:f>
        <x:v>0.191935269241827</x:v>
      </x:c>
    </x:row>
    <x:row r="275" ht="24" customHeight="1">
      <x:c r="B275" s="67" t="n">
        <x:f>IF('График платежей'!B275="","",ROW()-ROW($B$9))</x:f>
        <x:v>266</x:v>
      </x:c>
      <x:c r="C275" s="68" t="n">
        <x:f>IF(B275="","",'График платежей'!B275)</x:f>
        <x:v>52892</x:v>
      </x:c>
      <x:c r="D275" s="67" t="n">
        <x:f>IF(B275="","",C275-C274)</x:f>
        <x:v>30</x:v>
      </x:c>
      <x:c r="E275" s="69" t="n">
        <x:f>IF(B275="","",IF('График платежей'!$I$19="Факт / 365",'График платежей'!$I$12*D275/'График платежей'!$I$20,'График платежей'!$I$17))</x:f>
        <x:v>0.0061643835616438354</x:v>
      </x:c>
      <x:c r="F275" s="70" t="n">
        <x:f>IF(B275="","",F274/(1+E275))</x:f>
        <x:v>0.19075935540712555</x:v>
      </x:c>
    </x:row>
    <x:row r="276" ht="24" customHeight="1">
      <x:c r="B276" s="67" t="n">
        <x:f>IF('График платежей'!B276="","",ROW()-ROW($B$9))</x:f>
        <x:v>267</x:v>
      </x:c>
      <x:c r="C276" s="68" t="n">
        <x:f>IF(B276="","",'График платежей'!B276)</x:f>
        <x:v>52923</x:v>
      </x:c>
      <x:c r="D276" s="67" t="n">
        <x:f>IF(B276="","",C276-C275)</x:f>
        <x:v>31</x:v>
      </x:c>
      <x:c r="E276" s="69" t="n">
        <x:f>IF(B276="","",IF('График платежей'!$I$19="Факт / 365",'График платежей'!$I$12*D276/'График платежей'!$I$20,'График платежей'!$I$17))</x:f>
        <x:v>0.00636986301369863</x:v>
      </x:c>
      <x:c r="F276" s="70" t="n">
        <x:f>IF(B276="","",F275/(1+E276))</x:f>
        <x:v>0.18955193554373057</x:v>
      </x:c>
    </x:row>
    <x:row r="277" ht="24" customHeight="1">
      <x:c r="B277" s="67" t="n">
        <x:f>IF('График платежей'!B277="","",ROW()-ROW($B$9))</x:f>
        <x:v>268</x:v>
      </x:c>
      <x:c r="C277" s="68" t="n">
        <x:f>IF(B277="","",'График платежей'!B277)</x:f>
        <x:v>52953</x:v>
      </x:c>
      <x:c r="D277" s="67" t="n">
        <x:f>IF(B277="","",C277-C276)</x:f>
        <x:v>30</x:v>
      </x:c>
      <x:c r="E277" s="69" t="n">
        <x:f>IF(B277="","",IF('График платежей'!$I$19="Факт / 365",'График платежей'!$I$12*D277/'График платежей'!$I$20,'График платежей'!$I$17))</x:f>
        <x:v>0.0061643835616438354</x:v>
      </x:c>
      <x:c r="F277" s="70" t="n">
        <x:f>IF(B277="","",F276/(1+E277))</x:f>
        <x:v>0.18839062348117538</x:v>
      </x:c>
    </x:row>
    <x:row r="278" ht="24" customHeight="1">
      <x:c r="B278" s="67" t="n">
        <x:f>IF('График платежей'!B278="","",ROW()-ROW($B$9))</x:f>
        <x:v>269</x:v>
      </x:c>
      <x:c r="C278" s="68" t="n">
        <x:f>IF(B278="","",'График платежей'!B278)</x:f>
        <x:v>52984</x:v>
      </x:c>
      <x:c r="D278" s="67" t="n">
        <x:f>IF(B278="","",C278-C277)</x:f>
        <x:v>31</x:v>
      </x:c>
      <x:c r="E278" s="69" t="n">
        <x:f>IF(B278="","",IF('График платежей'!$I$19="Факт / 365",'График платежей'!$I$12*D278/'График платежей'!$I$20,'График платежей'!$I$17))</x:f>
        <x:v>0.00636986301369863</x:v>
      </x:c>
      <x:c r="F278" s="70" t="n">
        <x:f>IF(B278="","",F277/(1+E278))</x:f>
        <x:v>0.18719819661234335</x:v>
      </x:c>
    </x:row>
    <x:row r="279" ht="24" customHeight="1">
      <x:c r="B279" s="67" t="n">
        <x:f>IF('График платежей'!B279="","",ROW()-ROW($B$9))</x:f>
        <x:v>270</x:v>
      </x:c>
      <x:c r="C279" s="68" t="n">
        <x:f>IF(B279="","",'График платежей'!B279)</x:f>
        <x:v>53015</x:v>
      </x:c>
      <x:c r="D279" s="67" t="n">
        <x:f>IF(B279="","",C279-C278)</x:f>
        <x:v>31</x:v>
      </x:c>
      <x:c r="E279" s="69" t="n">
        <x:f>IF(B279="","",IF('График платежей'!$I$19="Факт / 365",'График платежей'!$I$12*D279/'График платежей'!$I$20,'График платежей'!$I$17))</x:f>
        <x:v>0.00636986301369863</x:v>
      </x:c>
      <x:c r="F279" s="70" t="n">
        <x:f>IF(B279="","",F278/(1+E279))</x:f>
        <x:v>0.18601331726265657</x:v>
      </x:c>
    </x:row>
    <x:row r="280" ht="24" customHeight="1">
      <x:c r="B280" s="67" t="n">
        <x:f>IF('График платежей'!B280="","",ROW()-ROW($B$9))</x:f>
        <x:v>271</x:v>
      </x:c>
      <x:c r="C280" s="68" t="n">
        <x:f>IF(B280="","",'График платежей'!B280)</x:f>
        <x:v>53043</x:v>
      </x:c>
      <x:c r="D280" s="67" t="n">
        <x:f>IF(B280="","",C280-C279)</x:f>
        <x:v>28</x:v>
      </x:c>
      <x:c r="E280" s="69" t="n">
        <x:f>IF(B280="","",IF('График платежей'!$I$19="Факт / 365",'График платежей'!$I$12*D280/'График платежей'!$I$20,'График платежей'!$I$17))</x:f>
        <x:v>0.005753424657534247</x:v>
      </x:c>
      <x:c r="F280" s="70" t="n">
        <x:f>IF(B280="","",F279/(1+E280))</x:f>
        <x:v>0.18494922582639514</x:v>
      </x:c>
    </x:row>
    <x:row r="281" ht="24" customHeight="1">
      <x:c r="B281" s="67" t="n">
        <x:f>IF('График платежей'!B281="","",ROW()-ROW($B$9))</x:f>
        <x:v>272</x:v>
      </x:c>
      <x:c r="C281" s="68" t="n">
        <x:f>IF(B281="","",'График платежей'!B281)</x:f>
        <x:v>53074</x:v>
      </x:c>
      <x:c r="D281" s="67" t="n">
        <x:f>IF(B281="","",C281-C280)</x:f>
        <x:v>31</x:v>
      </x:c>
      <x:c r="E281" s="69" t="n">
        <x:f>IF(B281="","",IF('График платежей'!$I$19="Факт / 365",'График платежей'!$I$12*D281/'График платежей'!$I$20,'График платежей'!$I$17))</x:f>
        <x:v>0.00636986301369863</x:v>
      </x:c>
      <x:c r="F281" s="70" t="n">
        <x:f>IF(B281="","",F280/(1+E281))</x:f>
        <x:v>0.1837785814377846</x:v>
      </x:c>
    </x:row>
    <x:row r="282" ht="24" customHeight="1">
      <x:c r="B282" s="67" t="n">
        <x:f>IF('График платежей'!B282="","",ROW()-ROW($B$9))</x:f>
        <x:v>273</x:v>
      </x:c>
      <x:c r="C282" s="68" t="n">
        <x:f>IF(B282="","",'График платежей'!B282)</x:f>
        <x:v>53104</x:v>
      </x:c>
      <x:c r="D282" s="67" t="n">
        <x:f>IF(B282="","",C282-C281)</x:f>
        <x:v>30</x:v>
      </x:c>
      <x:c r="E282" s="69" t="n">
        <x:f>IF(B282="","",IF('График платежей'!$I$19="Факт / 365",'График платежей'!$I$12*D282/'График платежей'!$I$20,'График платежей'!$I$17))</x:f>
        <x:v>0.0061643835616438354</x:v>
      </x:c>
      <x:c r="F282" s="70" t="n">
        <x:f>IF(B282="","",F281/(1+E282))</x:f>
        <x:v>0.18265264050317598</x:v>
      </x:c>
    </x:row>
    <x:row r="283" ht="24" customHeight="1">
      <x:c r="B283" s="67" t="n">
        <x:f>IF('График платежей'!B283="","",ROW()-ROW($B$9))</x:f>
        <x:v>274</x:v>
      </x:c>
      <x:c r="C283" s="68" t="n">
        <x:f>IF(B283="","",'График платежей'!B283)</x:f>
        <x:v>53135</x:v>
      </x:c>
      <x:c r="D283" s="67" t="n">
        <x:f>IF(B283="","",C283-C282)</x:f>
        <x:v>31</x:v>
      </x:c>
      <x:c r="E283" s="69" t="n">
        <x:f>IF(B283="","",IF('График платежей'!$I$19="Факт / 365",'График платежей'!$I$12*D283/'График платежей'!$I$20,'График платежей'!$I$17))</x:f>
        <x:v>0.00636986301369863</x:v>
      </x:c>
      <x:c r="F283" s="70" t="n">
        <x:f>IF(B283="","",F282/(1+E283))</x:f>
        <x:v>0.1814965324539828</x:v>
      </x:c>
    </x:row>
    <x:row r="284" ht="24" customHeight="1">
      <x:c r="B284" s="67" t="n">
        <x:f>IF('График платежей'!B284="","",ROW()-ROW($B$9))</x:f>
        <x:v>275</x:v>
      </x:c>
      <x:c r="C284" s="68" t="n">
        <x:f>IF(B284="","",'График платежей'!B284)</x:f>
        <x:v>53165</x:v>
      </x:c>
      <x:c r="D284" s="67" t="n">
        <x:f>IF(B284="","",C284-C283)</x:f>
        <x:v>30</x:v>
      </x:c>
      <x:c r="E284" s="69" t="n">
        <x:f>IF(B284="","",IF('График платежей'!$I$19="Факт / 365",'График платежей'!$I$12*D284/'График платежей'!$I$20,'График платежей'!$I$17))</x:f>
        <x:v>0.0061643835616438354</x:v>
      </x:c>
      <x:c r="F284" s="70" t="n">
        <x:f>IF(B284="","",F283/(1+E284))</x:f>
        <x:v>0.18038457275889375</x:v>
      </x:c>
    </x:row>
    <x:row r="285" ht="24" customHeight="1">
      <x:c r="B285" s="67" t="n">
        <x:f>IF('График платежей'!B285="","",ROW()-ROW($B$9))</x:f>
        <x:v>276</x:v>
      </x:c>
      <x:c r="C285" s="68" t="n">
        <x:f>IF(B285="","",'График платежей'!B285)</x:f>
        <x:v>53196</x:v>
      </x:c>
      <x:c r="D285" s="67" t="n">
        <x:f>IF(B285="","",C285-C284)</x:f>
        <x:v>31</x:v>
      </x:c>
      <x:c r="E285" s="69" t="n">
        <x:f>IF(B285="","",IF('График платежей'!$I$19="Факт / 365",'График платежей'!$I$12*D285/'График платежей'!$I$20,'График платежей'!$I$17))</x:f>
        <x:v>0.00636986301369863</x:v>
      </x:c>
      <x:c r="F285" s="70" t="n">
        <x:f>IF(B285="","",F284/(1+E285))</x:f>
        <x:v>0.17924282054582788</x:v>
      </x:c>
    </x:row>
    <x:row r="286" ht="24" customHeight="1">
      <x:c r="B286" s="67" t="n">
        <x:f>IF('График платежей'!B286="","",ROW()-ROW($B$9))</x:f>
        <x:v>277</x:v>
      </x:c>
      <x:c r="C286" s="68" t="n">
        <x:f>IF(B286="","",'График платежей'!B286)</x:f>
        <x:v>53227</x:v>
      </x:c>
      <x:c r="D286" s="67" t="n">
        <x:f>IF(B286="","",C286-C285)</x:f>
        <x:v>31</x:v>
      </x:c>
      <x:c r="E286" s="69" t="n">
        <x:f>IF(B286="","",IF('График платежей'!$I$19="Факт / 365",'График платежей'!$I$12*D286/'График платежей'!$I$20,'График платежей'!$I$17))</x:f>
        <x:v>0.00636986301369863</x:v>
      </x:c>
      <x:c r="F286" s="70" t="n">
        <x:f>IF(B286="","",F285/(1+E286))</x:f>
        <x:v>0.1781082951044094</x:v>
      </x:c>
    </x:row>
    <x:row r="287" ht="24" customHeight="1">
      <x:c r="B287" s="67" t="n">
        <x:f>IF('График платежей'!B287="","",ROW()-ROW($B$9))</x:f>
        <x:v>278</x:v>
      </x:c>
      <x:c r="C287" s="68" t="n">
        <x:f>IF(B287="","",'График платежей'!B287)</x:f>
        <x:v>53257</x:v>
      </x:c>
      <x:c r="D287" s="67" t="n">
        <x:f>IF(B287="","",C287-C286)</x:f>
        <x:v>30</x:v>
      </x:c>
      <x:c r="E287" s="69" t="n">
        <x:f>IF(B287="","",IF('График платежей'!$I$19="Факт / 365",'График платежей'!$I$12*D287/'График платежей'!$I$20,'График платежей'!$I$17))</x:f>
        <x:v>0.0061643835616438354</x:v>
      </x:c>
      <x:c r="F287" s="70" t="n">
        <x:f>IF(B287="","",F286/(1+E287))</x:f>
        <x:v>0.17701709384100595</x:v>
      </x:c>
    </x:row>
    <x:row r="288" ht="24" customHeight="1">
      <x:c r="B288" s="67" t="n">
        <x:f>IF('График платежей'!B288="","",ROW()-ROW($B$9))</x:f>
        <x:v>279</x:v>
      </x:c>
      <x:c r="C288" s="68" t="n">
        <x:f>IF(B288="","",'График платежей'!B288)</x:f>
        <x:v>53288</x:v>
      </x:c>
      <x:c r="D288" s="67" t="n">
        <x:f>IF(B288="","",C288-C287)</x:f>
        <x:v>31</x:v>
      </x:c>
      <x:c r="E288" s="69" t="n">
        <x:f>IF(B288="","",IF('График платежей'!$I$19="Факт / 365",'График платежей'!$I$12*D288/'График платежей'!$I$20,'График платежей'!$I$17))</x:f>
        <x:v>0.00636986301369863</x:v>
      </x:c>
      <x:c r="F288" s="70" t="n">
        <x:f>IF(B288="","",F287/(1+E288))</x:f>
        <x:v>0.17589665623621364</x:v>
      </x:c>
    </x:row>
    <x:row r="289" ht="24" customHeight="1">
      <x:c r="B289" s="67" t="n">
        <x:f>IF('График платежей'!B289="","",ROW()-ROW($B$9))</x:f>
        <x:v>280</x:v>
      </x:c>
      <x:c r="C289" s="68" t="n">
        <x:f>IF(B289="","",'График платежей'!B289)</x:f>
        <x:v>53318</x:v>
      </x:c>
      <x:c r="D289" s="67" t="n">
        <x:f>IF(B289="","",C289-C288)</x:f>
        <x:v>30</x:v>
      </x:c>
      <x:c r="E289" s="69" t="n">
        <x:f>IF(B289="","",IF('График платежей'!$I$19="Факт / 365",'График платежей'!$I$12*D289/'График платежей'!$I$20,'График платежей'!$I$17))</x:f>
        <x:v>0.0061643835616438354</x:v>
      </x:c>
      <x:c r="F289" s="70" t="n">
        <x:f>IF(B289="","",F288/(1+E289))</x:f>
        <x:v>0.17481900483653637</x:v>
      </x:c>
    </x:row>
    <x:row r="290" ht="24" customHeight="1">
      <x:c r="B290" s="67" t="n">
        <x:f>IF('График платежей'!B290="","",ROW()-ROW($B$9))</x:f>
        <x:v>281</x:v>
      </x:c>
      <x:c r="C290" s="68" t="n">
        <x:f>IF(B290="","",'График платежей'!B290)</x:f>
        <x:v>53349</x:v>
      </x:c>
      <x:c r="D290" s="67" t="n">
        <x:f>IF(B290="","",C290-C289)</x:f>
        <x:v>31</x:v>
      </x:c>
      <x:c r="E290" s="69" t="n">
        <x:f>IF(B290="","",IF('График платежей'!$I$19="Факт / 365",'График платежей'!$I$12*D290/'График платежей'!$I$20,'График платежей'!$I$17))</x:f>
        <x:v>0.00636986301369863</x:v>
      </x:c>
      <x:c r="F290" s="70" t="n">
        <x:f>IF(B290="","",F289/(1+E290))</x:f>
        <x:v>0.17371248013431098</x:v>
      </x:c>
    </x:row>
    <x:row r="291" ht="24" customHeight="1">
      <x:c r="B291" s="67" t="n">
        <x:f>IF('График платежей'!B291="","",ROW()-ROW($B$9))</x:f>
        <x:v>282</x:v>
      </x:c>
      <x:c r="C291" s="68" t="n">
        <x:f>IF(B291="","",'График платежей'!B291)</x:f>
        <x:v>53380</x:v>
      </x:c>
      <x:c r="D291" s="67" t="n">
        <x:f>IF(B291="","",C291-C290)</x:f>
        <x:v>31</x:v>
      </x:c>
      <x:c r="E291" s="69" t="n">
        <x:f>IF(B291="","",IF('График платежей'!$I$19="Факт / 365",'График платежей'!$I$12*D291/'График платежей'!$I$20,'График платежей'!$I$17))</x:f>
        <x:v>0.00636986301369863</x:v>
      </x:c>
      <x:c r="F291" s="70" t="n">
        <x:f>IF(B291="","",F290/(1+E291))</x:f>
        <x:v>0.1726129592296291</x:v>
      </x:c>
    </x:row>
    <x:row r="292" ht="24" customHeight="1">
      <x:c r="B292" s="67" t="n">
        <x:f>IF('График платежей'!B292="","",ROW()-ROW($B$9))</x:f>
        <x:v>283</x:v>
      </x:c>
      <x:c r="C292" s="68" t="n">
        <x:f>IF(B292="","",'График платежей'!B292)</x:f>
        <x:v>53408</x:v>
      </x:c>
      <x:c r="D292" s="67" t="n">
        <x:f>IF(B292="","",C292-C291)</x:f>
        <x:v>28</x:v>
      </x:c>
      <x:c r="E292" s="69" t="n">
        <x:f>IF(B292="","",IF('График платежей'!$I$19="Факт / 365",'График платежей'!$I$12*D292/'График платежей'!$I$20,'График платежей'!$I$17))</x:f>
        <x:v>0.005753424657534247</x:v>
      </x:c>
      <x:c r="F292" s="70" t="n">
        <x:f>IF(B292="","",F291/(1+E292))</x:f>
        <x:v>0.17162552470393524</x:v>
      </x:c>
    </x:row>
    <x:row r="293" ht="24" customHeight="1">
      <x:c r="B293" s="67" t="n">
        <x:f>IF('График платежей'!B293="","",ROW()-ROW($B$9))</x:f>
        <x:v>284</x:v>
      </x:c>
      <x:c r="C293" s="68" t="n">
        <x:f>IF(B293="","",'График платежей'!B293)</x:f>
        <x:v>53439</x:v>
      </x:c>
      <x:c r="D293" s="67" t="n">
        <x:f>IF(B293="","",C293-C292)</x:f>
        <x:v>31</x:v>
      </x:c>
      <x:c r="E293" s="69" t="n">
        <x:f>IF(B293="","",IF('График платежей'!$I$19="Факт / 365",'График платежей'!$I$12*D293/'График платежей'!$I$20,'График платежей'!$I$17))</x:f>
        <x:v>0.00636986301369863</x:v>
      </x:c>
      <x:c r="F293" s="70" t="n">
        <x:f>IF(B293="","",F292/(1+E293))</x:f>
        <x:v>0.17053921327689747</x:v>
      </x:c>
    </x:row>
    <x:row r="294" ht="24" customHeight="1">
      <x:c r="B294" s="67" t="n">
        <x:f>IF('График платежей'!B294="","",ROW()-ROW($B$9))</x:f>
        <x:v>285</x:v>
      </x:c>
      <x:c r="C294" s="68" t="n">
        <x:f>IF(B294="","",'График платежей'!B294)</x:f>
        <x:v>53469</x:v>
      </x:c>
      <x:c r="D294" s="67" t="n">
        <x:f>IF(B294="","",C294-C293)</x:f>
        <x:v>30</x:v>
      </x:c>
      <x:c r="E294" s="69" t="n">
        <x:f>IF(B294="","",IF('График платежей'!$I$19="Факт / 365",'График платежей'!$I$12*D294/'График платежей'!$I$20,'График платежей'!$I$17))</x:f>
        <x:v>0.0061643835616438354</x:v>
      </x:c>
      <x:c r="F294" s="70" t="n">
        <x:f>IF(B294="","",F293/(1+E294))</x:f>
        <x:v>0.16949438487697094</x:v>
      </x:c>
    </x:row>
    <x:row r="295" ht="24" customHeight="1">
      <x:c r="B295" s="67" t="n">
        <x:f>IF('График платежей'!B295="","",ROW()-ROW($B$9))</x:f>
        <x:v>286</x:v>
      </x:c>
      <x:c r="C295" s="68" t="n">
        <x:f>IF(B295="","",'График платежей'!B295)</x:f>
        <x:v>53500</x:v>
      </x:c>
      <x:c r="D295" s="67" t="n">
        <x:f>IF(B295="","",C295-C294)</x:f>
        <x:v>31</x:v>
      </x:c>
      <x:c r="E295" s="69" t="n">
        <x:f>IF(B295="","",IF('График платежей'!$I$19="Факт / 365",'График платежей'!$I$12*D295/'График платежей'!$I$20,'График платежей'!$I$17))</x:f>
        <x:v>0.00636986301369863</x:v>
      </x:c>
      <x:c r="F295" s="70" t="n">
        <x:f>IF(B295="","",F294/(1+E295))</x:f>
        <x:v>0.1684215625946897</x:v>
      </x:c>
    </x:row>
    <x:row r="296" ht="24" customHeight="1">
      <x:c r="B296" s="67" t="n">
        <x:f>IF('График платежей'!B296="","",ROW()-ROW($B$9))</x:f>
        <x:v>287</x:v>
      </x:c>
      <x:c r="C296" s="68" t="n">
        <x:f>IF(B296="","",'График платежей'!B296)</x:f>
        <x:v>53530</x:v>
      </x:c>
      <x:c r="D296" s="67" t="n">
        <x:f>IF(B296="","",C296-C295)</x:f>
        <x:v>30</x:v>
      </x:c>
      <x:c r="E296" s="69" t="n">
        <x:f>IF(B296="","",IF('График платежей'!$I$19="Факт / 365",'График платежей'!$I$12*D296/'График платежей'!$I$20,'График платежей'!$I$17))</x:f>
        <x:v>0.0061643835616438354</x:v>
      </x:c>
      <x:c r="F296" s="70" t="n">
        <x:f>IF(B296="","",F295/(1+E296))</x:f>
        <x:v>0.16738970822889515</x:v>
      </x:c>
    </x:row>
    <x:row r="297" ht="24" customHeight="1">
      <x:c r="B297" s="67" t="n">
        <x:f>IF('График платежей'!B297="","",ROW()-ROW($B$9))</x:f>
        <x:v>288</x:v>
      </x:c>
      <x:c r="C297" s="68" t="n">
        <x:f>IF(B297="","",'График платежей'!B297)</x:f>
        <x:v>53561</x:v>
      </x:c>
      <x:c r="D297" s="67" t="n">
        <x:f>IF(B297="","",C297-C296)</x:f>
        <x:v>31</x:v>
      </x:c>
      <x:c r="E297" s="69" t="n">
        <x:f>IF(B297="","",IF('График платежей'!$I$19="Факт / 365",'График платежей'!$I$12*D297/'График платежей'!$I$20,'График платежей'!$I$17))</x:f>
        <x:v>0.00636986301369863</x:v>
      </x:c>
      <x:c r="F297" s="70" t="n">
        <x:f>IF(B297="","",F296/(1+E297))</x:f>
        <x:v>0.16633020759149728</x:v>
      </x:c>
    </x:row>
    <x:row r="298" ht="24" customHeight="1">
      <x:c r="B298" s="67" t="n">
        <x:f>IF('График платежей'!B298="","",ROW()-ROW($B$9))</x:f>
        <x:v>289</x:v>
      </x:c>
      <x:c r="C298" s="68" t="n">
        <x:f>IF(B298="","",'График платежей'!B298)</x:f>
        <x:v>53592</x:v>
      </x:c>
      <x:c r="D298" s="67" t="n">
        <x:f>IF(B298="","",C298-C297)</x:f>
        <x:v>31</x:v>
      </x:c>
      <x:c r="E298" s="69" t="n">
        <x:f>IF(B298="","",IF('График платежей'!$I$19="Факт / 365",'График платежей'!$I$12*D298/'График платежей'!$I$20,'График платежей'!$I$17))</x:f>
        <x:v>0.00636986301369863</x:v>
      </x:c>
      <x:c r="F298" s="70" t="n">
        <x:f>IF(B298="","",F297/(1+E298))</x:f>
        <x:v>0.1652774131107235</x:v>
      </x:c>
    </x:row>
    <x:row r="299" ht="24" customHeight="1">
      <x:c r="B299" s="67" t="n">
        <x:f>IF('График платежей'!B299="","",ROW()-ROW($B$9))</x:f>
        <x:v>290</x:v>
      </x:c>
      <x:c r="C299" s="68" t="n">
        <x:f>IF(B299="","",'График платежей'!B299)</x:f>
        <x:v>53622</x:v>
      </x:c>
      <x:c r="D299" s="67" t="n">
        <x:f>IF(B299="","",C299-C298)</x:f>
        <x:v>30</x:v>
      </x:c>
      <x:c r="E299" s="69" t="n">
        <x:f>IF(B299="","",IF('График платежей'!$I$19="Факт / 365",'График платежей'!$I$12*D299/'График платежей'!$I$20,'График платежей'!$I$17))</x:f>
        <x:v>0.0061643835616438354</x:v>
      </x:c>
      <x:c r="F299" s="70" t="n">
        <x:f>IF(B299="","",F298/(1+E299))</x:f>
        <x:v>0.1642648217438096</x:v>
      </x:c>
    </x:row>
    <x:row r="300" ht="24" customHeight="1">
      <x:c r="B300" s="67" t="n">
        <x:f>IF('График платежей'!B300="","",ROW()-ROW($B$9))</x:f>
        <x:v>291</x:v>
      </x:c>
      <x:c r="C300" s="68" t="n">
        <x:f>IF(B300="","",'График платежей'!B300)</x:f>
        <x:v>53653</x:v>
      </x:c>
      <x:c r="D300" s="67" t="n">
        <x:f>IF(B300="","",C300-C299)</x:f>
        <x:v>31</x:v>
      </x:c>
      <x:c r="E300" s="69" t="n">
        <x:f>IF(B300="","",IF('График платежей'!$I$19="Факт / 365",'График платежей'!$I$12*D300/'График платежей'!$I$20,'График платежей'!$I$17))</x:f>
        <x:v>0.00636986301369863</x:v>
      </x:c>
      <x:c r="F300" s="70" t="n">
        <x:f>IF(B300="","",F299/(1+E300))</x:f>
        <x:v>0.16322510021504255</x:v>
      </x:c>
    </x:row>
    <x:row r="301" ht="24" customHeight="1">
      <x:c r="B301" s="67" t="n">
        <x:f>IF('График платежей'!B301="","",ROW()-ROW($B$9))</x:f>
        <x:v>292</x:v>
      </x:c>
      <x:c r="C301" s="68" t="n">
        <x:f>IF(B301="","",'График платежей'!B301)</x:f>
        <x:v>53683</x:v>
      </x:c>
      <x:c r="D301" s="67" t="n">
        <x:f>IF(B301="","",C301-C300)</x:f>
        <x:v>30</x:v>
      </x:c>
      <x:c r="E301" s="69" t="n">
        <x:f>IF(B301="","",IF('График платежей'!$I$19="Факт / 365",'График платежей'!$I$12*D301/'График платежей'!$I$20,'График платежей'!$I$17))</x:f>
        <x:v>0.0061643835616438354</x:v>
      </x:c>
      <x:c r="F301" s="70" t="n">
        <x:f>IF(B301="","",F300/(1+E301))</x:f>
        <x:v>0.16222508258268353</x:v>
      </x:c>
    </x:row>
    <x:row r="302" ht="24" customHeight="1">
      <x:c r="B302" s="67" t="n">
        <x:f>IF('График платежей'!B302="","",ROW()-ROW($B$9))</x:f>
        <x:v>293</x:v>
      </x:c>
      <x:c r="C302" s="68" t="n">
        <x:f>IF(B302="","",'График платежей'!B302)</x:f>
        <x:v>53714</x:v>
      </x:c>
      <x:c r="D302" s="67" t="n">
        <x:f>IF(B302="","",C302-C301)</x:f>
        <x:v>31</x:v>
      </x:c>
      <x:c r="E302" s="69" t="n">
        <x:f>IF(B302="","",IF('График платежей'!$I$19="Факт / 365",'График платежей'!$I$12*D302/'График платежей'!$I$20,'График платежей'!$I$17))</x:f>
        <x:v>0.00636986301369863</x:v>
      </x:c>
      <x:c r="F302" s="70" t="n">
        <x:f>IF(B302="","",F301/(1+E302))</x:f>
        <x:v>0.16119827167407472</x:v>
      </x:c>
    </x:row>
    <x:row r="303" ht="24" customHeight="1">
      <x:c r="B303" s="67" t="n">
        <x:f>IF('График платежей'!B303="","",ROW()-ROW($B$9))</x:f>
        <x:v>294</x:v>
      </x:c>
      <x:c r="C303" s="68" t="n">
        <x:f>IF(B303="","",'График платежей'!B303)</x:f>
        <x:v>53745</x:v>
      </x:c>
      <x:c r="D303" s="67" t="n">
        <x:f>IF(B303="","",C303-C302)</x:f>
        <x:v>31</x:v>
      </x:c>
      <x:c r="E303" s="69" t="n">
        <x:f>IF(B303="","",IF('График платежей'!$I$19="Факт / 365",'График платежей'!$I$12*D303/'График платежей'!$I$20,'График платежей'!$I$17))</x:f>
        <x:v>0.00636986301369863</x:v>
      </x:c>
      <x:c r="F303" s="70" t="n">
        <x:f>IF(B303="","",F302/(1+E303))</x:f>
        <x:v>0.16017796001099102</x:v>
      </x:c>
    </x:row>
    <x:row r="304" ht="24" customHeight="1">
      <x:c r="B304" s="67" t="n">
        <x:f>IF('График платежей'!B304="","",ROW()-ROW($B$9))</x:f>
        <x:v>295</x:v>
      </x:c>
      <x:c r="C304" s="68" t="n">
        <x:f>IF(B304="","",'График платежей'!B304)</x:f>
        <x:v>53773</x:v>
      </x:c>
      <x:c r="D304" s="67" t="n">
        <x:f>IF(B304="","",C304-C303)</x:f>
        <x:v>28</x:v>
      </x:c>
      <x:c r="E304" s="69" t="n">
        <x:f>IF(B304="","",IF('График платежей'!$I$19="Факт / 365",'График платежей'!$I$12*D304/'График платежей'!$I$20,'График платежей'!$I$17))</x:f>
        <x:v>0.005753424657534247</x:v>
      </x:c>
      <x:c r="F304" s="70" t="n">
        <x:f>IF(B304="","",F303/(1+E304))</x:f>
        <x:v>0.15926166004906492</x:v>
      </x:c>
    </x:row>
    <x:row r="305" ht="24" customHeight="1">
      <x:c r="B305" s="67" t="n">
        <x:f>IF('График платежей'!B305="","",ROW()-ROW($B$9))</x:f>
        <x:v>296</x:v>
      </x:c>
      <x:c r="C305" s="68" t="n">
        <x:f>IF(B305="","",'График платежей'!B305)</x:f>
        <x:v>53804</x:v>
      </x:c>
      <x:c r="D305" s="67" t="n">
        <x:f>IF(B305="","",C305-C304)</x:f>
        <x:v>31</x:v>
      </x:c>
      <x:c r="E305" s="69" t="n">
        <x:f>IF(B305="","",IF('График платежей'!$I$19="Факт / 365",'График платежей'!$I$12*D305/'График платежей'!$I$20,'График платежей'!$I$17))</x:f>
        <x:v>0.00636986301369863</x:v>
      </x:c>
      <x:c r="F305" s="70" t="n">
        <x:f>IF(B305="","",F304/(1+E305))</x:f>
        <x:v>0.15825360625579174</x:v>
      </x:c>
    </x:row>
    <x:row r="306" ht="24" customHeight="1">
      <x:c r="B306" s="67" t="n">
        <x:f>IF('График платежей'!B306="","",ROW()-ROW($B$9))</x:f>
        <x:v>297</x:v>
      </x:c>
      <x:c r="C306" s="68" t="n">
        <x:f>IF(B306="","",'График платежей'!B306)</x:f>
        <x:v>53834</x:v>
      </x:c>
      <x:c r="D306" s="67" t="n">
        <x:f>IF(B306="","",C306-C305)</x:f>
        <x:v>30</x:v>
      </x:c>
      <x:c r="E306" s="69" t="n">
        <x:f>IF(B306="","",IF('График платежей'!$I$19="Факт / 365",'График платежей'!$I$12*D306/'График платежей'!$I$20,'График платежей'!$I$17))</x:f>
        <x:v>0.0061643835616438354</x:v>
      </x:c>
      <x:c r="F306" s="70" t="n">
        <x:f>IF(B306="","",F305/(1+E306))</x:f>
        <x:v>0.15728404706157653</x:v>
      </x:c>
    </x:row>
    <x:row r="307" ht="24" customHeight="1">
      <x:c r="B307" s="67" t="n">
        <x:f>IF('График платежей'!B307="","",ROW()-ROW($B$9))</x:f>
        <x:v>298</x:v>
      </x:c>
      <x:c r="C307" s="68" t="n">
        <x:f>IF(B307="","",'График платежей'!B307)</x:f>
        <x:v>53865</x:v>
      </x:c>
      <x:c r="D307" s="67" t="n">
        <x:f>IF(B307="","",C307-C306)</x:f>
        <x:v>31</x:v>
      </x:c>
      <x:c r="E307" s="69" t="n">
        <x:f>IF(B307="","",IF('График платежей'!$I$19="Факт / 365",'График платежей'!$I$12*D307/'График платежей'!$I$20,'График платежей'!$I$17))</x:f>
        <x:v>0.00636986301369863</x:v>
      </x:c>
      <x:c r="F307" s="70" t="n">
        <x:f>IF(B307="","",F306/(1+E307))</x:f>
        <x:v>0.15628851065806965</x:v>
      </x:c>
    </x:row>
    <x:row r="308" ht="24" customHeight="1">
      <x:c r="B308" s="67" t="n">
        <x:f>IF('График платежей'!B308="","",ROW()-ROW($B$9))</x:f>
        <x:v>299</x:v>
      </x:c>
      <x:c r="C308" s="68" t="n">
        <x:f>IF(B308="","",'График платежей'!B308)</x:f>
        <x:v>53895</x:v>
      </x:c>
      <x:c r="D308" s="67" t="n">
        <x:f>IF(B308="","",C308-C307)</x:f>
        <x:v>30</x:v>
      </x:c>
      <x:c r="E308" s="69" t="n">
        <x:f>IF(B308="","",IF('График платежей'!$I$19="Факт / 365",'График платежей'!$I$12*D308/'График платежей'!$I$20,'График платежей'!$I$17))</x:f>
        <x:v>0.0061643835616438354</x:v>
      </x:c>
      <x:c r="F308" s="70" t="n">
        <x:f>IF(B308="","",F307/(1+E308))</x:f>
        <x:v>0.1553309908514511</x:v>
      </x:c>
    </x:row>
    <x:row r="309" ht="24" customHeight="1">
      <x:c r="B309" s="67" t="n">
        <x:f>IF('График платежей'!B309="","",ROW()-ROW($B$9))</x:f>
        <x:v>300</x:v>
      </x:c>
      <x:c r="C309" s="68" t="n">
        <x:f>IF(B309="","",'График платежей'!B309)</x:f>
        <x:v>53926</x:v>
      </x:c>
      <x:c r="D309" s="67" t="n">
        <x:f>IF(B309="","",C309-C308)</x:f>
        <x:v>31</x:v>
      </x:c>
      <x:c r="E309" s="69" t="n">
        <x:f>IF(B309="","",IF('График платежей'!$I$19="Факт / 365",'График платежей'!$I$12*D309/'График платежей'!$I$20,'График платежей'!$I$17))</x:f>
        <x:v>0.00636986301369863</x:v>
      </x:c>
      <x:c r="F309" s="70" t="n">
        <x:f>IF(B309="","",F308/(1+E309))</x:f>
        <x:v>0.154347816404491</x:v>
      </x:c>
    </x:row>
    <x:row r="310" ht="24" customHeight="1">
      <x:c r="B310" s="67" t="n">
        <x:f>IF('График платежей'!B310="","",ROW()-ROW($B$9))</x:f>
        <x:v>301</x:v>
      </x:c>
      <x:c r="C310" s="68" t="n">
        <x:f>IF(B310="","",'График платежей'!B310)</x:f>
        <x:v>53957</x:v>
      </x:c>
      <x:c r="D310" s="67" t="n">
        <x:f>IF(B310="","",C310-C309)</x:f>
        <x:v>31</x:v>
      </x:c>
      <x:c r="E310" s="69" t="n">
        <x:f>IF(B310="","",IF('График платежей'!$I$19="Факт / 365",'График платежей'!$I$12*D310/'График платежей'!$I$20,'График платежей'!$I$17))</x:f>
        <x:v>0.00636986301369863</x:v>
      </x:c>
      <x:c r="F310" s="70" t="n">
        <x:f>IF(B310="","",F309/(1+E310))</x:f>
        <x:v>0.15337086500412228</x:v>
      </x:c>
    </x:row>
    <x:row r="311" ht="24" customHeight="1">
      <x:c r="B311" s="67" t="n">
        <x:f>IF('График платежей'!B311="","",ROW()-ROW($B$9))</x:f>
        <x:v>302</x:v>
      </x:c>
      <x:c r="C311" s="68" t="n">
        <x:f>IF(B311="","",'График платежей'!B311)</x:f>
        <x:v>53987</x:v>
      </x:c>
      <x:c r="D311" s="67" t="n">
        <x:f>IF(B311="","",C311-C310)</x:f>
        <x:v>30</x:v>
      </x:c>
      <x:c r="E311" s="69" t="n">
        <x:f>IF(B311="","",IF('График платежей'!$I$19="Факт / 365",'График платежей'!$I$12*D311/'График платежей'!$I$20,'График платежей'!$I$17))</x:f>
        <x:v>0.0061643835616438354</x:v>
      </x:c>
      <x:c r="F311" s="70" t="n">
        <x:f>IF(B311="","",F310/(1+E311))</x:f>
        <x:v>0.15243122049422636</x:v>
      </x:c>
    </x:row>
    <x:row r="312" ht="24" customHeight="1">
      <x:c r="B312" s="67" t="n">
        <x:f>IF('График платежей'!B312="","",ROW()-ROW($B$9))</x:f>
        <x:v>303</x:v>
      </x:c>
      <x:c r="C312" s="68" t="n">
        <x:f>IF(B312="","",'График платежей'!B312)</x:f>
        <x:v>54018</x:v>
      </x:c>
      <x:c r="D312" s="67" t="n">
        <x:f>IF(B312="","",C312-C311)</x:f>
        <x:v>31</x:v>
      </x:c>
      <x:c r="E312" s="69" t="n">
        <x:f>IF(B312="","",IF('График платежей'!$I$19="Факт / 365",'График платежей'!$I$12*D312/'График платежей'!$I$20,'График платежей'!$I$17))</x:f>
        <x:v>0.00636986301369863</x:v>
      </x:c>
      <x:c r="F312" s="70" t="n">
        <x:f>IF(B312="","",F311/(1+E312))</x:f>
        <x:v>0.15146640027330735</x:v>
      </x:c>
    </x:row>
    <x:row r="313" ht="24" customHeight="1">
      <x:c r="B313" s="67" t="n">
        <x:f>IF('График платежей'!B313="","",ROW()-ROW($B$9))</x:f>
        <x:v>304</x:v>
      </x:c>
      <x:c r="C313" s="68" t="n">
        <x:f>IF(B313="","",'График платежей'!B313)</x:f>
        <x:v>54048</x:v>
      </x:c>
      <x:c r="D313" s="67" t="n">
        <x:f>IF(B313="","",C313-C312)</x:f>
        <x:v>30</x:v>
      </x:c>
      <x:c r="E313" s="69" t="n">
        <x:f>IF(B313="","",IF('График платежей'!$I$19="Факт / 365",'График платежей'!$I$12*D313/'График платежей'!$I$20,'График платежей'!$I$17))</x:f>
        <x:v>0.0061643835616438354</x:v>
      </x:c>
      <x:c r="F313" s="70" t="n">
        <x:f>IF(B313="","",F312/(1+E313))</x:f>
        <x:v>0.15053842368892356</x:v>
      </x:c>
    </x:row>
    <x:row r="314" ht="24" customHeight="1">
      <x:c r="B314" s="67" t="n">
        <x:f>IF('График платежей'!B314="","",ROW()-ROW($B$9))</x:f>
        <x:v>305</x:v>
      </x:c>
      <x:c r="C314" s="68" t="n">
        <x:f>IF(B314="","",'График платежей'!B314)</x:f>
        <x:v>54079</x:v>
      </x:c>
      <x:c r="D314" s="67" t="n">
        <x:f>IF(B314="","",C314-C313)</x:f>
        <x:v>31</x:v>
      </x:c>
      <x:c r="E314" s="69" t="n">
        <x:f>IF(B314="","",IF('График платежей'!$I$19="Факт / 365",'График платежей'!$I$12*D314/'График платежей'!$I$20,'График платежей'!$I$17))</x:f>
        <x:v>0.00636986301369863</x:v>
      </x:c>
      <x:c r="F314" s="70" t="n">
        <x:f>IF(B314="","",F313/(1+E314))</x:f>
        <x:v>0.14958558400995603</x:v>
      </x:c>
    </x:row>
    <x:row r="315" ht="24" customHeight="1">
      <x:c r="B315" s="67" t="n">
        <x:f>IF('График платежей'!B315="","",ROW()-ROW($B$9))</x:f>
        <x:v>306</x:v>
      </x:c>
      <x:c r="C315" s="68" t="n">
        <x:f>IF(B315="","",'График платежей'!B315)</x:f>
        <x:v>54110</x:v>
      </x:c>
      <x:c r="D315" s="67" t="n">
        <x:f>IF(B315="","",C315-C314)</x:f>
        <x:v>31</x:v>
      </x:c>
      <x:c r="E315" s="69" t="n">
        <x:f>IF(B315="","",IF('График платежей'!$I$19="Факт / 365",'График платежей'!$I$12*D315/'График платежей'!$I$20,'График платежей'!$I$17))</x:f>
        <x:v>0.00636986301369863</x:v>
      </x:c>
      <x:c r="F315" s="70" t="n">
        <x:f>IF(B315="","",F314/(1+E315))</x:f>
        <x:v>0.1486387753723105</x:v>
      </x:c>
    </x:row>
    <x:row r="316" ht="24" customHeight="1">
      <x:c r="B316" s="67" t="n">
        <x:f>IF('График платежей'!B316="","",ROW()-ROW($B$9))</x:f>
        <x:v>307</x:v>
      </x:c>
      <x:c r="C316" s="68" t="n">
        <x:f>IF(B316="","",'График платежей'!B316)</x:f>
        <x:v>54139</x:v>
      </x:c>
      <x:c r="D316" s="67" t="n">
        <x:f>IF(B316="","",C316-C315)</x:f>
        <x:v>29</x:v>
      </x:c>
      <x:c r="E316" s="69" t="n">
        <x:f>IF(B316="","",IF('График платежей'!$I$19="Факт / 365",'График платежей'!$I$12*D316/'График платежей'!$I$20,'График платежей'!$I$17))</x:f>
        <x:v>0.00595890410958904</x:v>
      </x:c>
      <x:c r="F316" s="70" t="n">
        <x:f>IF(B316="","",F315/(1+E316))</x:f>
        <x:v>0.1477582978440616</x:v>
      </x:c>
    </x:row>
    <x:row r="317" ht="24" customHeight="1">
      <x:c r="B317" s="67" t="n">
        <x:f>IF('График платежей'!B317="","",ROW()-ROW($B$9))</x:f>
        <x:v>308</x:v>
      </x:c>
      <x:c r="C317" s="68" t="n">
        <x:f>IF(B317="","",'График платежей'!B317)</x:f>
        <x:v>54170</x:v>
      </x:c>
      <x:c r="D317" s="67" t="n">
        <x:f>IF(B317="","",C317-C316)</x:f>
        <x:v>31</x:v>
      </x:c>
      <x:c r="E317" s="69" t="n">
        <x:f>IF(B317="","",IF('График платежей'!$I$19="Факт / 365",'График платежей'!$I$12*D317/'График платежей'!$I$20,'График платежей'!$I$17))</x:f>
        <x:v>0.00636986301369863</x:v>
      </x:c>
      <x:c r="F317" s="70" t="n">
        <x:f>IF(B317="","",F316/(1+E317))</x:f>
        <x:v>0.14682305509584834</x:v>
      </x:c>
    </x:row>
    <x:row r="318" ht="24" customHeight="1">
      <x:c r="B318" s="67" t="n">
        <x:f>IF('График платежей'!B318="","",ROW()-ROW($B$9))</x:f>
        <x:v>309</x:v>
      </x:c>
      <x:c r="C318" s="68" t="n">
        <x:f>IF(B318="","",'График платежей'!B318)</x:f>
        <x:v>54200</x:v>
      </x:c>
      <x:c r="D318" s="67" t="n">
        <x:f>IF(B318="","",C318-C317)</x:f>
        <x:v>30</x:v>
      </x:c>
      <x:c r="E318" s="69" t="n">
        <x:f>IF(B318="","",IF('График платежей'!$I$19="Факт / 365",'График платежей'!$I$12*D318/'График платежей'!$I$20,'График платежей'!$I$17))</x:f>
        <x:v>0.0061643835616438354</x:v>
      </x:c>
      <x:c r="F318" s="70" t="n">
        <x:f>IF(B318="","",F317/(1+E318))</x:f>
        <x:v>0.14592352650778664</x:v>
      </x:c>
    </x:row>
    <x:row r="319" ht="24" customHeight="1">
      <x:c r="B319" s="67" t="n">
        <x:f>IF('График платежей'!B319="","",ROW()-ROW($B$9))</x:f>
        <x:v>310</x:v>
      </x:c>
      <x:c r="C319" s="68" t="n">
        <x:f>IF(B319="","",'График платежей'!B319)</x:f>
        <x:v>54231</x:v>
      </x:c>
      <x:c r="D319" s="67" t="n">
        <x:f>IF(B319="","",C319-C318)</x:f>
        <x:v>31</x:v>
      </x:c>
      <x:c r="E319" s="69" t="n">
        <x:f>IF(B319="","",IF('График платежей'!$I$19="Факт / 365",'График платежей'!$I$12*D319/'График платежей'!$I$20,'График платежей'!$I$17))</x:f>
        <x:v>0.00636986301369863</x:v>
      </x:c>
      <x:c r="F319" s="70" t="n">
        <x:f>IF(B319="","",F318/(1+E319))</x:f>
        <x:v>0.144999897026726</x:v>
      </x:c>
    </x:row>
    <x:row r="320" ht="24" customHeight="1">
      <x:c r="B320" s="67" t="n">
        <x:f>IF('График платежей'!B320="","",ROW()-ROW($B$9))</x:f>
        <x:v>311</x:v>
      </x:c>
      <x:c r="C320" s="68" t="n">
        <x:f>IF(B320="","",'График платежей'!B320)</x:f>
        <x:v>54261</x:v>
      </x:c>
      <x:c r="D320" s="67" t="n">
        <x:f>IF(B320="","",C320-C319)</x:f>
        <x:v>30</x:v>
      </x:c>
      <x:c r="E320" s="69" t="n">
        <x:f>IF(B320="","",IF('График платежей'!$I$19="Факт / 365",'График платежей'!$I$12*D320/'График платежей'!$I$20,'График платежей'!$I$17))</x:f>
        <x:v>0.0061643835616438354</x:v>
      </x:c>
      <x:c r="F320" s="70" t="n">
        <x:f>IF(B320="","",F319/(1+E320))</x:f>
        <x:v>0.14411153822942135</x:v>
      </x:c>
    </x:row>
    <x:row r="321" ht="24" customHeight="1">
      <x:c r="B321" s="67" t="n">
        <x:f>IF('График платежей'!B321="","",ROW()-ROW($B$9))</x:f>
        <x:v>312</x:v>
      </x:c>
      <x:c r="C321" s="68" t="n">
        <x:f>IF(B321="","",'График платежей'!B321)</x:f>
        <x:v>54292</x:v>
      </x:c>
      <x:c r="D321" s="67" t="n">
        <x:f>IF(B321="","",C321-C320)</x:f>
        <x:v>31</x:v>
      </x:c>
      <x:c r="E321" s="69" t="n">
        <x:f>IF(B321="","",IF('График платежей'!$I$19="Факт / 365",'График платежей'!$I$12*D321/'График платежей'!$I$20,'График платежей'!$I$17))</x:f>
        <x:v>0.00636986301369863</x:v>
      </x:c>
      <x:c r="F321" s="70" t="n">
        <x:f>IF(B321="","",F320/(1+E321))</x:f>
        <x:v>0.14319937780913033</x:v>
      </x:c>
    </x:row>
    <x:row r="322" ht="24" customHeight="1">
      <x:c r="B322" s="67" t="n">
        <x:f>IF('График платежей'!B322="","",ROW()-ROW($B$9))</x:f>
        <x:v>313</x:v>
      </x:c>
      <x:c r="C322" s="68" t="n">
        <x:f>IF(B322="","",'График платежей'!B322)</x:f>
        <x:v>54323</x:v>
      </x:c>
      <x:c r="D322" s="67" t="n">
        <x:f>IF(B322="","",C322-C321)</x:f>
        <x:v>31</x:v>
      </x:c>
      <x:c r="E322" s="69" t="n">
        <x:f>IF(B322="","",IF('График платежей'!$I$19="Факт / 365",'График платежей'!$I$12*D322/'График платежей'!$I$20,'График платежей'!$I$17))</x:f>
        <x:v>0.00636986301369863</x:v>
      </x:c>
      <x:c r="F322" s="70" t="n">
        <x:f>IF(B322="","",F321/(1+E322))</x:f>
        <x:v>0.1422929909489759</x:v>
      </x:c>
    </x:row>
    <x:row r="323" ht="24" customHeight="1">
      <x:c r="B323" s="67" t="n">
        <x:f>IF('График платежей'!B323="","",ROW()-ROW($B$9))</x:f>
        <x:v>314</x:v>
      </x:c>
      <x:c r="C323" s="68" t="n">
        <x:f>IF(B323="","",'График платежей'!B323)</x:f>
        <x:v>54353</x:v>
      </x:c>
      <x:c r="D323" s="67" t="n">
        <x:f>IF(B323="","",C323-C322)</x:f>
        <x:v>30</x:v>
      </x:c>
      <x:c r="E323" s="69" t="n">
        <x:f>IF(B323="","",IF('График платежей'!$I$19="Факт / 365",'График платежей'!$I$12*D323/'График платежей'!$I$20,'График платежей'!$I$17))</x:f>
        <x:v>0.0061643835616438354</x:v>
      </x:c>
      <x:c r="F323" s="70" t="n">
        <x:f>IF(B323="","",F322/(1+E323))</x:f>
        <x:v>0.14142121632777727</x:v>
      </x:c>
    </x:row>
    <x:row r="324" ht="24" customHeight="1">
      <x:c r="B324" s="67" t="n">
        <x:f>IF('График платежей'!B324="","",ROW()-ROW($B$9))</x:f>
        <x:v>315</x:v>
      </x:c>
      <x:c r="C324" s="68" t="n">
        <x:f>IF(B324="","",'График платежей'!B324)</x:f>
        <x:v>54384</x:v>
      </x:c>
      <x:c r="D324" s="67" t="n">
        <x:f>IF(B324="","",C324-C323)</x:f>
        <x:v>31</x:v>
      </x:c>
      <x:c r="E324" s="69" t="n">
        <x:f>IF(B324="","",IF('График платежей'!$I$19="Факт / 365",'График платежей'!$I$12*D324/'График платежей'!$I$20,'График платежей'!$I$17))</x:f>
        <x:v>0.00636986301369863</x:v>
      </x:c>
      <x:c r="F324" s="70" t="n">
        <x:f>IF(B324="","",F323/(1+E324))</x:f>
        <x:v>0.14052608442016934</x:v>
      </x:c>
    </x:row>
    <x:row r="325" ht="24" customHeight="1">
      <x:c r="B325" s="67" t="n">
        <x:f>IF('График платежей'!B325="","",ROW()-ROW($B$9))</x:f>
        <x:v>316</x:v>
      </x:c>
      <x:c r="C325" s="68" t="n">
        <x:f>IF(B325="","",'График платежей'!B325)</x:f>
        <x:v>54414</x:v>
      </x:c>
      <x:c r="D325" s="67" t="n">
        <x:f>IF(B325="","",C325-C324)</x:f>
        <x:v>30</x:v>
      </x:c>
      <x:c r="E325" s="69" t="n">
        <x:f>IF(B325="","",IF('График платежей'!$I$19="Факт / 365",'График платежей'!$I$12*D325/'График платежей'!$I$20,'График платежей'!$I$17))</x:f>
        <x:v>0.0061643835616438354</x:v>
      </x:c>
      <x:c r="F325" s="70" t="n">
        <x:f>IF(B325="","",F324/(1+E325))</x:f>
        <x:v>0.13966513495809887</x:v>
      </x:c>
    </x:row>
    <x:row r="326" ht="24" customHeight="1">
      <x:c r="B326" s="67" t="n">
        <x:f>IF('График платежей'!B326="","",ROW()-ROW($B$9))</x:f>
        <x:v>317</x:v>
      </x:c>
      <x:c r="C326" s="68" t="n">
        <x:f>IF(B326="","",'График платежей'!B326)</x:f>
        <x:v>54445</x:v>
      </x:c>
      <x:c r="D326" s="67" t="n">
        <x:f>IF(B326="","",C326-C325)</x:f>
        <x:v>31</x:v>
      </x:c>
      <x:c r="E326" s="69" t="n">
        <x:f>IF(B326="","",IF('График платежей'!$I$19="Факт / 365",'График платежей'!$I$12*D326/'График платежей'!$I$20,'График платежей'!$I$17))</x:f>
        <x:v>0.00636986301369863</x:v>
      </x:c>
      <x:c r="F326" s="70" t="n">
        <x:f>IF(B326="","",F325/(1+E326))</x:f>
        <x:v>0.13878111824598405</x:v>
      </x:c>
    </x:row>
    <x:row r="327" ht="24" customHeight="1">
      <x:c r="B327" s="67" t="n">
        <x:f>IF('График платежей'!B327="","",ROW()-ROW($B$9))</x:f>
        <x:v>318</x:v>
      </x:c>
      <x:c r="C327" s="68" t="n">
        <x:f>IF(B327="","",'График платежей'!B327)</x:f>
        <x:v>54476</x:v>
      </x:c>
      <x:c r="D327" s="67" t="n">
        <x:f>IF(B327="","",C327-C326)</x:f>
        <x:v>31</x:v>
      </x:c>
      <x:c r="E327" s="69" t="n">
        <x:f>IF(B327="","",IF('График платежей'!$I$19="Факт / 365",'График платежей'!$I$12*D327/'График платежей'!$I$20,'График платежей'!$I$17))</x:f>
        <x:v>0.00636986301369863</x:v>
      </x:c>
      <x:c r="F327" s="70" t="n">
        <x:f>IF(B327="","",F326/(1+E327))</x:f>
        <x:v>0.13790269695714744</x:v>
      </x:c>
    </x:row>
    <x:row r="328" ht="24" customHeight="1">
      <x:c r="B328" s="67" t="n">
        <x:f>IF('График платежей'!B328="","",ROW()-ROW($B$9))</x:f>
        <x:v>319</x:v>
      </x:c>
      <x:c r="C328" s="68" t="n">
        <x:f>IF(B328="","",'График платежей'!B328)</x:f>
        <x:v>54504</x:v>
      </x:c>
      <x:c r="D328" s="67" t="n">
        <x:f>IF(B328="","",C328-C327)</x:f>
        <x:v>28</x:v>
      </x:c>
      <x:c r="E328" s="69" t="n">
        <x:f>IF(B328="","",IF('График платежей'!$I$19="Факт / 365",'График платежей'!$I$12*D328/'График платежей'!$I$20,'График платежей'!$I$17))</x:f>
        <x:v>0.005753424657534247</x:v>
      </x:c>
      <x:c r="F328" s="70" t="n">
        <x:f>IF(B328="","",F327/(1+E328))</x:f>
        <x:v>0.1371138229075424</x:v>
      </x:c>
    </x:row>
    <x:row r="329" ht="24" customHeight="1">
      <x:c r="B329" s="67" t="n">
        <x:f>IF('График платежей'!B329="","",ROW()-ROW($B$9))</x:f>
        <x:v>320</x:v>
      </x:c>
      <x:c r="C329" s="68" t="n">
        <x:f>IF(B329="","",'График платежей'!B329)</x:f>
        <x:v>54535</x:v>
      </x:c>
      <x:c r="D329" s="67" t="n">
        <x:f>IF(B329="","",C329-C328)</x:f>
        <x:v>31</x:v>
      </x:c>
      <x:c r="E329" s="69" t="n">
        <x:f>IF(B329="","",IF('График платежей'!$I$19="Факт / 365",'График платежей'!$I$12*D329/'График платежей'!$I$20,'График платежей'!$I$17))</x:f>
        <x:v>0.00636986301369863</x:v>
      </x:c>
      <x:c r="F329" s="70" t="n">
        <x:f>IF(B329="","",F328/(1+E329))</x:f>
        <x:v>0.1362459548390471</x:v>
      </x:c>
    </x:row>
    <x:row r="330" ht="24" customHeight="1">
      <x:c r="B330" s="67" t="n">
        <x:f>IF('График платежей'!B330="","",ROW()-ROW($B$9))</x:f>
        <x:v>321</x:v>
      </x:c>
      <x:c r="C330" s="68" t="n">
        <x:f>IF(B330="","",'График платежей'!B330)</x:f>
        <x:v>54565</x:v>
      </x:c>
      <x:c r="D330" s="67" t="n">
        <x:f>IF(B330="","",C330-C329)</x:f>
        <x:v>30</x:v>
      </x:c>
      <x:c r="E330" s="69" t="n">
        <x:f>IF(B330="","",IF('График платежей'!$I$19="Факт / 365",'График платежей'!$I$12*D330/'График платежей'!$I$20,'График платежей'!$I$17))</x:f>
        <x:v>0.0061643835616438354</x:v>
      </x:c>
      <x:c r="F330" s="70" t="n">
        <x:f>IF(B330="","",F329/(1+E330))</x:f>
        <x:v>0.13541122809054376</x:v>
      </x:c>
    </x:row>
    <x:row r="331" ht="24" customHeight="1">
      <x:c r="B331" s="67" t="n">
        <x:f>IF('График платежей'!B331="","",ROW()-ROW($B$9))</x:f>
        <x:v>322</x:v>
      </x:c>
      <x:c r="C331" s="68" t="n">
        <x:f>IF(B331="","",'График платежей'!B331)</x:f>
        <x:v>54596</x:v>
      </x:c>
      <x:c r="D331" s="67" t="n">
        <x:f>IF(B331="","",C331-C330)</x:f>
        <x:v>31</x:v>
      </x:c>
      <x:c r="E331" s="69" t="n">
        <x:f>IF(B331="","",IF('График платежей'!$I$19="Факт / 365",'График платежей'!$I$12*D331/'График платежей'!$I$20,'График платежей'!$I$17))</x:f>
        <x:v>0.00636986301369863</x:v>
      </x:c>
      <x:c r="F331" s="70" t="n">
        <x:f>IF(B331="","",F330/(1+E331))</x:f>
        <x:v>0.13455413667201654</x:v>
      </x:c>
    </x:row>
    <x:row r="332" ht="24" customHeight="1">
      <x:c r="B332" s="67" t="n">
        <x:f>IF('График платежей'!B332="","",ROW()-ROW($B$9))</x:f>
        <x:v>323</x:v>
      </x:c>
      <x:c r="C332" s="68" t="n">
        <x:f>IF(B332="","",'График платежей'!B332)</x:f>
        <x:v>54626</x:v>
      </x:c>
      <x:c r="D332" s="67" t="n">
        <x:f>IF(B332="","",C332-C331)</x:f>
        <x:v>30</x:v>
      </x:c>
      <x:c r="E332" s="69" t="n">
        <x:f>IF(B332="","",IF('График платежей'!$I$19="Факт / 365",'График платежей'!$I$12*D332/'График платежей'!$I$20,'График платежей'!$I$17))</x:f>
        <x:v>0.0061643835616438354</x:v>
      </x:c>
      <x:c r="F332" s="70" t="n">
        <x:f>IF(B332="","",F331/(1+E332))</x:f>
        <x:v>0.13372977504502664</x:v>
      </x:c>
    </x:row>
    <x:row r="333" ht="24" customHeight="1">
      <x:c r="B333" s="67" t="n">
        <x:f>IF('График платежей'!B333="","",ROW()-ROW($B$9))</x:f>
        <x:v>324</x:v>
      </x:c>
      <x:c r="C333" s="68" t="n">
        <x:f>IF(B333="","",'График платежей'!B333)</x:f>
        <x:v>54657</x:v>
      </x:c>
      <x:c r="D333" s="67" t="n">
        <x:f>IF(B333="","",C333-C332)</x:f>
        <x:v>31</x:v>
      </x:c>
      <x:c r="E333" s="69" t="n">
        <x:f>IF(B333="","",IF('График платежей'!$I$19="Факт / 365",'График платежей'!$I$12*D333/'График платежей'!$I$20,'График платежей'!$I$17))</x:f>
        <x:v>0.00636986301369863</x:v>
      </x:c>
      <x:c r="F333" s="70" t="n">
        <x:f>IF(B333="","",F332/(1+E333))</x:f>
        <x:v>0.13288332645868026</x:v>
      </x:c>
    </x:row>
    <x:row r="334" ht="24" customHeight="1">
      <x:c r="B334" s="67" t="n">
        <x:f>IF('График платежей'!B334="","",ROW()-ROW($B$9))</x:f>
        <x:v>325</x:v>
      </x:c>
      <x:c r="C334" s="68" t="n">
        <x:f>IF(B334="","",'График платежей'!B334)</x:f>
        <x:v>54688</x:v>
      </x:c>
      <x:c r="D334" s="67" t="n">
        <x:f>IF(B334="","",C334-C333)</x:f>
        <x:v>31</x:v>
      </x:c>
      <x:c r="E334" s="69" t="n">
        <x:f>IF(B334="","",IF('График платежей'!$I$19="Факт / 365",'График платежей'!$I$12*D334/'График платежей'!$I$20,'График платежей'!$I$17))</x:f>
        <x:v>0.00636986301369863</x:v>
      </x:c>
      <x:c r="F334" s="70" t="n">
        <x:f>IF(B334="","",F333/(1+E334))</x:f>
        <x:v>0.13204223550648145</x:v>
      </x:c>
    </x:row>
    <x:row r="335" ht="24" customHeight="1">
      <x:c r="B335" s="67" t="n">
        <x:f>IF('График платежей'!B335="","",ROW()-ROW($B$9))</x:f>
        <x:v>326</x:v>
      </x:c>
      <x:c r="C335" s="68" t="n">
        <x:f>IF(B335="","",'График платежей'!B335)</x:f>
        <x:v>54718</x:v>
      </x:c>
      <x:c r="D335" s="67" t="n">
        <x:f>IF(B335="","",C335-C334)</x:f>
        <x:v>30</x:v>
      </x:c>
      <x:c r="E335" s="69" t="n">
        <x:f>IF(B335="","",IF('График платежей'!$I$19="Факт / 365",'График платежей'!$I$12*D335/'График платежей'!$I$20,'График платежей'!$I$17))</x:f>
        <x:v>0.0061643835616438354</x:v>
      </x:c>
      <x:c r="F335" s="70" t="n">
        <x:f>IF(B335="","",F334/(1+E335))</x:f>
        <x:v>0.13123326333523683</x:v>
      </x:c>
    </x:row>
    <x:row r="336" ht="24" customHeight="1">
      <x:c r="B336" s="67" t="n">
        <x:f>IF('График платежей'!B336="","",ROW()-ROW($B$9))</x:f>
        <x:v>327</x:v>
      </x:c>
      <x:c r="C336" s="68" t="n">
        <x:f>IF(B336="","",'График платежей'!B336)</x:f>
        <x:v>54749</x:v>
      </x:c>
      <x:c r="D336" s="67" t="n">
        <x:f>IF(B336="","",C336-C335)</x:f>
        <x:v>31</x:v>
      </x:c>
      <x:c r="E336" s="69" t="n">
        <x:f>IF(B336="","",IF('График платежей'!$I$19="Факт / 365",'График платежей'!$I$12*D336/'График платежей'!$I$20,'График платежей'!$I$17))</x:f>
        <x:v>0.00636986301369863</x:v>
      </x:c>
      <x:c r="F336" s="70" t="n">
        <x:f>IF(B336="","",F335/(1+E336))</x:f>
        <x:v>0.13040261653130455</x:v>
      </x:c>
    </x:row>
    <x:row r="337" ht="24" customHeight="1">
      <x:c r="B337" s="67" t="n">
        <x:f>IF('График платежей'!B337="","",ROW()-ROW($B$9))</x:f>
        <x:v>328</x:v>
      </x:c>
      <x:c r="C337" s="68" t="n">
        <x:f>IF(B337="","",'График платежей'!B337)</x:f>
        <x:v>54779</x:v>
      </x:c>
      <x:c r="D337" s="67" t="n">
        <x:f>IF(B337="","",C337-C336)</x:f>
        <x:v>30</x:v>
      </x:c>
      <x:c r="E337" s="69" t="n">
        <x:f>IF(B337="","",IF('График платежей'!$I$19="Факт / 365",'График платежей'!$I$12*D337/'График платежей'!$I$20,'График платежей'!$I$17))</x:f>
        <x:v>0.0061643835616438354</x:v>
      </x:c>
      <x:c r="F337" s="70" t="n">
        <x:f>IF(B337="","",F336/(1+E337))</x:f>
        <x:v>0.12960368967713046</x:v>
      </x:c>
    </x:row>
    <x:row r="338" ht="24" customHeight="1">
      <x:c r="B338" s="67" t="n">
        <x:f>IF('График платежей'!B338="","",ROW()-ROW($B$9))</x:f>
        <x:v>329</x:v>
      </x:c>
      <x:c r="C338" s="68" t="n">
        <x:f>IF(B338="","",'График платежей'!B338)</x:f>
        <x:v>54810</x:v>
      </x:c>
      <x:c r="D338" s="67" t="n">
        <x:f>IF(B338="","",C338-C337)</x:f>
        <x:v>31</x:v>
      </x:c>
      <x:c r="E338" s="69" t="n">
        <x:f>IF(B338="","",IF('График платежей'!$I$19="Факт / 365",'График платежей'!$I$12*D338/'График платежей'!$I$20,'График платежей'!$I$17))</x:f>
        <x:v>0.00636986301369863</x:v>
      </x:c>
      <x:c r="F338" s="70" t="n">
        <x:f>IF(B338="","",F337/(1+E338))</x:f>
        <x:v>0.12878335733247837</x:v>
      </x:c>
    </x:row>
    <x:row r="339" ht="24" customHeight="1">
      <x:c r="B339" s="67" t="n">
        <x:f>IF('График платежей'!B339="","",ROW()-ROW($B$9))</x:f>
        <x:v>330</x:v>
      </x:c>
      <x:c r="C339" s="68" t="n">
        <x:f>IF(B339="","",'График платежей'!B339)</x:f>
        <x:v>54841</x:v>
      </x:c>
      <x:c r="D339" s="67" t="n">
        <x:f>IF(B339="","",C339-C338)</x:f>
        <x:v>31</x:v>
      </x:c>
      <x:c r="E339" s="69" t="n">
        <x:f>IF(B339="","",IF('График платежей'!$I$19="Факт / 365",'График платежей'!$I$12*D339/'График платежей'!$I$20,'График платежей'!$I$17))</x:f>
        <x:v>0.00636986301369863</x:v>
      </x:c>
      <x:c r="F339" s="70" t="n">
        <x:f>IF(B339="","",F338/(1+E339))</x:f>
        <x:v>0.12796821731805513</x:v>
      </x:c>
    </x:row>
    <x:row r="340" ht="24" customHeight="1">
      <x:c r="B340" s="67" t="n">
        <x:f>IF('График платежей'!B340="","",ROW()-ROW($B$9))</x:f>
        <x:v>331</x:v>
      </x:c>
      <x:c r="C340" s="68" t="n">
        <x:f>IF(B340="","",'График платежей'!B340)</x:f>
        <x:v>54869</x:v>
      </x:c>
      <x:c r="D340" s="67" t="n">
        <x:f>IF(B340="","",C340-C339)</x:f>
        <x:v>28</x:v>
      </x:c>
      <x:c r="E340" s="69" t="n">
        <x:f>IF(B340="","",IF('График платежей'!$I$19="Факт / 365",'График платежей'!$I$12*D340/'График платежей'!$I$20,'График платежей'!$I$17))</x:f>
        <x:v>0.005753424657534247</x:v>
      </x:c>
      <x:c r="F340" s="70" t="n">
        <x:f>IF(B340="","",F339/(1+E340))</x:f>
        <x:v>0.12723617357965167</x:v>
      </x:c>
    </x:row>
    <x:row r="341" ht="24" customHeight="1">
      <x:c r="B341" s="67" t="n">
        <x:f>IF('График платежей'!B341="","",ROW()-ROW($B$9))</x:f>
        <x:v>332</x:v>
      </x:c>
      <x:c r="C341" s="68" t="n">
        <x:f>IF(B341="","",'График платежей'!B341)</x:f>
        <x:v>54900</x:v>
      </x:c>
      <x:c r="D341" s="67" t="n">
        <x:f>IF(B341="","",C341-C340)</x:f>
        <x:v>31</x:v>
      </x:c>
      <x:c r="E341" s="69" t="n">
        <x:f>IF(B341="","",IF('График платежей'!$I$19="Факт / 365",'График платежей'!$I$12*D341/'График платежей'!$I$20,'График платежей'!$I$17))</x:f>
        <x:v>0.00636986301369863</x:v>
      </x:c>
      <x:c r="F341" s="70" t="n">
        <x:f>IF(B341="","",F340/(1+E341))</x:f>
        <x:v>0.1264308265339219</x:v>
      </x:c>
    </x:row>
    <x:row r="342" ht="24" customHeight="1">
      <x:c r="B342" s="67" t="n">
        <x:f>IF('График платежей'!B342="","",ROW()-ROW($B$9))</x:f>
        <x:v>333</x:v>
      </x:c>
      <x:c r="C342" s="68" t="n">
        <x:f>IF(B342="","",'График платежей'!B342)</x:f>
        <x:v>54930</x:v>
      </x:c>
      <x:c r="D342" s="67" t="n">
        <x:f>IF(B342="","",C342-C341)</x:f>
        <x:v>30</x:v>
      </x:c>
      <x:c r="E342" s="69" t="n">
        <x:f>IF(B342="","",IF('График платежей'!$I$19="Факт / 365",'График платежей'!$I$12*D342/'График платежей'!$I$20,'График платежей'!$I$17))</x:f>
        <x:v>0.0061643835616438354</x:v>
      </x:c>
      <x:c r="F342" s="70" t="n">
        <x:f>IF(B342="","",F341/(1+E342))</x:f>
        <x:v>0.1256562333148577</x:v>
      </x:c>
    </x:row>
    <x:row r="343" ht="24" customHeight="1">
      <x:c r="B343" s="67" t="n">
        <x:f>IF('График платежей'!B343="","",ROW()-ROW($B$9))</x:f>
        <x:v>334</x:v>
      </x:c>
      <x:c r="C343" s="68" t="n">
        <x:f>IF(B343="","",'График платежей'!B343)</x:f>
        <x:v>54954</x:v>
      </x:c>
      <x:c r="D343" s="67" t="n">
        <x:f>IF(B343="","",C343-C342)</x:f>
        <x:v>24</x:v>
      </x:c>
      <x:c r="E343" s="69" t="n">
        <x:f>IF(B343="","",IF('График платежей'!$I$19="Факт / 365",'График платежей'!$I$12*D343/'График платежей'!$I$20,'График платежей'!$I$17))</x:f>
        <x:v>0.004931506849315068</x:v>
      </x:c>
      <x:c r="F343" s="70" t="n">
        <x:f>IF(B343="","",F342/(1+E343))</x:f>
        <x:v>0.1250395996726365</x:v>
      </x:c>
    </x:row>
    <x:row r="344" ht="24" customHeight="1">
      <x:c r="B344" s="67" t="str">
        <x:f>IF('График платежей'!B344="","",ROW()-ROW($B$9))</x:f>
      </x:c>
      <x:c r="C344" s="68" t="str">
        <x:f>IF(B344="","",'График платежей'!B344)</x:f>
      </x:c>
      <x:c r="D344" s="67" t="str">
        <x:f>IF(B344="","",C344-C343)</x:f>
      </x:c>
      <x:c r="E344" s="69" t="str">
        <x:f>IF(B344="","",IF('График платежей'!$I$19="Факт / 365",'График платежей'!$I$12*D344/'График платежей'!$I$20,'График платежей'!$I$17))</x:f>
      </x:c>
      <x:c r="F344" s="70" t="str">
        <x:f>IF(B344="","",F343/(1+E344))</x:f>
      </x:c>
    </x:row>
    <x:row r="345" ht="24" customHeight="1">
      <x:c r="B345" s="67" t="str">
        <x:f>IF('График платежей'!B345="","",ROW()-ROW($B$9))</x:f>
      </x:c>
      <x:c r="C345" s="68" t="str">
        <x:f>IF(B345="","",'График платежей'!B345)</x:f>
      </x:c>
      <x:c r="D345" s="67" t="str">
        <x:f>IF(B345="","",C345-C344)</x:f>
      </x:c>
      <x:c r="E345" s="69" t="str">
        <x:f>IF(B345="","",IF('График платежей'!$I$19="Факт / 365",'График платежей'!$I$12*D345/'График платежей'!$I$20,'График платежей'!$I$17))</x:f>
      </x:c>
      <x:c r="F345" s="70" t="str">
        <x:f>IF(B345="","",F344/(1+E345))</x:f>
      </x:c>
    </x:row>
    <x:row r="346" ht="24" customHeight="1">
      <x:c r="B346" s="67" t="str">
        <x:f>IF('График платежей'!B346="","",ROW()-ROW($B$9))</x:f>
      </x:c>
      <x:c r="C346" s="68" t="str">
        <x:f>IF(B346="","",'График платежей'!B346)</x:f>
      </x:c>
      <x:c r="D346" s="67" t="str">
        <x:f>IF(B346="","",C346-C345)</x:f>
      </x:c>
      <x:c r="E346" s="69" t="str">
        <x:f>IF(B346="","",IF('График платежей'!$I$19="Факт / 365",'График платежей'!$I$12*D346/'График платежей'!$I$20,'График платежей'!$I$17))</x:f>
      </x:c>
      <x:c r="F346" s="70" t="str">
        <x:f>IF(B346="","",F345/(1+E346))</x:f>
      </x:c>
    </x:row>
    <x:row r="347" ht="24" customHeight="1">
      <x:c r="B347" s="67" t="str">
        <x:f>IF('График платежей'!B347="","",ROW()-ROW($B$9))</x:f>
      </x:c>
      <x:c r="C347" s="68" t="str">
        <x:f>IF(B347="","",'График платежей'!B347)</x:f>
      </x:c>
      <x:c r="D347" s="67" t="str">
        <x:f>IF(B347="","",C347-C346)</x:f>
      </x:c>
      <x:c r="E347" s="69" t="str">
        <x:f>IF(B347="","",IF('График платежей'!$I$19="Факт / 365",'График платежей'!$I$12*D347/'График платежей'!$I$20,'График платежей'!$I$17))</x:f>
      </x:c>
      <x:c r="F347" s="70" t="str">
        <x:f>IF(B347="","",F346/(1+E347))</x:f>
      </x:c>
    </x:row>
    <x:row r="348" ht="24" customHeight="1">
      <x:c r="B348" s="67" t="str">
        <x:f>IF('График платежей'!B348="","",ROW()-ROW($B$9))</x:f>
      </x:c>
      <x:c r="C348" s="68" t="str">
        <x:f>IF(B348="","",'График платежей'!B348)</x:f>
      </x:c>
      <x:c r="D348" s="67" t="str">
        <x:f>IF(B348="","",C348-C347)</x:f>
      </x:c>
      <x:c r="E348" s="69" t="str">
        <x:f>IF(B348="","",IF('График платежей'!$I$19="Факт / 365",'График платежей'!$I$12*D348/'График платежей'!$I$20,'График платежей'!$I$17))</x:f>
      </x:c>
      <x:c r="F348" s="70" t="str">
        <x:f>IF(B348="","",F347/(1+E348))</x:f>
      </x:c>
    </x:row>
    <x:row r="349" ht="24" customHeight="1">
      <x:c r="B349" s="67" t="str">
        <x:f>IF('График платежей'!B349="","",ROW()-ROW($B$9))</x:f>
      </x:c>
      <x:c r="C349" s="68" t="str">
        <x:f>IF(B349="","",'График платежей'!B349)</x:f>
      </x:c>
      <x:c r="D349" s="67" t="str">
        <x:f>IF(B349="","",C349-C348)</x:f>
      </x:c>
      <x:c r="E349" s="69" t="str">
        <x:f>IF(B349="","",IF('График платежей'!$I$19="Факт / 365",'График платежей'!$I$12*D349/'График платежей'!$I$20,'График платежей'!$I$17))</x:f>
      </x:c>
      <x:c r="F349" s="70" t="str">
        <x:f>IF(B349="","",F348/(1+E349))</x:f>
      </x:c>
    </x:row>
    <x:row r="350" ht="24" customHeight="1">
      <x:c r="B350" s="67" t="str">
        <x:f>IF('График платежей'!B350="","",ROW()-ROW($B$9))</x:f>
      </x:c>
      <x:c r="C350" s="68" t="str">
        <x:f>IF(B350="","",'График платежей'!B350)</x:f>
      </x:c>
      <x:c r="D350" s="67" t="str">
        <x:f>IF(B350="","",C350-C349)</x:f>
      </x:c>
      <x:c r="E350" s="69" t="str">
        <x:f>IF(B350="","",IF('График платежей'!$I$19="Факт / 365",'График платежей'!$I$12*D350/'График платежей'!$I$20,'График платежей'!$I$17))</x:f>
      </x:c>
      <x:c r="F350" s="70" t="str">
        <x:f>IF(B350="","",F349/(1+E350))</x:f>
      </x:c>
    </x:row>
    <x:row r="351" ht="24" customHeight="1">
      <x:c r="B351" s="67" t="str">
        <x:f>IF('График платежей'!B351="","",ROW()-ROW($B$9))</x:f>
      </x:c>
      <x:c r="C351" s="68" t="str">
        <x:f>IF(B351="","",'График платежей'!B351)</x:f>
      </x:c>
      <x:c r="D351" s="67" t="str">
        <x:f>IF(B351="","",C351-C350)</x:f>
      </x:c>
      <x:c r="E351" s="69" t="str">
        <x:f>IF(B351="","",IF('График платежей'!$I$19="Факт / 365",'График платежей'!$I$12*D351/'График платежей'!$I$20,'График платежей'!$I$17))</x:f>
      </x:c>
      <x:c r="F351" s="70" t="str">
        <x:f>IF(B351="","",F350/(1+E351))</x:f>
      </x:c>
    </x:row>
    <x:row r="352" ht="24" customHeight="1">
      <x:c r="B352" s="67" t="str">
        <x:f>IF('График платежей'!B352="","",ROW()-ROW($B$9))</x:f>
      </x:c>
      <x:c r="C352" s="68" t="str">
        <x:f>IF(B352="","",'График платежей'!B352)</x:f>
      </x:c>
      <x:c r="D352" s="67" t="str">
        <x:f>IF(B352="","",C352-C351)</x:f>
      </x:c>
      <x:c r="E352" s="69" t="str">
        <x:f>IF(B352="","",IF('График платежей'!$I$19="Факт / 365",'График платежей'!$I$12*D352/'График платежей'!$I$20,'График платежей'!$I$17))</x:f>
      </x:c>
      <x:c r="F352" s="70" t="str">
        <x:f>IF(B352="","",F351/(1+E352))</x:f>
      </x:c>
    </x:row>
    <x:row r="353" ht="24" customHeight="1">
      <x:c r="B353" s="67" t="str">
        <x:f>IF('График платежей'!B353="","",ROW()-ROW($B$9))</x:f>
      </x:c>
      <x:c r="C353" s="68" t="str">
        <x:f>IF(B353="","",'График платежей'!B353)</x:f>
      </x:c>
      <x:c r="D353" s="67" t="str">
        <x:f>IF(B353="","",C353-C352)</x:f>
      </x:c>
      <x:c r="E353" s="69" t="str">
        <x:f>IF(B353="","",IF('График платежей'!$I$19="Факт / 365",'График платежей'!$I$12*D353/'График платежей'!$I$20,'График платежей'!$I$17))</x:f>
      </x:c>
      <x:c r="F353" s="70" t="str">
        <x:f>IF(B353="","",F352/(1+E353))</x:f>
      </x:c>
    </x:row>
    <x:row r="354" ht="24" customHeight="1">
      <x:c r="B354" s="67" t="str">
        <x:f>IF('График платежей'!B354="","",ROW()-ROW($B$9))</x:f>
      </x:c>
      <x:c r="C354" s="68" t="str">
        <x:f>IF(B354="","",'График платежей'!B354)</x:f>
      </x:c>
      <x:c r="D354" s="67" t="str">
        <x:f>IF(B354="","",C354-C353)</x:f>
      </x:c>
      <x:c r="E354" s="69" t="str">
        <x:f>IF(B354="","",IF('График платежей'!$I$19="Факт / 365",'График платежей'!$I$12*D354/'График платежей'!$I$20,'График платежей'!$I$17))</x:f>
      </x:c>
      <x:c r="F354" s="70" t="str">
        <x:f>IF(B354="","",F353/(1+E354))</x:f>
      </x:c>
    </x:row>
    <x:row r="355" ht="24" customHeight="1">
      <x:c r="B355" s="67" t="str">
        <x:f>IF('График платежей'!B355="","",ROW()-ROW($B$9))</x:f>
      </x:c>
      <x:c r="C355" s="68" t="str">
        <x:f>IF(B355="","",'График платежей'!B355)</x:f>
      </x:c>
      <x:c r="D355" s="67" t="str">
        <x:f>IF(B355="","",C355-C354)</x:f>
      </x:c>
      <x:c r="E355" s="69" t="str">
        <x:f>IF(B355="","",IF('График платежей'!$I$19="Факт / 365",'График платежей'!$I$12*D355/'График платежей'!$I$20,'График платежей'!$I$17))</x:f>
      </x:c>
      <x:c r="F355" s="70" t="str">
        <x:f>IF(B355="","",F354/(1+E355))</x:f>
      </x:c>
    </x:row>
    <x:row r="356" ht="24" customHeight="1">
      <x:c r="B356" s="67" t="str">
        <x:f>IF('График платежей'!B356="","",ROW()-ROW($B$9))</x:f>
      </x:c>
      <x:c r="C356" s="68" t="str">
        <x:f>IF(B356="","",'График платежей'!B356)</x:f>
      </x:c>
      <x:c r="D356" s="67" t="str">
        <x:f>IF(B356="","",C356-C355)</x:f>
      </x:c>
      <x:c r="E356" s="69" t="str">
        <x:f>IF(B356="","",IF('График платежей'!$I$19="Факт / 365",'График платежей'!$I$12*D356/'График платежей'!$I$20,'График платежей'!$I$17))</x:f>
      </x:c>
      <x:c r="F356" s="70" t="str">
        <x:f>IF(B356="","",F355/(1+E356))</x:f>
      </x:c>
    </x:row>
    <x:row r="357" ht="24" customHeight="1">
      <x:c r="B357" s="67" t="str">
        <x:f>IF('График платежей'!B357="","",ROW()-ROW($B$9))</x:f>
      </x:c>
      <x:c r="C357" s="68" t="str">
        <x:f>IF(B357="","",'График платежей'!B357)</x:f>
      </x:c>
      <x:c r="D357" s="67" t="str">
        <x:f>IF(B357="","",C357-C356)</x:f>
      </x:c>
      <x:c r="E357" s="69" t="str">
        <x:f>IF(B357="","",IF('График платежей'!$I$19="Факт / 365",'График платежей'!$I$12*D357/'График платежей'!$I$20,'График платежей'!$I$17))</x:f>
      </x:c>
      <x:c r="F357" s="70" t="str">
        <x:f>IF(B357="","",F356/(1+E357))</x:f>
      </x:c>
    </x:row>
    <x:row r="358" ht="24" customHeight="1">
      <x:c r="B358" s="67" t="str">
        <x:f>IF('График платежей'!B358="","",ROW()-ROW($B$9))</x:f>
      </x:c>
      <x:c r="C358" s="68" t="str">
        <x:f>IF(B358="","",'График платежей'!B358)</x:f>
      </x:c>
      <x:c r="D358" s="67" t="str">
        <x:f>IF(B358="","",C358-C357)</x:f>
      </x:c>
      <x:c r="E358" s="69" t="str">
        <x:f>IF(B358="","",IF('График платежей'!$I$19="Факт / 365",'График платежей'!$I$12*D358/'График платежей'!$I$20,'График платежей'!$I$17))</x:f>
      </x:c>
      <x:c r="F358" s="70" t="str">
        <x:f>IF(B358="","",F357/(1+E358))</x:f>
      </x:c>
    </x:row>
    <x:row r="359" ht="24" customHeight="1">
      <x:c r="B359" s="67" t="str">
        <x:f>IF('График платежей'!B359="","",ROW()-ROW($B$9))</x:f>
      </x:c>
      <x:c r="C359" s="68" t="str">
        <x:f>IF(B359="","",'График платежей'!B359)</x:f>
      </x:c>
      <x:c r="D359" s="67" t="str">
        <x:f>IF(B359="","",C359-C358)</x:f>
      </x:c>
      <x:c r="E359" s="69" t="str">
        <x:f>IF(B359="","",IF('График платежей'!$I$19="Факт / 365",'График платежей'!$I$12*D359/'График платежей'!$I$20,'График платежей'!$I$17))</x:f>
      </x:c>
      <x:c r="F359" s="70" t="str">
        <x:f>IF(B359="","",F358/(1+E359))</x:f>
      </x:c>
    </x:row>
    <x:row r="360" ht="24" customHeight="1">
      <x:c r="B360" s="67" t="str">
        <x:f>IF('График платежей'!B360="","",ROW()-ROW($B$9))</x:f>
      </x:c>
      <x:c r="C360" s="68" t="str">
        <x:f>IF(B360="","",'График платежей'!B360)</x:f>
      </x:c>
      <x:c r="D360" s="67" t="str">
        <x:f>IF(B360="","",C360-C359)</x:f>
      </x:c>
      <x:c r="E360" s="69" t="str">
        <x:f>IF(B360="","",IF('График платежей'!$I$19="Факт / 365",'График платежей'!$I$12*D360/'График платежей'!$I$20,'График платежей'!$I$17))</x:f>
      </x:c>
      <x:c r="F360" s="70" t="str">
        <x:f>IF(B360="","",F359/(1+E360))</x:f>
      </x:c>
    </x:row>
    <x:row r="361" ht="24" customHeight="1">
      <x:c r="B361" s="67" t="str">
        <x:f>IF('График платежей'!B361="","",ROW()-ROW($B$9))</x:f>
      </x:c>
      <x:c r="C361" s="68" t="str">
        <x:f>IF(B361="","",'График платежей'!B361)</x:f>
      </x:c>
      <x:c r="D361" s="67" t="str">
        <x:f>IF(B361="","",C361-C360)</x:f>
      </x:c>
      <x:c r="E361" s="69" t="str">
        <x:f>IF(B361="","",IF('График платежей'!$I$19="Факт / 365",'График платежей'!$I$12*D361/'График платежей'!$I$20,'График платежей'!$I$17))</x:f>
      </x:c>
      <x:c r="F361" s="70" t="str">
        <x:f>IF(B361="","",F360/(1+E361))</x:f>
      </x:c>
    </x:row>
    <x:row r="362" ht="24" customHeight="1">
      <x:c r="B362" s="67" t="str">
        <x:f>IF('График платежей'!B362="","",ROW()-ROW($B$9))</x:f>
      </x:c>
      <x:c r="C362" s="68" t="str">
        <x:f>IF(B362="","",'График платежей'!B362)</x:f>
      </x:c>
      <x:c r="D362" s="67" t="str">
        <x:f>IF(B362="","",C362-C361)</x:f>
      </x:c>
      <x:c r="E362" s="69" t="str">
        <x:f>IF(B362="","",IF('График платежей'!$I$19="Факт / 365",'График платежей'!$I$12*D362/'График платежей'!$I$20,'График платежей'!$I$17))</x:f>
      </x:c>
      <x:c r="F362" s="70" t="str">
        <x:f>IF(B362="","",F361/(1+E362))</x:f>
      </x:c>
    </x:row>
    <x:row r="363" ht="24" customHeight="1">
      <x:c r="B363" s="67" t="str">
        <x:f>IF('График платежей'!B363="","",ROW()-ROW($B$9))</x:f>
      </x:c>
      <x:c r="C363" s="68" t="str">
        <x:f>IF(B363="","",'График платежей'!B363)</x:f>
      </x:c>
      <x:c r="D363" s="67" t="str">
        <x:f>IF(B363="","",C363-C362)</x:f>
      </x:c>
      <x:c r="E363" s="69" t="str">
        <x:f>IF(B363="","",IF('График платежей'!$I$19="Факт / 365",'График платежей'!$I$12*D363/'График платежей'!$I$20,'График платежей'!$I$17))</x:f>
      </x:c>
      <x:c r="F363" s="70" t="str">
        <x:f>IF(B363="","",F362/(1+E363))</x:f>
      </x:c>
    </x:row>
    <x:row r="364" ht="24" customHeight="1">
      <x:c r="B364" s="67" t="str">
        <x:f>IF('График платежей'!B364="","",ROW()-ROW($B$9))</x:f>
      </x:c>
      <x:c r="C364" s="68" t="str">
        <x:f>IF(B364="","",'График платежей'!B364)</x:f>
      </x:c>
      <x:c r="D364" s="67" t="str">
        <x:f>IF(B364="","",C364-C363)</x:f>
      </x:c>
      <x:c r="E364" s="69" t="str">
        <x:f>IF(B364="","",IF('График платежей'!$I$19="Факт / 365",'График платежей'!$I$12*D364/'График платежей'!$I$20,'График платежей'!$I$17))</x:f>
      </x:c>
      <x:c r="F364" s="70" t="str">
        <x:f>IF(B364="","",F363/(1+E364))</x:f>
      </x:c>
    </x:row>
    <x:row r="365" ht="24" customHeight="1">
      <x:c r="B365" s="67" t="str">
        <x:f>IF('График платежей'!B365="","",ROW()-ROW($B$9))</x:f>
      </x:c>
      <x:c r="C365" s="68" t="str">
        <x:f>IF(B365="","",'График платежей'!B365)</x:f>
      </x:c>
      <x:c r="D365" s="67" t="str">
        <x:f>IF(B365="","",C365-C364)</x:f>
      </x:c>
      <x:c r="E365" s="69" t="str">
        <x:f>IF(B365="","",IF('График платежей'!$I$19="Факт / 365",'График платежей'!$I$12*D365/'График платежей'!$I$20,'График платежей'!$I$17))</x:f>
      </x:c>
      <x:c r="F365" s="70" t="str">
        <x:f>IF(B365="","",F364/(1+E365))</x:f>
      </x:c>
    </x:row>
    <x:row r="366" ht="24" customHeight="1">
      <x:c r="B366" s="67" t="str">
        <x:f>IF('График платежей'!B366="","",ROW()-ROW($B$9))</x:f>
      </x:c>
      <x:c r="C366" s="68" t="str">
        <x:f>IF(B366="","",'График платежей'!B366)</x:f>
      </x:c>
      <x:c r="D366" s="67" t="str">
        <x:f>IF(B366="","",C366-C365)</x:f>
      </x:c>
      <x:c r="E366" s="69" t="str">
        <x:f>IF(B366="","",IF('График платежей'!$I$19="Факт / 365",'График платежей'!$I$12*D366/'График платежей'!$I$20,'График платежей'!$I$17))</x:f>
      </x:c>
      <x:c r="F366" s="70" t="str">
        <x:f>IF(B366="","",F365/(1+E366))</x:f>
      </x:c>
    </x:row>
    <x:row r="367" ht="24" customHeight="1">
      <x:c r="B367" s="67" t="str">
        <x:f>IF('График платежей'!B367="","",ROW()-ROW($B$9))</x:f>
      </x:c>
      <x:c r="C367" s="68" t="str">
        <x:f>IF(B367="","",'График платежей'!B367)</x:f>
      </x:c>
      <x:c r="D367" s="67" t="str">
        <x:f>IF(B367="","",C367-C366)</x:f>
      </x:c>
      <x:c r="E367" s="69" t="str">
        <x:f>IF(B367="","",IF('График платежей'!$I$19="Факт / 365",'График платежей'!$I$12*D367/'График платежей'!$I$20,'График платежей'!$I$17))</x:f>
      </x:c>
      <x:c r="F367" s="70" t="str">
        <x:f>IF(B367="","",F366/(1+E367))</x:f>
      </x:c>
    </x:row>
    <x:row r="368" ht="24" customHeight="1">
      <x:c r="B368" s="67" t="str">
        <x:f>IF('График платежей'!B368="","",ROW()-ROW($B$9))</x:f>
      </x:c>
      <x:c r="C368" s="68" t="str">
        <x:f>IF(B368="","",'График платежей'!B368)</x:f>
      </x:c>
      <x:c r="D368" s="67" t="str">
        <x:f>IF(B368="","",C368-C367)</x:f>
      </x:c>
      <x:c r="E368" s="69" t="str">
        <x:f>IF(B368="","",IF('График платежей'!$I$19="Факт / 365",'График платежей'!$I$12*D368/'График платежей'!$I$20,'График платежей'!$I$17))</x:f>
      </x:c>
      <x:c r="F368" s="70" t="str">
        <x:f>IF(B368="","",F367/(1+E368))</x:f>
      </x:c>
    </x:row>
    <x:row r="369" ht="24" customHeight="1">
      <x:c r="B369" s="67" t="str">
        <x:f>IF('График платежей'!B369="","",ROW()-ROW($B$9))</x:f>
      </x:c>
      <x:c r="C369" s="68" t="str">
        <x:f>IF(B369="","",'График платежей'!B369)</x:f>
      </x:c>
      <x:c r="D369" s="67" t="str">
        <x:f>IF(B369="","",C369-C368)</x:f>
      </x:c>
      <x:c r="E369" s="69" t="str">
        <x:f>IF(B369="","",IF('График платежей'!$I$19="Факт / 365",'График платежей'!$I$12*D369/'График платежей'!$I$20,'График платежей'!$I$17))</x:f>
      </x:c>
      <x:c r="F369" s="70" t="str">
        <x:f>IF(B369="","",F368/(1+E369))</x:f>
      </x:c>
    </x:row>
    <x:row r="370" ht="24" customHeight="1">
      <x:c r="B370" s="67" t="str">
        <x:f>IF('График платежей'!B370="","",ROW()-ROW($B$9))</x:f>
      </x:c>
      <x:c r="C370" s="68" t="str">
        <x:f>IF(B370="","",'График платежей'!B370)</x:f>
      </x:c>
      <x:c r="D370" s="67" t="str">
        <x:f>IF(B370="","",C370-C369)</x:f>
      </x:c>
      <x:c r="E370" s="69" t="str">
        <x:f>IF(B370="","",IF('График платежей'!$I$19="Факт / 365",'График платежей'!$I$12*D370/'График платежей'!$I$20,'График платежей'!$I$17))</x:f>
      </x:c>
      <x:c r="F370" s="70" t="str">
        <x:f>IF(B370="","",F369/(1+E370))</x:f>
      </x:c>
    </x:row>
    <x:row r="371" ht="24" customHeight="1">
      <x:c r="B371" s="67" t="str">
        <x:f>IF('График платежей'!B371="","",ROW()-ROW($B$9))</x:f>
      </x:c>
      <x:c r="C371" s="68" t="str">
        <x:f>IF(B371="","",'График платежей'!B371)</x:f>
      </x:c>
      <x:c r="D371" s="67" t="str">
        <x:f>IF(B371="","",C371-C370)</x:f>
      </x:c>
      <x:c r="E371" s="69" t="str">
        <x:f>IF(B371="","",IF('График платежей'!$I$19="Факт / 365",'График платежей'!$I$12*D371/'График платежей'!$I$20,'График платежей'!$I$17))</x:f>
      </x:c>
      <x:c r="F371" s="70" t="str">
        <x:f>IF(B371="","",F370/(1+E371))</x:f>
      </x:c>
    </x:row>
    <x:row r="372" ht="24" customHeight="1">
      <x:c r="B372" s="67" t="str">
        <x:f>IF('График платежей'!B372="","",ROW()-ROW($B$9))</x:f>
      </x:c>
      <x:c r="C372" s="68" t="str">
        <x:f>IF(B372="","",'График платежей'!B372)</x:f>
      </x:c>
      <x:c r="D372" s="67" t="str">
        <x:f>IF(B372="","",C372-C371)</x:f>
      </x:c>
      <x:c r="E372" s="69" t="str">
        <x:f>IF(B372="","",IF('График платежей'!$I$19="Факт / 365",'График платежей'!$I$12*D372/'График платежей'!$I$20,'График платежей'!$I$17))</x:f>
      </x:c>
      <x:c r="F372" s="70" t="str">
        <x:f>IF(B372="","",F371/(1+E372))</x:f>
      </x:c>
    </x:row>
    <x:row r="373" ht="24" customHeight="1">
      <x:c r="B373" s="67" t="str">
        <x:f>IF('График платежей'!B373="","",ROW()-ROW($B$9))</x:f>
      </x:c>
      <x:c r="C373" s="68" t="str">
        <x:f>IF(B373="","",'График платежей'!B373)</x:f>
      </x:c>
      <x:c r="D373" s="67" t="str">
        <x:f>IF(B373="","",C373-C372)</x:f>
      </x:c>
      <x:c r="E373" s="69" t="str">
        <x:f>IF(B373="","",IF('График платежей'!$I$19="Факт / 365",'График платежей'!$I$12*D373/'График платежей'!$I$20,'График платежей'!$I$17))</x:f>
      </x:c>
      <x:c r="F373" s="70" t="str">
        <x:f>IF(B373="","",F372/(1+E373))</x:f>
      </x:c>
    </x:row>
    <x:row r="374" ht="24" customHeight="1">
      <x:c r="B374" s="67" t="str">
        <x:f>IF('График платежей'!B374="","",ROW()-ROW($B$9))</x:f>
      </x:c>
      <x:c r="C374" s="68" t="str">
        <x:f>IF(B374="","",'График платежей'!B374)</x:f>
      </x:c>
      <x:c r="D374" s="67" t="str">
        <x:f>IF(B374="","",C374-C373)</x:f>
      </x:c>
      <x:c r="E374" s="69" t="str">
        <x:f>IF(B374="","",IF('График платежей'!$I$19="Факт / 365",'График платежей'!$I$12*D374/'График платежей'!$I$20,'График платежей'!$I$17))</x:f>
      </x:c>
      <x:c r="F374" s="70" t="str">
        <x:f>IF(B374="","",F373/(1+E374))</x:f>
      </x:c>
    </x:row>
    <x:row r="375" ht="24" customHeight="1">
      <x:c r="B375" s="67" t="str">
        <x:f>IF('График платежей'!B375="","",ROW()-ROW($B$9))</x:f>
      </x:c>
      <x:c r="C375" s="68" t="str">
        <x:f>IF(B375="","",'График платежей'!B375)</x:f>
      </x:c>
      <x:c r="D375" s="67" t="str">
        <x:f>IF(B375="","",C375-C374)</x:f>
      </x:c>
      <x:c r="E375" s="69" t="str">
        <x:f>IF(B375="","",IF('График платежей'!$I$19="Факт / 365",'График платежей'!$I$12*D375/'График платежей'!$I$20,'График платежей'!$I$17))</x:f>
      </x:c>
      <x:c r="F375" s="70" t="str">
        <x:f>IF(B375="","",F374/(1+E375))</x:f>
      </x:c>
    </x:row>
    <x:row r="376" ht="24" customHeight="1">
      <x:c r="B376" s="67" t="str">
        <x:f>IF('График платежей'!B376="","",ROW()-ROW($B$9))</x:f>
      </x:c>
      <x:c r="C376" s="68" t="str">
        <x:f>IF(B376="","",'График платежей'!B376)</x:f>
      </x:c>
      <x:c r="D376" s="67" t="str">
        <x:f>IF(B376="","",C376-C375)</x:f>
      </x:c>
      <x:c r="E376" s="69" t="str">
        <x:f>IF(B376="","",IF('График платежей'!$I$19="Факт / 365",'График платежей'!$I$12*D376/'График платежей'!$I$20,'График платежей'!$I$17))</x:f>
      </x:c>
      <x:c r="F376" s="70" t="str">
        <x:f>IF(B376="","",F375/(1+E376))</x:f>
      </x:c>
    </x:row>
    <x:row r="377" ht="24" customHeight="1">
      <x:c r="B377" s="67" t="str">
        <x:f>IF('График платежей'!B377="","",ROW()-ROW($B$9))</x:f>
      </x:c>
      <x:c r="C377" s="68" t="str">
        <x:f>IF(B377="","",'График платежей'!B377)</x:f>
      </x:c>
      <x:c r="D377" s="67" t="str">
        <x:f>IF(B377="","",C377-C376)</x:f>
      </x:c>
      <x:c r="E377" s="69" t="str">
        <x:f>IF(B377="","",IF('График платежей'!$I$19="Факт / 365",'График платежей'!$I$12*D377/'График платежей'!$I$20,'График платежей'!$I$17))</x:f>
      </x:c>
      <x:c r="F377" s="70" t="str">
        <x:f>IF(B377="","",F376/(1+E377))</x:f>
      </x:c>
    </x:row>
    <x:row r="378" ht="24" customHeight="1">
      <x:c r="B378" s="67" t="str">
        <x:f>IF('График платежей'!B378="","",ROW()-ROW($B$9))</x:f>
      </x:c>
      <x:c r="C378" s="68" t="str">
        <x:f>IF(B378="","",'График платежей'!B378)</x:f>
      </x:c>
      <x:c r="D378" s="67" t="str">
        <x:f>IF(B378="","",C378-C377)</x:f>
      </x:c>
      <x:c r="E378" s="69" t="str">
        <x:f>IF(B378="","",IF('График платежей'!$I$19="Факт / 365",'График платежей'!$I$12*D378/'График платежей'!$I$20,'График платежей'!$I$17))</x:f>
      </x:c>
      <x:c r="F378" s="70" t="str">
        <x:f>IF(B378="","",F377/(1+E378))</x:f>
      </x:c>
    </x:row>
    <x:row r="379" ht="24" customHeight="1">
      <x:c r="B379" s="67" t="str">
        <x:f>IF('График платежей'!B379="","",ROW()-ROW($B$9))</x:f>
      </x:c>
      <x:c r="C379" s="68" t="str">
        <x:f>IF(B379="","",'График платежей'!B379)</x:f>
      </x:c>
      <x:c r="D379" s="67" t="str">
        <x:f>IF(B379="","",C379-C378)</x:f>
      </x:c>
      <x:c r="E379" s="69" t="str">
        <x:f>IF(B379="","",IF('График платежей'!$I$19="Факт / 365",'График платежей'!$I$12*D379/'График платежей'!$I$20,'График платежей'!$I$17))</x:f>
      </x:c>
      <x:c r="F379" s="70" t="str">
        <x:f>IF(B379="","",F378/(1+E379))</x:f>
      </x:c>
    </x:row>
    <x:row r="380" ht="24" customHeight="1">
      <x:c r="B380" s="67" t="str">
        <x:f>IF('График платежей'!B380="","",ROW()-ROW($B$9))</x:f>
      </x:c>
      <x:c r="C380" s="68" t="str">
        <x:f>IF(B380="","",'График платежей'!B380)</x:f>
      </x:c>
      <x:c r="D380" s="67" t="str">
        <x:f>IF(B380="","",C380-C379)</x:f>
      </x:c>
      <x:c r="E380" s="69" t="str">
        <x:f>IF(B380="","",IF('График платежей'!$I$19="Факт / 365",'График платежей'!$I$12*D380/'График платежей'!$I$20,'График платежей'!$I$17))</x:f>
      </x:c>
      <x:c r="F380" s="70" t="str">
        <x:f>IF(B380="","",F379/(1+E380))</x:f>
      </x:c>
    </x:row>
    <x:row r="381" ht="24" customHeight="1">
      <x:c r="B381" s="67" t="str">
        <x:f>IF('График платежей'!B381="","",ROW()-ROW($B$9))</x:f>
      </x:c>
      <x:c r="C381" s="68" t="str">
        <x:f>IF(B381="","",'График платежей'!B381)</x:f>
      </x:c>
      <x:c r="D381" s="67" t="str">
        <x:f>IF(B381="","",C381-C380)</x:f>
      </x:c>
      <x:c r="E381" s="69" t="str">
        <x:f>IF(B381="","",IF('График платежей'!$I$19="Факт / 365",'График платежей'!$I$12*D381/'График платежей'!$I$20,'График платежей'!$I$17))</x:f>
      </x:c>
      <x:c r="F381" s="70" t="str">
        <x:f>IF(B381="","",F380/(1+E381))</x:f>
      </x:c>
    </x:row>
    <x:row r="382" ht="24" customHeight="1">
      <x:c r="B382" s="67" t="str">
        <x:f>IF('График платежей'!B382="","",ROW()-ROW($B$9))</x:f>
      </x:c>
      <x:c r="C382" s="68" t="str">
        <x:f>IF(B382="","",'График платежей'!B382)</x:f>
      </x:c>
      <x:c r="D382" s="67" t="str">
        <x:f>IF(B382="","",C382-C381)</x:f>
      </x:c>
      <x:c r="E382" s="69" t="str">
        <x:f>IF(B382="","",IF('График платежей'!$I$19="Факт / 365",'График платежей'!$I$12*D382/'График платежей'!$I$20,'График платежей'!$I$17))</x:f>
      </x:c>
      <x:c r="F382" s="70" t="str">
        <x:f>IF(B382="","",F381/(1+E382))</x:f>
      </x:c>
    </x:row>
    <x:row r="383" ht="24" customHeight="1">
      <x:c r="B383" s="67" t="str">
        <x:f>IF('График платежей'!B383="","",ROW()-ROW($B$9))</x:f>
      </x:c>
      <x:c r="C383" s="68" t="str">
        <x:f>IF(B383="","",'График платежей'!B383)</x:f>
      </x:c>
      <x:c r="D383" s="67" t="str">
        <x:f>IF(B383="","",C383-C382)</x:f>
      </x:c>
      <x:c r="E383" s="69" t="str">
        <x:f>IF(B383="","",IF('График платежей'!$I$19="Факт / 365",'График платежей'!$I$12*D383/'График платежей'!$I$20,'График платежей'!$I$17))</x:f>
      </x:c>
      <x:c r="F383" s="70" t="str">
        <x:f>IF(B383="","",F382/(1+E383))</x:f>
      </x:c>
    </x:row>
    <x:row r="384" ht="24" customHeight="1">
      <x:c r="B384" s="67" t="str">
        <x:f>IF('График платежей'!B384="","",ROW()-ROW($B$9))</x:f>
      </x:c>
      <x:c r="C384" s="68" t="str">
        <x:f>IF(B384="","",'График платежей'!B384)</x:f>
      </x:c>
      <x:c r="D384" s="67" t="str">
        <x:f>IF(B384="","",C384-C383)</x:f>
      </x:c>
      <x:c r="E384" s="69" t="str">
        <x:f>IF(B384="","",IF('График платежей'!$I$19="Факт / 365",'График платежей'!$I$12*D384/'График платежей'!$I$20,'График платежей'!$I$17))</x:f>
      </x:c>
      <x:c r="F384" s="70" t="str">
        <x:f>IF(B384="","",F383/(1+E384))</x:f>
      </x:c>
    </x:row>
    <x:row r="385" ht="24" customHeight="1">
      <x:c r="B385" s="67" t="str">
        <x:f>IF('График платежей'!B385="","",ROW()-ROW($B$9))</x:f>
      </x:c>
      <x:c r="C385" s="68" t="str">
        <x:f>IF(B385="","",'График платежей'!B385)</x:f>
      </x:c>
      <x:c r="D385" s="67" t="str">
        <x:f>IF(B385="","",C385-C384)</x:f>
      </x:c>
      <x:c r="E385" s="69" t="str">
        <x:f>IF(B385="","",IF('График платежей'!$I$19="Факт / 365",'График платежей'!$I$12*D385/'График платежей'!$I$20,'График платежей'!$I$17))</x:f>
      </x:c>
      <x:c r="F385" s="70" t="str">
        <x:f>IF(B385="","",F384/(1+E385))</x:f>
      </x:c>
    </x:row>
    <x:row r="386" ht="24" customHeight="1">
      <x:c r="B386" s="67" t="str">
        <x:f>IF('График платежей'!B386="","",ROW()-ROW($B$9))</x:f>
      </x:c>
      <x:c r="C386" s="68" t="str">
        <x:f>IF(B386="","",'График платежей'!B386)</x:f>
      </x:c>
      <x:c r="D386" s="67" t="str">
        <x:f>IF(B386="","",C386-C385)</x:f>
      </x:c>
      <x:c r="E386" s="69" t="str">
        <x:f>IF(B386="","",IF('График платежей'!$I$19="Факт / 365",'График платежей'!$I$12*D386/'График платежей'!$I$20,'График платежей'!$I$17))</x:f>
      </x:c>
      <x:c r="F386" s="70" t="str">
        <x:f>IF(B386="","",F385/(1+E386))</x:f>
      </x:c>
    </x:row>
    <x:row r="387" ht="24" customHeight="1">
      <x:c r="B387" s="67" t="str">
        <x:f>IF('График платежей'!B387="","",ROW()-ROW($B$9))</x:f>
      </x:c>
      <x:c r="C387" s="68" t="str">
        <x:f>IF(B387="","",'График платежей'!B387)</x:f>
      </x:c>
      <x:c r="D387" s="67" t="str">
        <x:f>IF(B387="","",C387-C386)</x:f>
      </x:c>
      <x:c r="E387" s="69" t="str">
        <x:f>IF(B387="","",IF('График платежей'!$I$19="Факт / 365",'График платежей'!$I$12*D387/'График платежей'!$I$20,'График платежей'!$I$17))</x:f>
      </x:c>
      <x:c r="F387" s="70" t="str">
        <x:f>IF(B387="","",F386/(1+E387))</x:f>
      </x:c>
    </x:row>
    <x:row r="388" ht="24" customHeight="1">
      <x:c r="B388" s="67" t="str">
        <x:f>IF('График платежей'!B388="","",ROW()-ROW($B$9))</x:f>
      </x:c>
      <x:c r="C388" s="68" t="str">
        <x:f>IF(B388="","",'График платежей'!B388)</x:f>
      </x:c>
      <x:c r="D388" s="67" t="str">
        <x:f>IF(B388="","",C388-C387)</x:f>
      </x:c>
      <x:c r="E388" s="69" t="str">
        <x:f>IF(B388="","",IF('График платежей'!$I$19="Факт / 365",'График платежей'!$I$12*D388/'График платежей'!$I$20,'График платежей'!$I$17))</x:f>
      </x:c>
      <x:c r="F388" s="70" t="str">
        <x:f>IF(B388="","",F387/(1+E388))</x:f>
      </x:c>
    </x:row>
    <x:row r="389" ht="24" customHeight="1">
      <x:c r="B389" s="67" t="str">
        <x:f>IF('График платежей'!B389="","",ROW()-ROW($B$9))</x:f>
      </x:c>
      <x:c r="C389" s="68" t="str">
        <x:f>IF(B389="","",'График платежей'!B389)</x:f>
      </x:c>
      <x:c r="D389" s="67" t="str">
        <x:f>IF(B389="","",C389-C388)</x:f>
      </x:c>
      <x:c r="E389" s="69" t="str">
        <x:f>IF(B389="","",IF('График платежей'!$I$19="Факт / 365",'График платежей'!$I$12*D389/'График платежей'!$I$20,'График платежей'!$I$17))</x:f>
      </x:c>
      <x:c r="F389" s="70" t="str">
        <x:f>IF(B389="","",F388/(1+E389))</x:f>
      </x:c>
    </x:row>
    <x:row r="390" ht="24" customHeight="1">
      <x:c r="B390" s="67" t="str">
        <x:f>IF('График платежей'!B390="","",ROW()-ROW($B$9))</x:f>
      </x:c>
      <x:c r="C390" s="68" t="str">
        <x:f>IF(B390="","",'График платежей'!B390)</x:f>
      </x:c>
      <x:c r="D390" s="67" t="str">
        <x:f>IF(B390="","",C390-C389)</x:f>
      </x:c>
      <x:c r="E390" s="69" t="str">
        <x:f>IF(B390="","",IF('График платежей'!$I$19="Факт / 365",'График платежей'!$I$12*D390/'График платежей'!$I$20,'График платежей'!$I$17))</x:f>
      </x:c>
      <x:c r="F390" s="70" t="str">
        <x:f>IF(B390="","",F389/(1+E390))</x:f>
      </x:c>
    </x:row>
    <x:row r="391" ht="24" customHeight="1">
      <x:c r="B391" s="67" t="str">
        <x:f>IF('График платежей'!B391="","",ROW()-ROW($B$9))</x:f>
      </x:c>
      <x:c r="C391" s="68" t="str">
        <x:f>IF(B391="","",'График платежей'!B391)</x:f>
      </x:c>
      <x:c r="D391" s="67" t="str">
        <x:f>IF(B391="","",C391-C390)</x:f>
      </x:c>
      <x:c r="E391" s="69" t="str">
        <x:f>IF(B391="","",IF('График платежей'!$I$19="Факт / 365",'График платежей'!$I$12*D391/'График платежей'!$I$20,'График платежей'!$I$17))</x:f>
      </x:c>
      <x:c r="F391" s="70" t="str">
        <x:f>IF(B391="","",F390/(1+E391))</x:f>
      </x:c>
    </x:row>
    <x:row r="392" ht="24" customHeight="1">
      <x:c r="B392" s="67" t="str">
        <x:f>IF('График платежей'!B392="","",ROW()-ROW($B$9))</x:f>
      </x:c>
      <x:c r="C392" s="68" t="str">
        <x:f>IF(B392="","",'График платежей'!B392)</x:f>
      </x:c>
      <x:c r="D392" s="67" t="str">
        <x:f>IF(B392="","",C392-C391)</x:f>
      </x:c>
      <x:c r="E392" s="69" t="str">
        <x:f>IF(B392="","",IF('График платежей'!$I$19="Факт / 365",'График платежей'!$I$12*D392/'График платежей'!$I$20,'График платежей'!$I$17))</x:f>
      </x:c>
      <x:c r="F392" s="70" t="str">
        <x:f>IF(B392="","",F391/(1+E392))</x:f>
      </x:c>
    </x:row>
    <x:row r="393" ht="24" customHeight="1">
      <x:c r="B393" s="67" t="str">
        <x:f>IF('График платежей'!B393="","",ROW()-ROW($B$9))</x:f>
      </x:c>
      <x:c r="C393" s="68" t="str">
        <x:f>IF(B393="","",'График платежей'!B393)</x:f>
      </x:c>
      <x:c r="D393" s="67" t="str">
        <x:f>IF(B393="","",C393-C392)</x:f>
      </x:c>
      <x:c r="E393" s="69" t="str">
        <x:f>IF(B393="","",IF('График платежей'!$I$19="Факт / 365",'График платежей'!$I$12*D393/'График платежей'!$I$20,'График платежей'!$I$17))</x:f>
      </x:c>
      <x:c r="F393" s="70" t="str">
        <x:f>IF(B393="","",F392/(1+E393))</x:f>
      </x:c>
    </x:row>
    <x:row r="394" ht="24" customHeight="1">
      <x:c r="B394" s="67" t="str">
        <x:f>IF('График платежей'!B394="","",ROW()-ROW($B$9))</x:f>
      </x:c>
      <x:c r="C394" s="68" t="str">
        <x:f>IF(B394="","",'График платежей'!B394)</x:f>
      </x:c>
      <x:c r="D394" s="67" t="str">
        <x:f>IF(B394="","",C394-C393)</x:f>
      </x:c>
      <x:c r="E394" s="69" t="str">
        <x:f>IF(B394="","",IF('График платежей'!$I$19="Факт / 365",'График платежей'!$I$12*D394/'График платежей'!$I$20,'График платежей'!$I$17))</x:f>
      </x:c>
      <x:c r="F394" s="70" t="str">
        <x:f>IF(B394="","",F393/(1+E394))</x:f>
      </x:c>
    </x:row>
    <x:row r="395" ht="24" customHeight="1">
      <x:c r="B395" s="67" t="str">
        <x:f>IF('График платежей'!B395="","",ROW()-ROW($B$9))</x:f>
      </x:c>
      <x:c r="C395" s="68" t="str">
        <x:f>IF(B395="","",'График платежей'!B395)</x:f>
      </x:c>
      <x:c r="D395" s="67" t="str">
        <x:f>IF(B395="","",C395-C394)</x:f>
      </x:c>
      <x:c r="E395" s="69" t="str">
        <x:f>IF(B395="","",IF('График платежей'!$I$19="Факт / 365",'График платежей'!$I$12*D395/'График платежей'!$I$20,'График платежей'!$I$17))</x:f>
      </x:c>
      <x:c r="F395" s="70" t="str">
        <x:f>IF(B395="","",F394/(1+E395))</x:f>
      </x:c>
    </x:row>
    <x:row r="396" ht="24" customHeight="1">
      <x:c r="B396" s="67" t="str">
        <x:f>IF('График платежей'!B396="","",ROW()-ROW($B$9))</x:f>
      </x:c>
      <x:c r="C396" s="68" t="str">
        <x:f>IF(B396="","",'График платежей'!B396)</x:f>
      </x:c>
      <x:c r="D396" s="67" t="str">
        <x:f>IF(B396="","",C396-C395)</x:f>
      </x:c>
      <x:c r="E396" s="69" t="str">
        <x:f>IF(B396="","",IF('График платежей'!$I$19="Факт / 365",'График платежей'!$I$12*D396/'График платежей'!$I$20,'График платежей'!$I$17))</x:f>
      </x:c>
      <x:c r="F396" s="70" t="str">
        <x:f>IF(B396="","",F395/(1+E396))</x:f>
      </x:c>
    </x:row>
    <x:row r="397" ht="24" customHeight="1">
      <x:c r="B397" s="67" t="str">
        <x:f>IF('График платежей'!B397="","",ROW()-ROW($B$9))</x:f>
      </x:c>
      <x:c r="C397" s="68" t="str">
        <x:f>IF(B397="","",'График платежей'!B397)</x:f>
      </x:c>
      <x:c r="D397" s="67" t="str">
        <x:f>IF(B397="","",C397-C396)</x:f>
      </x:c>
      <x:c r="E397" s="69" t="str">
        <x:f>IF(B397="","",IF('График платежей'!$I$19="Факт / 365",'График платежей'!$I$12*D397/'График платежей'!$I$20,'График платежей'!$I$17))</x:f>
      </x:c>
      <x:c r="F397" s="70" t="str">
        <x:f>IF(B397="","",F396/(1+E397))</x:f>
      </x:c>
    </x:row>
    <x:row r="398" ht="24" customHeight="1">
      <x:c r="B398" s="67" t="str">
        <x:f>IF('График платежей'!B398="","",ROW()-ROW($B$9))</x:f>
      </x:c>
      <x:c r="C398" s="68" t="str">
        <x:f>IF(B398="","",'График платежей'!B398)</x:f>
      </x:c>
      <x:c r="D398" s="67" t="str">
        <x:f>IF(B398="","",C398-C397)</x:f>
      </x:c>
      <x:c r="E398" s="69" t="str">
        <x:f>IF(B398="","",IF('График платежей'!$I$19="Факт / 365",'График платежей'!$I$12*D398/'График платежей'!$I$20,'График платежей'!$I$17))</x:f>
      </x:c>
      <x:c r="F398" s="70" t="str">
        <x:f>IF(B398="","",F397/(1+E398))</x:f>
      </x:c>
    </x:row>
    <x:row r="399" ht="24" customHeight="1">
      <x:c r="B399" s="67" t="str">
        <x:f>IF('График платежей'!B399="","",ROW()-ROW($B$9))</x:f>
      </x:c>
      <x:c r="C399" s="68" t="str">
        <x:f>IF(B399="","",'График платежей'!B399)</x:f>
      </x:c>
      <x:c r="D399" s="67" t="str">
        <x:f>IF(B399="","",C399-C398)</x:f>
      </x:c>
      <x:c r="E399" s="69" t="str">
        <x:f>IF(B399="","",IF('График платежей'!$I$19="Факт / 365",'График платежей'!$I$12*D399/'График платежей'!$I$20,'График платежей'!$I$17))</x:f>
      </x:c>
      <x:c r="F399" s="70" t="str">
        <x:f>IF(B399="","",F398/(1+E399))</x:f>
      </x:c>
    </x:row>
    <x:row r="400" ht="24" customHeight="1">
      <x:c r="B400" s="67" t="str">
        <x:f>IF('График платежей'!B400="","",ROW()-ROW($B$9))</x:f>
      </x:c>
      <x:c r="C400" s="68" t="str">
        <x:f>IF(B400="","",'График платежей'!B400)</x:f>
      </x:c>
      <x:c r="D400" s="67" t="str">
        <x:f>IF(B400="","",C400-C399)</x:f>
      </x:c>
      <x:c r="E400" s="69" t="str">
        <x:f>IF(B400="","",IF('График платежей'!$I$19="Факт / 365",'График платежей'!$I$12*D400/'График платежей'!$I$20,'График платежей'!$I$17))</x:f>
      </x:c>
      <x:c r="F400" s="70" t="str">
        <x:f>IF(B400="","",F399/(1+E400))</x:f>
      </x:c>
    </x:row>
    <x:row r="401" ht="24" customHeight="1">
      <x:c r="B401" s="67" t="str">
        <x:f>IF('График платежей'!B401="","",ROW()-ROW($B$9))</x:f>
      </x:c>
      <x:c r="C401" s="68" t="str">
        <x:f>IF(B401="","",'График платежей'!B401)</x:f>
      </x:c>
      <x:c r="D401" s="67" t="str">
        <x:f>IF(B401="","",C401-C400)</x:f>
      </x:c>
      <x:c r="E401" s="69" t="str">
        <x:f>IF(B401="","",IF('График платежей'!$I$19="Факт / 365",'График платежей'!$I$12*D401/'График платежей'!$I$20,'График платежей'!$I$17))</x:f>
      </x:c>
      <x:c r="F401" s="70" t="str">
        <x:f>IF(B401="","",F400/(1+E401))</x:f>
      </x:c>
    </x:row>
    <x:row r="402" ht="24" customHeight="1">
      <x:c r="B402" s="67" t="str">
        <x:f>IF('График платежей'!B402="","",ROW()-ROW($B$9))</x:f>
      </x:c>
      <x:c r="C402" s="68" t="str">
        <x:f>IF(B402="","",'График платежей'!B402)</x:f>
      </x:c>
      <x:c r="D402" s="67" t="str">
        <x:f>IF(B402="","",C402-C401)</x:f>
      </x:c>
      <x:c r="E402" s="69" t="str">
        <x:f>IF(B402="","",IF('График платежей'!$I$19="Факт / 365",'График платежей'!$I$12*D402/'График платежей'!$I$20,'График платежей'!$I$17))</x:f>
      </x:c>
      <x:c r="F402" s="70" t="str">
        <x:f>IF(B402="","",F401/(1+E402))</x:f>
      </x:c>
    </x:row>
    <x:row r="403" ht="24" customHeight="1">
      <x:c r="B403" s="67" t="str">
        <x:f>IF('График платежей'!B403="","",ROW()-ROW($B$9))</x:f>
      </x:c>
      <x:c r="C403" s="68" t="str">
        <x:f>IF(B403="","",'График платежей'!B403)</x:f>
      </x:c>
      <x:c r="D403" s="67" t="str">
        <x:f>IF(B403="","",C403-C402)</x:f>
      </x:c>
      <x:c r="E403" s="69" t="str">
        <x:f>IF(B403="","",IF('График платежей'!$I$19="Факт / 365",'График платежей'!$I$12*D403/'График платежей'!$I$20,'График платежей'!$I$17))</x:f>
      </x:c>
      <x:c r="F403" s="70" t="str">
        <x:f>IF(B403="","",F402/(1+E403))</x:f>
      </x:c>
    </x:row>
    <x:row r="404" ht="24" customHeight="1">
      <x:c r="B404" s="67" t="str">
        <x:f>IF('График платежей'!B404="","",ROW()-ROW($B$9))</x:f>
      </x:c>
      <x:c r="C404" s="68" t="str">
        <x:f>IF(B404="","",'График платежей'!B404)</x:f>
      </x:c>
      <x:c r="D404" s="67" t="str">
        <x:f>IF(B404="","",C404-C403)</x:f>
      </x:c>
      <x:c r="E404" s="69" t="str">
        <x:f>IF(B404="","",IF('График платежей'!$I$19="Факт / 365",'График платежей'!$I$12*D404/'График платежей'!$I$20,'График платежей'!$I$17))</x:f>
      </x:c>
      <x:c r="F404" s="70" t="str">
        <x:f>IF(B404="","",F403/(1+E404))</x:f>
      </x:c>
    </x:row>
    <x:row r="405" ht="24" customHeight="1">
      <x:c r="B405" s="67" t="str">
        <x:f>IF('График платежей'!B405="","",ROW()-ROW($B$9))</x:f>
      </x:c>
      <x:c r="C405" s="68" t="str">
        <x:f>IF(B405="","",'График платежей'!B405)</x:f>
      </x:c>
      <x:c r="D405" s="67" t="str">
        <x:f>IF(B405="","",C405-C404)</x:f>
      </x:c>
      <x:c r="E405" s="69" t="str">
        <x:f>IF(B405="","",IF('График платежей'!$I$19="Факт / 365",'График платежей'!$I$12*D405/'График платежей'!$I$20,'График платежей'!$I$17))</x:f>
      </x:c>
      <x:c r="F405" s="70" t="str">
        <x:f>IF(B405="","",F404/(1+E405))</x:f>
      </x:c>
    </x:row>
    <x:row r="406" ht="24" customHeight="1">
      <x:c r="B406" s="67" t="str">
        <x:f>IF('График платежей'!B406="","",ROW()-ROW($B$9))</x:f>
      </x:c>
      <x:c r="C406" s="68" t="str">
        <x:f>IF(B406="","",'График платежей'!B406)</x:f>
      </x:c>
      <x:c r="D406" s="67" t="str">
        <x:f>IF(B406="","",C406-C405)</x:f>
      </x:c>
      <x:c r="E406" s="69" t="str">
        <x:f>IF(B406="","",IF('График платежей'!$I$19="Факт / 365",'График платежей'!$I$12*D406/'График платежей'!$I$20,'График платежей'!$I$17))</x:f>
      </x:c>
      <x:c r="F406" s="70" t="str">
        <x:f>IF(B406="","",F405/(1+E406))</x:f>
      </x:c>
    </x:row>
    <x:row r="407" ht="24" customHeight="1">
      <x:c r="B407" s="67" t="str">
        <x:f>IF('График платежей'!B407="","",ROW()-ROW($B$9))</x:f>
      </x:c>
      <x:c r="C407" s="68" t="str">
        <x:f>IF(B407="","",'График платежей'!B407)</x:f>
      </x:c>
      <x:c r="D407" s="67" t="str">
        <x:f>IF(B407="","",C407-C406)</x:f>
      </x:c>
      <x:c r="E407" s="69" t="str">
        <x:f>IF(B407="","",IF('График платежей'!$I$19="Факт / 365",'График платежей'!$I$12*D407/'График платежей'!$I$20,'График платежей'!$I$17))</x:f>
      </x:c>
      <x:c r="F407" s="70" t="str">
        <x:f>IF(B407="","",F406/(1+E407))</x:f>
      </x:c>
    </x:row>
    <x:row r="408" ht="24" customHeight="1">
      <x:c r="B408" s="67" t="str">
        <x:f>IF('График платежей'!B408="","",ROW()-ROW($B$9))</x:f>
      </x:c>
      <x:c r="C408" s="68" t="str">
        <x:f>IF(B408="","",'График платежей'!B408)</x:f>
      </x:c>
      <x:c r="D408" s="67" t="str">
        <x:f>IF(B408="","",C408-C407)</x:f>
      </x:c>
      <x:c r="E408" s="69" t="str">
        <x:f>IF(B408="","",IF('График платежей'!$I$19="Факт / 365",'График платежей'!$I$12*D408/'График платежей'!$I$20,'График платежей'!$I$17))</x:f>
      </x:c>
      <x:c r="F408" s="70" t="str">
        <x:f>IF(B408="","",F407/(1+E408))</x:f>
      </x:c>
    </x:row>
    <x:row r="409" ht="24" customHeight="1">
      <x:c r="B409" s="67" t="str">
        <x:f>IF('График платежей'!B409="","",ROW()-ROW($B$9))</x:f>
      </x:c>
      <x:c r="C409" s="68" t="str">
        <x:f>IF(B409="","",'График платежей'!B409)</x:f>
      </x:c>
      <x:c r="D409" s="67" t="str">
        <x:f>IF(B409="","",C409-C408)</x:f>
      </x:c>
      <x:c r="E409" s="69" t="str">
        <x:f>IF(B409="","",IF('График платежей'!$I$19="Факт / 365",'График платежей'!$I$12*D409/'График платежей'!$I$20,'График платежей'!$I$17))</x:f>
      </x:c>
      <x:c r="F409" s="70" t="str">
        <x:f>IF(B409="","",F408/(1+E409))</x:f>
      </x:c>
    </x:row>
    <x:row r="410" ht="24" customHeight="1">
      <x:c r="B410" s="67" t="str">
        <x:f>IF('График платежей'!B410="","",ROW()-ROW($B$9))</x:f>
      </x:c>
      <x:c r="C410" s="68" t="str">
        <x:f>IF(B410="","",'График платежей'!B410)</x:f>
      </x:c>
      <x:c r="D410" s="67" t="str">
        <x:f>IF(B410="","",C410-C409)</x:f>
      </x:c>
      <x:c r="E410" s="69" t="str">
        <x:f>IF(B410="","",IF('График платежей'!$I$19="Факт / 365",'График платежей'!$I$12*D410/'График платежей'!$I$20,'График платежей'!$I$17))</x:f>
      </x:c>
      <x:c r="F410" s="70" t="str">
        <x:f>IF(B410="","",F409/(1+E410))</x:f>
      </x:c>
    </x:row>
    <x:row r="411" ht="24" customHeight="1">
      <x:c r="B411" s="67" t="str">
        <x:f>IF('График платежей'!B411="","",ROW()-ROW($B$9))</x:f>
      </x:c>
      <x:c r="C411" s="68" t="str">
        <x:f>IF(B411="","",'График платежей'!B411)</x:f>
      </x:c>
      <x:c r="D411" s="67" t="str">
        <x:f>IF(B411="","",C411-C410)</x:f>
      </x:c>
      <x:c r="E411" s="69" t="str">
        <x:f>IF(B411="","",IF('График платежей'!$I$19="Факт / 365",'График платежей'!$I$12*D411/'График платежей'!$I$20,'График платежей'!$I$17))</x:f>
      </x:c>
      <x:c r="F411" s="70" t="str">
        <x:f>IF(B411="","",F410/(1+E411))</x:f>
      </x:c>
    </x:row>
    <x:row r="412" ht="24" customHeight="1">
      <x:c r="B412" s="67" t="str">
        <x:f>IF('График платежей'!B412="","",ROW()-ROW($B$9))</x:f>
      </x:c>
      <x:c r="C412" s="68" t="str">
        <x:f>IF(B412="","",'График платежей'!B412)</x:f>
      </x:c>
      <x:c r="D412" s="67" t="str">
        <x:f>IF(B412="","",C412-C411)</x:f>
      </x:c>
      <x:c r="E412" s="69" t="str">
        <x:f>IF(B412="","",IF('График платежей'!$I$19="Факт / 365",'График платежей'!$I$12*D412/'График платежей'!$I$20,'График платежей'!$I$17))</x:f>
      </x:c>
      <x:c r="F412" s="70" t="str">
        <x:f>IF(B412="","",F411/(1+E412))</x:f>
      </x:c>
    </x:row>
    <x:row r="413" ht="24" customHeight="1">
      <x:c r="B413" s="67" t="str">
        <x:f>IF('График платежей'!B413="","",ROW()-ROW($B$9))</x:f>
      </x:c>
      <x:c r="C413" s="68" t="str">
        <x:f>IF(B413="","",'График платежей'!B413)</x:f>
      </x:c>
      <x:c r="D413" s="67" t="str">
        <x:f>IF(B413="","",C413-C412)</x:f>
      </x:c>
      <x:c r="E413" s="69" t="str">
        <x:f>IF(B413="","",IF('График платежей'!$I$19="Факт / 365",'График платежей'!$I$12*D413/'График платежей'!$I$20,'График платежей'!$I$17))</x:f>
      </x:c>
      <x:c r="F413" s="70" t="str">
        <x:f>IF(B413="","",F412/(1+E413))</x:f>
      </x:c>
    </x:row>
    <x:row r="414" ht="24" customHeight="1">
      <x:c r="B414" s="67" t="str">
        <x:f>IF('График платежей'!B414="","",ROW()-ROW($B$9))</x:f>
      </x:c>
      <x:c r="C414" s="68" t="str">
        <x:f>IF(B414="","",'График платежей'!B414)</x:f>
      </x:c>
      <x:c r="D414" s="67" t="str">
        <x:f>IF(B414="","",C414-C413)</x:f>
      </x:c>
      <x:c r="E414" s="69" t="str">
        <x:f>IF(B414="","",IF('График платежей'!$I$19="Факт / 365",'График платежей'!$I$12*D414/'График платежей'!$I$20,'График платежей'!$I$17))</x:f>
      </x:c>
      <x:c r="F414" s="70" t="str">
        <x:f>IF(B414="","",F413/(1+E414))</x:f>
      </x:c>
    </x:row>
    <x:row r="415" ht="24" customHeight="1">
      <x:c r="B415" s="67" t="str">
        <x:f>IF('График платежей'!B415="","",ROW()-ROW($B$9))</x:f>
      </x:c>
      <x:c r="C415" s="68" t="str">
        <x:f>IF(B415="","",'График платежей'!B415)</x:f>
      </x:c>
      <x:c r="D415" s="67" t="str">
        <x:f>IF(B415="","",C415-C414)</x:f>
      </x:c>
      <x:c r="E415" s="69" t="str">
        <x:f>IF(B415="","",IF('График платежей'!$I$19="Факт / 365",'График платежей'!$I$12*D415/'График платежей'!$I$20,'График платежей'!$I$17))</x:f>
      </x:c>
      <x:c r="F415" s="70" t="str">
        <x:f>IF(B415="","",F414/(1+E415))</x:f>
      </x:c>
    </x:row>
    <x:row r="416" ht="24" customHeight="1">
      <x:c r="B416" s="67" t="str">
        <x:f>IF('График платежей'!B416="","",ROW()-ROW($B$9))</x:f>
      </x:c>
      <x:c r="C416" s="68" t="str">
        <x:f>IF(B416="","",'График платежей'!B416)</x:f>
      </x:c>
      <x:c r="D416" s="67" t="str">
        <x:f>IF(B416="","",C416-C415)</x:f>
      </x:c>
      <x:c r="E416" s="69" t="str">
        <x:f>IF(B416="","",IF('График платежей'!$I$19="Факт / 365",'График платежей'!$I$12*D416/'График платежей'!$I$20,'График платежей'!$I$17))</x:f>
      </x:c>
      <x:c r="F416" s="70" t="str">
        <x:f>IF(B416="","",F415/(1+E416))</x:f>
      </x:c>
    </x:row>
    <x:row r="417" ht="24" customHeight="1">
      <x:c r="B417" s="67" t="str">
        <x:f>IF('График платежей'!B417="","",ROW()-ROW($B$9))</x:f>
      </x:c>
      <x:c r="C417" s="68" t="str">
        <x:f>IF(B417="","",'График платежей'!B417)</x:f>
      </x:c>
      <x:c r="D417" s="67" t="str">
        <x:f>IF(B417="","",C417-C416)</x:f>
      </x:c>
      <x:c r="E417" s="69" t="str">
        <x:f>IF(B417="","",IF('График платежей'!$I$19="Факт / 365",'График платежей'!$I$12*D417/'График платежей'!$I$20,'График платежей'!$I$17))</x:f>
      </x:c>
      <x:c r="F417" s="70" t="str">
        <x:f>IF(B417="","",F416/(1+E417))</x:f>
      </x:c>
    </x:row>
    <x:row r="418" ht="24" customHeight="1">
      <x:c r="B418" s="67" t="str">
        <x:f>IF('График платежей'!B418="","",ROW()-ROW($B$9))</x:f>
      </x:c>
      <x:c r="C418" s="68" t="str">
        <x:f>IF(B418="","",'График платежей'!B418)</x:f>
      </x:c>
      <x:c r="D418" s="67" t="str">
        <x:f>IF(B418="","",C418-C417)</x:f>
      </x:c>
      <x:c r="E418" s="69" t="str">
        <x:f>IF(B418="","",IF('График платежей'!$I$19="Факт / 365",'График платежей'!$I$12*D418/'График платежей'!$I$20,'График платежей'!$I$17))</x:f>
      </x:c>
      <x:c r="F418" s="70" t="str">
        <x:f>IF(B418="","",F417/(1+E418))</x:f>
      </x:c>
    </x:row>
    <x:row r="419" ht="24" customHeight="1">
      <x:c r="B419" s="67" t="str">
        <x:f>IF('График платежей'!B419="","",ROW()-ROW($B$9))</x:f>
      </x:c>
      <x:c r="C419" s="68" t="str">
        <x:f>IF(B419="","",'График платежей'!B419)</x:f>
      </x:c>
      <x:c r="D419" s="67" t="str">
        <x:f>IF(B419="","",C419-C418)</x:f>
      </x:c>
      <x:c r="E419" s="69" t="str">
        <x:f>IF(B419="","",IF('График платежей'!$I$19="Факт / 365",'График платежей'!$I$12*D419/'График платежей'!$I$20,'График платежей'!$I$17))</x:f>
      </x:c>
      <x:c r="F419" s="70" t="str">
        <x:f>IF(B419="","",F418/(1+E419))</x:f>
      </x:c>
    </x:row>
    <x:row r="420" ht="24" customHeight="1">
      <x:c r="B420" s="67" t="str">
        <x:f>IF('График платежей'!B420="","",ROW()-ROW($B$9))</x:f>
      </x:c>
      <x:c r="C420" s="68" t="str">
        <x:f>IF(B420="","",'График платежей'!B420)</x:f>
      </x:c>
      <x:c r="D420" s="67" t="str">
        <x:f>IF(B420="","",C420-C419)</x:f>
      </x:c>
      <x:c r="E420" s="69" t="str">
        <x:f>IF(B420="","",IF('График платежей'!$I$19="Факт / 365",'График платежей'!$I$12*D420/'График платежей'!$I$20,'График платежей'!$I$17))</x:f>
      </x:c>
      <x:c r="F420" s="70" t="str">
        <x:f>IF(B420="","",F419/(1+E420))</x:f>
      </x:c>
    </x:row>
    <x:row r="421" ht="24" customHeight="1">
      <x:c r="B421" s="67" t="str">
        <x:f>IF('График платежей'!B421="","",ROW()-ROW($B$9))</x:f>
      </x:c>
      <x:c r="C421" s="68" t="str">
        <x:f>IF(B421="","",'График платежей'!B421)</x:f>
      </x:c>
      <x:c r="D421" s="67" t="str">
        <x:f>IF(B421="","",C421-C420)</x:f>
      </x:c>
      <x:c r="E421" s="69" t="str">
        <x:f>IF(B421="","",IF('График платежей'!$I$19="Факт / 365",'График платежей'!$I$12*D421/'График платежей'!$I$20,'График платежей'!$I$17))</x:f>
      </x:c>
      <x:c r="F421" s="70" t="str">
        <x:f>IF(B421="","",F420/(1+E421))</x:f>
      </x:c>
    </x:row>
    <x:row r="422" ht="24" customHeight="1">
      <x:c r="B422" s="67" t="str">
        <x:f>IF('График платежей'!B422="","",ROW()-ROW($B$9))</x:f>
      </x:c>
      <x:c r="C422" s="68" t="str">
        <x:f>IF(B422="","",'График платежей'!B422)</x:f>
      </x:c>
      <x:c r="D422" s="67" t="str">
        <x:f>IF(B422="","",C422-C421)</x:f>
      </x:c>
      <x:c r="E422" s="69" t="str">
        <x:f>IF(B422="","",IF('График платежей'!$I$19="Факт / 365",'График платежей'!$I$12*D422/'График платежей'!$I$20,'График платежей'!$I$17))</x:f>
      </x:c>
      <x:c r="F422" s="70" t="str">
        <x:f>IF(B422="","",F421/(1+E422))</x:f>
      </x:c>
    </x:row>
    <x:row r="423" ht="24" customHeight="1">
      <x:c r="B423" s="67" t="str">
        <x:f>IF('График платежей'!B423="","",ROW()-ROW($B$9))</x:f>
      </x:c>
      <x:c r="C423" s="68" t="str">
        <x:f>IF(B423="","",'График платежей'!B423)</x:f>
      </x:c>
      <x:c r="D423" s="67" t="str">
        <x:f>IF(B423="","",C423-C422)</x:f>
      </x:c>
      <x:c r="E423" s="69" t="str">
        <x:f>IF(B423="","",IF('График платежей'!$I$19="Факт / 365",'График платежей'!$I$12*D423/'График платежей'!$I$20,'График платежей'!$I$17))</x:f>
      </x:c>
      <x:c r="F423" s="70" t="str">
        <x:f>IF(B423="","",F422/(1+E423))</x:f>
      </x:c>
    </x:row>
    <x:row r="424" ht="24" customHeight="1">
      <x:c r="B424" s="67" t="str">
        <x:f>IF('График платежей'!B424="","",ROW()-ROW($B$9))</x:f>
      </x:c>
      <x:c r="C424" s="68" t="str">
        <x:f>IF(B424="","",'График платежей'!B424)</x:f>
      </x:c>
      <x:c r="D424" s="67" t="str">
        <x:f>IF(B424="","",C424-C423)</x:f>
      </x:c>
      <x:c r="E424" s="69" t="str">
        <x:f>IF(B424="","",IF('График платежей'!$I$19="Факт / 365",'График платежей'!$I$12*D424/'График платежей'!$I$20,'График платежей'!$I$17))</x:f>
      </x:c>
      <x:c r="F424" s="70" t="str">
        <x:f>IF(B424="","",F423/(1+E424))</x:f>
      </x:c>
    </x:row>
    <x:row r="425" ht="24" customHeight="1">
      <x:c r="B425" s="67" t="str">
        <x:f>IF('График платежей'!B425="","",ROW()-ROW($B$9))</x:f>
      </x:c>
      <x:c r="C425" s="68" t="str">
        <x:f>IF(B425="","",'График платежей'!B425)</x:f>
      </x:c>
      <x:c r="D425" s="67" t="str">
        <x:f>IF(B425="","",C425-C424)</x:f>
      </x:c>
      <x:c r="E425" s="69" t="str">
        <x:f>IF(B425="","",IF('График платежей'!$I$19="Факт / 365",'График платежей'!$I$12*D425/'График платежей'!$I$20,'График платежей'!$I$17))</x:f>
      </x:c>
      <x:c r="F425" s="70" t="str">
        <x:f>IF(B425="","",F424/(1+E425))</x:f>
      </x:c>
    </x:row>
    <x:row r="426" ht="24" customHeight="1">
      <x:c r="B426" s="67" t="str">
        <x:f>IF('График платежей'!B426="","",ROW()-ROW($B$9))</x:f>
      </x:c>
      <x:c r="C426" s="68" t="str">
        <x:f>IF(B426="","",'График платежей'!B426)</x:f>
      </x:c>
      <x:c r="D426" s="67" t="str">
        <x:f>IF(B426="","",C426-C425)</x:f>
      </x:c>
      <x:c r="E426" s="69" t="str">
        <x:f>IF(B426="","",IF('График платежей'!$I$19="Факт / 365",'График платежей'!$I$12*D426/'График платежей'!$I$20,'График платежей'!$I$17))</x:f>
      </x:c>
      <x:c r="F426" s="70" t="str">
        <x:f>IF(B426="","",F425/(1+E426))</x:f>
      </x:c>
    </x:row>
    <x:row r="427" ht="24" customHeight="1">
      <x:c r="B427" s="67" t="str">
        <x:f>IF('График платежей'!B427="","",ROW()-ROW($B$9))</x:f>
      </x:c>
      <x:c r="C427" s="68" t="str">
        <x:f>IF(B427="","",'График платежей'!B427)</x:f>
      </x:c>
      <x:c r="D427" s="67" t="str">
        <x:f>IF(B427="","",C427-C426)</x:f>
      </x:c>
      <x:c r="E427" s="69" t="str">
        <x:f>IF(B427="","",IF('График платежей'!$I$19="Факт / 365",'График платежей'!$I$12*D427/'График платежей'!$I$20,'График платежей'!$I$17))</x:f>
      </x:c>
      <x:c r="F427" s="70" t="str">
        <x:f>IF(B427="","",F426/(1+E427))</x:f>
      </x:c>
    </x:row>
    <x:row r="428" ht="24" customHeight="1">
      <x:c r="B428" s="67" t="str">
        <x:f>IF('График платежей'!B428="","",ROW()-ROW($B$9))</x:f>
      </x:c>
      <x:c r="C428" s="68" t="str">
        <x:f>IF(B428="","",'График платежей'!B428)</x:f>
      </x:c>
      <x:c r="D428" s="67" t="str">
        <x:f>IF(B428="","",C428-C427)</x:f>
      </x:c>
      <x:c r="E428" s="69" t="str">
        <x:f>IF(B428="","",IF('График платежей'!$I$19="Факт / 365",'График платежей'!$I$12*D428/'График платежей'!$I$20,'График платежей'!$I$17))</x:f>
      </x:c>
      <x:c r="F428" s="70" t="str">
        <x:f>IF(B428="","",F427/(1+E428))</x:f>
      </x:c>
    </x:row>
    <x:row r="429" ht="24" customHeight="1">
      <x:c r="B429" s="67" t="str">
        <x:f>IF('График платежей'!B429="","",ROW()-ROW($B$9))</x:f>
      </x:c>
      <x:c r="C429" s="68" t="str">
        <x:f>IF(B429="","",'График платежей'!B429)</x:f>
      </x:c>
      <x:c r="D429" s="67" t="str">
        <x:f>IF(B429="","",C429-C428)</x:f>
      </x:c>
      <x:c r="E429" s="69" t="str">
        <x:f>IF(B429="","",IF('График платежей'!$I$19="Факт / 365",'График платежей'!$I$12*D429/'График платежей'!$I$20,'График платежей'!$I$17))</x:f>
      </x:c>
      <x:c r="F429" s="70" t="str">
        <x:f>IF(B429="","",F428/(1+E429))</x:f>
      </x:c>
    </x:row>
    <x:row r="430" ht="24" customHeight="1">
      <x:c r="B430" s="67" t="str">
        <x:f>IF('График платежей'!B430="","",ROW()-ROW($B$9))</x:f>
      </x:c>
      <x:c r="C430" s="68" t="str">
        <x:f>IF(B430="","",'График платежей'!B430)</x:f>
      </x:c>
      <x:c r="D430" s="67" t="str">
        <x:f>IF(B430="","",C430-C429)</x:f>
      </x:c>
      <x:c r="E430" s="69" t="str">
        <x:f>IF(B430="","",IF('График платежей'!$I$19="Факт / 365",'График платежей'!$I$12*D430/'График платежей'!$I$20,'График платежей'!$I$17))</x:f>
      </x:c>
      <x:c r="F430" s="70" t="str">
        <x:f>IF(B430="","",F429/(1+E430))</x:f>
      </x:c>
    </x:row>
    <x:row r="431" ht="24" customHeight="1">
      <x:c r="B431" s="67" t="str">
        <x:f>IF('График платежей'!B431="","",ROW()-ROW($B$9))</x:f>
      </x:c>
      <x:c r="C431" s="68" t="str">
        <x:f>IF(B431="","",'График платежей'!B431)</x:f>
      </x:c>
      <x:c r="D431" s="67" t="str">
        <x:f>IF(B431="","",C431-C430)</x:f>
      </x:c>
      <x:c r="E431" s="69" t="str">
        <x:f>IF(B431="","",IF('График платежей'!$I$19="Факт / 365",'График платежей'!$I$12*D431/'График платежей'!$I$20,'График платежей'!$I$17))</x:f>
      </x:c>
      <x:c r="F431" s="70" t="str">
        <x:f>IF(B431="","",F430/(1+E431))</x:f>
      </x:c>
    </x:row>
    <x:row r="432" ht="24" customHeight="1">
      <x:c r="B432" s="67" t="str">
        <x:f>IF('График платежей'!B432="","",ROW()-ROW($B$9))</x:f>
      </x:c>
      <x:c r="C432" s="68" t="str">
        <x:f>IF(B432="","",'График платежей'!B432)</x:f>
      </x:c>
      <x:c r="D432" s="67" t="str">
        <x:f>IF(B432="","",C432-C431)</x:f>
      </x:c>
      <x:c r="E432" s="69" t="str">
        <x:f>IF(B432="","",IF('График платежей'!$I$19="Факт / 365",'График платежей'!$I$12*D432/'График платежей'!$I$20,'График платежей'!$I$17))</x:f>
      </x:c>
      <x:c r="F432" s="70" t="str">
        <x:f>IF(B432="","",F431/(1+E432))</x:f>
      </x:c>
    </x:row>
    <x:row r="433" ht="24" customHeight="1">
      <x:c r="B433" s="67" t="str">
        <x:f>IF('График платежей'!B433="","",ROW()-ROW($B$9))</x:f>
      </x:c>
      <x:c r="C433" s="68" t="str">
        <x:f>IF(B433="","",'График платежей'!B433)</x:f>
      </x:c>
      <x:c r="D433" s="67" t="str">
        <x:f>IF(B433="","",C433-C432)</x:f>
      </x:c>
      <x:c r="E433" s="69" t="str">
        <x:f>IF(B433="","",IF('График платежей'!$I$19="Факт / 365",'График платежей'!$I$12*D433/'График платежей'!$I$20,'График платежей'!$I$17))</x:f>
      </x:c>
      <x:c r="F433" s="70" t="str">
        <x:f>IF(B433="","",F432/(1+E433))</x:f>
      </x:c>
    </x:row>
    <x:row r="434" ht="24" customHeight="1">
      <x:c r="B434" s="67" t="str">
        <x:f>IF('График платежей'!B434="","",ROW()-ROW($B$9))</x:f>
      </x:c>
      <x:c r="C434" s="68" t="str">
        <x:f>IF(B434="","",'График платежей'!B434)</x:f>
      </x:c>
      <x:c r="D434" s="67" t="str">
        <x:f>IF(B434="","",C434-C433)</x:f>
      </x:c>
      <x:c r="E434" s="69" t="str">
        <x:f>IF(B434="","",IF('График платежей'!$I$19="Факт / 365",'График платежей'!$I$12*D434/'График платежей'!$I$20,'График платежей'!$I$17))</x:f>
      </x:c>
      <x:c r="F434" s="70" t="str">
        <x:f>IF(B434="","",F433/(1+E434))</x:f>
      </x:c>
    </x:row>
    <x:row r="435" ht="24" customHeight="1">
      <x:c r="B435" s="67" t="str">
        <x:f>IF('График платежей'!B435="","",ROW()-ROW($B$9))</x:f>
      </x:c>
      <x:c r="C435" s="68" t="str">
        <x:f>IF(B435="","",'График платежей'!B435)</x:f>
      </x:c>
      <x:c r="D435" s="67" t="str">
        <x:f>IF(B435="","",C435-C434)</x:f>
      </x:c>
      <x:c r="E435" s="69" t="str">
        <x:f>IF(B435="","",IF('График платежей'!$I$19="Факт / 365",'График платежей'!$I$12*D435/'График платежей'!$I$20,'График платежей'!$I$17))</x:f>
      </x:c>
      <x:c r="F435" s="70" t="str">
        <x:f>IF(B435="","",F434/(1+E435))</x:f>
      </x:c>
    </x:row>
    <x:row r="436" ht="24" customHeight="1">
      <x:c r="B436" s="67" t="str">
        <x:f>IF('График платежей'!B436="","",ROW()-ROW($B$9))</x:f>
      </x:c>
      <x:c r="C436" s="68" t="str">
        <x:f>IF(B436="","",'График платежей'!B436)</x:f>
      </x:c>
      <x:c r="D436" s="67" t="str">
        <x:f>IF(B436="","",C436-C435)</x:f>
      </x:c>
      <x:c r="E436" s="69" t="str">
        <x:f>IF(B436="","",IF('График платежей'!$I$19="Факт / 365",'График платежей'!$I$12*D436/'График платежей'!$I$20,'График платежей'!$I$17))</x:f>
      </x:c>
      <x:c r="F436" s="70" t="str">
        <x:f>IF(B436="","",F435/(1+E436))</x:f>
      </x:c>
    </x:row>
    <x:row r="437" ht="24" customHeight="1">
      <x:c r="B437" s="67" t="str">
        <x:f>IF('График платежей'!B437="","",ROW()-ROW($B$9))</x:f>
      </x:c>
      <x:c r="C437" s="68" t="str">
        <x:f>IF(B437="","",'График платежей'!B437)</x:f>
      </x:c>
      <x:c r="D437" s="67" t="str">
        <x:f>IF(B437="","",C437-C436)</x:f>
      </x:c>
      <x:c r="E437" s="69" t="str">
        <x:f>IF(B437="","",IF('График платежей'!$I$19="Факт / 365",'График платежей'!$I$12*D437/'График платежей'!$I$20,'График платежей'!$I$17))</x:f>
      </x:c>
      <x:c r="F437" s="70" t="str">
        <x:f>IF(B437="","",F436/(1+E437))</x:f>
      </x:c>
    </x:row>
    <x:row r="438" ht="24" customHeight="1">
      <x:c r="B438" s="67" t="str">
        <x:f>IF('График платежей'!B438="","",ROW()-ROW($B$9))</x:f>
      </x:c>
      <x:c r="C438" s="68" t="str">
        <x:f>IF(B438="","",'График платежей'!B438)</x:f>
      </x:c>
      <x:c r="D438" s="67" t="str">
        <x:f>IF(B438="","",C438-C437)</x:f>
      </x:c>
      <x:c r="E438" s="69" t="str">
        <x:f>IF(B438="","",IF('График платежей'!$I$19="Факт / 365",'График платежей'!$I$12*D438/'График платежей'!$I$20,'График платежей'!$I$17))</x:f>
      </x:c>
      <x:c r="F438" s="70" t="str">
        <x:f>IF(B438="","",F437/(1+E438))</x:f>
      </x:c>
    </x:row>
    <x:row r="439" ht="24" customHeight="1">
      <x:c r="B439" s="67" t="str">
        <x:f>IF('График платежей'!B439="","",ROW()-ROW($B$9))</x:f>
      </x:c>
      <x:c r="C439" s="68" t="str">
        <x:f>IF(B439="","",'График платежей'!B439)</x:f>
      </x:c>
      <x:c r="D439" s="67" t="str">
        <x:f>IF(B439="","",C439-C438)</x:f>
      </x:c>
      <x:c r="E439" s="69" t="str">
        <x:f>IF(B439="","",IF('График платежей'!$I$19="Факт / 365",'График платежей'!$I$12*D439/'График платежей'!$I$20,'График платежей'!$I$17))</x:f>
      </x:c>
      <x:c r="F439" s="70" t="str">
        <x:f>IF(B439="","",F438/(1+E439))</x:f>
      </x:c>
    </x:row>
    <x:row r="440" ht="24" customHeight="1">
      <x:c r="B440" s="67" t="str">
        <x:f>IF('График платежей'!B440="","",ROW()-ROW($B$9))</x:f>
      </x:c>
      <x:c r="C440" s="68" t="str">
        <x:f>IF(B440="","",'График платежей'!B440)</x:f>
      </x:c>
      <x:c r="D440" s="67" t="str">
        <x:f>IF(B440="","",C440-C439)</x:f>
      </x:c>
      <x:c r="E440" s="69" t="str">
        <x:f>IF(B440="","",IF('График платежей'!$I$19="Факт / 365",'График платежей'!$I$12*D440/'График платежей'!$I$20,'График платежей'!$I$17))</x:f>
      </x:c>
      <x:c r="F440" s="70" t="str">
        <x:f>IF(B440="","",F439/(1+E440))</x:f>
      </x:c>
    </x:row>
    <x:row r="441" ht="24" customHeight="1">
      <x:c r="B441" s="67" t="str">
        <x:f>IF('График платежей'!B441="","",ROW()-ROW($B$9))</x:f>
      </x:c>
      <x:c r="C441" s="68" t="str">
        <x:f>IF(B441="","",'График платежей'!B441)</x:f>
      </x:c>
      <x:c r="D441" s="67" t="str">
        <x:f>IF(B441="","",C441-C440)</x:f>
      </x:c>
      <x:c r="E441" s="69" t="str">
        <x:f>IF(B441="","",IF('График платежей'!$I$19="Факт / 365",'График платежей'!$I$12*D441/'График платежей'!$I$20,'График платежей'!$I$17))</x:f>
      </x:c>
      <x:c r="F441" s="70" t="str">
        <x:f>IF(B441="","",F440/(1+E441))</x:f>
      </x:c>
    </x:row>
    <x:row r="442" ht="24" customHeight="1">
      <x:c r="B442" s="67" t="str">
        <x:f>IF('График платежей'!B442="","",ROW()-ROW($B$9))</x:f>
      </x:c>
      <x:c r="C442" s="68" t="str">
        <x:f>IF(B442="","",'График платежей'!B442)</x:f>
      </x:c>
      <x:c r="D442" s="67" t="str">
        <x:f>IF(B442="","",C442-C441)</x:f>
      </x:c>
      <x:c r="E442" s="69" t="str">
        <x:f>IF(B442="","",IF('График платежей'!$I$19="Факт / 365",'График платежей'!$I$12*D442/'График платежей'!$I$20,'График платежей'!$I$17))</x:f>
      </x:c>
      <x:c r="F442" s="70" t="str">
        <x:f>IF(B442="","",F441/(1+E442))</x:f>
      </x:c>
    </x:row>
    <x:row r="443" ht="24" customHeight="1">
      <x:c r="B443" s="67" t="str">
        <x:f>IF('График платежей'!B443="","",ROW()-ROW($B$9))</x:f>
      </x:c>
      <x:c r="C443" s="68" t="str">
        <x:f>IF(B443="","",'График платежей'!B443)</x:f>
      </x:c>
      <x:c r="D443" s="67" t="str">
        <x:f>IF(B443="","",C443-C442)</x:f>
      </x:c>
      <x:c r="E443" s="69" t="str">
        <x:f>IF(B443="","",IF('График платежей'!$I$19="Факт / 365",'График платежей'!$I$12*D443/'График платежей'!$I$20,'График платежей'!$I$17))</x:f>
      </x:c>
      <x:c r="F443" s="70" t="str">
        <x:f>IF(B443="","",F442/(1+E443))</x:f>
      </x:c>
    </x:row>
    <x:row r="444" ht="24" customHeight="1">
      <x:c r="B444" s="67" t="str">
        <x:f>IF('График платежей'!B444="","",ROW()-ROW($B$9))</x:f>
      </x:c>
      <x:c r="C444" s="68" t="str">
        <x:f>IF(B444="","",'График платежей'!B444)</x:f>
      </x:c>
      <x:c r="D444" s="67" t="str">
        <x:f>IF(B444="","",C444-C443)</x:f>
      </x:c>
      <x:c r="E444" s="69" t="str">
        <x:f>IF(B444="","",IF('График платежей'!$I$19="Факт / 365",'График платежей'!$I$12*D444/'График платежей'!$I$20,'График платежей'!$I$17))</x:f>
      </x:c>
      <x:c r="F444" s="70" t="str">
        <x:f>IF(B444="","",F443/(1+E444))</x:f>
      </x:c>
    </x:row>
    <x:row r="445" ht="24" customHeight="1">
      <x:c r="B445" s="67" t="str">
        <x:f>IF('График платежей'!B445="","",ROW()-ROW($B$9))</x:f>
      </x:c>
      <x:c r="C445" s="68" t="str">
        <x:f>IF(B445="","",'График платежей'!B445)</x:f>
      </x:c>
      <x:c r="D445" s="67" t="str">
        <x:f>IF(B445="","",C445-C444)</x:f>
      </x:c>
      <x:c r="E445" s="69" t="str">
        <x:f>IF(B445="","",IF('График платежей'!$I$19="Факт / 365",'График платежей'!$I$12*D445/'График платежей'!$I$20,'График платежей'!$I$17))</x:f>
      </x:c>
      <x:c r="F445" s="70" t="str">
        <x:f>IF(B445="","",F444/(1+E445))</x:f>
      </x:c>
    </x:row>
    <x:row r="446" ht="24" customHeight="1">
      <x:c r="B446" s="67" t="str">
        <x:f>IF('График платежей'!B446="","",ROW()-ROW($B$9))</x:f>
      </x:c>
      <x:c r="C446" s="68" t="str">
        <x:f>IF(B446="","",'График платежей'!B446)</x:f>
      </x:c>
      <x:c r="D446" s="67" t="str">
        <x:f>IF(B446="","",C446-C445)</x:f>
      </x:c>
      <x:c r="E446" s="69" t="str">
        <x:f>IF(B446="","",IF('График платежей'!$I$19="Факт / 365",'График платежей'!$I$12*D446/'График платежей'!$I$20,'График платежей'!$I$17))</x:f>
      </x:c>
      <x:c r="F446" s="70" t="str">
        <x:f>IF(B446="","",F445/(1+E446))</x:f>
      </x:c>
    </x:row>
    <x:row r="447" ht="24" customHeight="1">
      <x:c r="B447" s="67" t="str">
        <x:f>IF('График платежей'!B447="","",ROW()-ROW($B$9))</x:f>
      </x:c>
      <x:c r="C447" s="68" t="str">
        <x:f>IF(B447="","",'График платежей'!B447)</x:f>
      </x:c>
      <x:c r="D447" s="67" t="str">
        <x:f>IF(B447="","",C447-C446)</x:f>
      </x:c>
      <x:c r="E447" s="69" t="str">
        <x:f>IF(B447="","",IF('График платежей'!$I$19="Факт / 365",'График платежей'!$I$12*D447/'График платежей'!$I$20,'График платежей'!$I$17))</x:f>
      </x:c>
      <x:c r="F447" s="70" t="str">
        <x:f>IF(B447="","",F446/(1+E447))</x:f>
      </x:c>
    </x:row>
    <x:row r="448" ht="24" customHeight="1">
      <x:c r="B448" s="67" t="str">
        <x:f>IF('График платежей'!B448="","",ROW()-ROW($B$9))</x:f>
      </x:c>
      <x:c r="C448" s="68" t="str">
        <x:f>IF(B448="","",'График платежей'!B448)</x:f>
      </x:c>
      <x:c r="D448" s="67" t="str">
        <x:f>IF(B448="","",C448-C447)</x:f>
      </x:c>
      <x:c r="E448" s="69" t="str">
        <x:f>IF(B448="","",IF('График платежей'!$I$19="Факт / 365",'График платежей'!$I$12*D448/'График платежей'!$I$20,'График платежей'!$I$17))</x:f>
      </x:c>
      <x:c r="F448" s="70" t="str">
        <x:f>IF(B448="","",F447/(1+E448))</x:f>
      </x:c>
    </x:row>
    <x:row r="449" ht="24" customHeight="1">
      <x:c r="B449" s="67" t="str">
        <x:f>IF('График платежей'!B449="","",ROW()-ROW($B$9))</x:f>
      </x:c>
      <x:c r="C449" s="68" t="str">
        <x:f>IF(B449="","",'График платежей'!B449)</x:f>
      </x:c>
      <x:c r="D449" s="67" t="str">
        <x:f>IF(B449="","",C449-C448)</x:f>
      </x:c>
      <x:c r="E449" s="69" t="str">
        <x:f>IF(B449="","",IF('График платежей'!$I$19="Факт / 365",'График платежей'!$I$12*D449/'График платежей'!$I$20,'График платежей'!$I$17))</x:f>
      </x:c>
      <x:c r="F449" s="70" t="str">
        <x:f>IF(B449="","",F448/(1+E449))</x:f>
      </x:c>
    </x:row>
    <x:row r="450" ht="24" customHeight="1">
      <x:c r="B450" s="67" t="str">
        <x:f>IF('График платежей'!B450="","",ROW()-ROW($B$9))</x:f>
      </x:c>
      <x:c r="C450" s="68" t="str">
        <x:f>IF(B450="","",'График платежей'!B450)</x:f>
      </x:c>
      <x:c r="D450" s="67" t="str">
        <x:f>IF(B450="","",C450-C449)</x:f>
      </x:c>
      <x:c r="E450" s="69" t="str">
        <x:f>IF(B450="","",IF('График платежей'!$I$19="Факт / 365",'График платежей'!$I$12*D450/'График платежей'!$I$20,'График платежей'!$I$17))</x:f>
      </x:c>
      <x:c r="F450" s="70" t="str">
        <x:f>IF(B450="","",F449/(1+E450))</x:f>
      </x:c>
    </x:row>
    <x:row r="451" ht="24" customHeight="1">
      <x:c r="B451" s="67" t="str">
        <x:f>IF('График платежей'!B451="","",ROW()-ROW($B$9))</x:f>
      </x:c>
      <x:c r="C451" s="68" t="str">
        <x:f>IF(B451="","",'График платежей'!B451)</x:f>
      </x:c>
      <x:c r="D451" s="67" t="str">
        <x:f>IF(B451="","",C451-C450)</x:f>
      </x:c>
      <x:c r="E451" s="69" t="str">
        <x:f>IF(B451="","",IF('График платежей'!$I$19="Факт / 365",'График платежей'!$I$12*D451/'График платежей'!$I$20,'График платежей'!$I$17))</x:f>
      </x:c>
      <x:c r="F451" s="70" t="str">
        <x:f>IF(B451="","",F450/(1+E451))</x:f>
      </x:c>
    </x:row>
    <x:row r="452" ht="24" customHeight="1">
      <x:c r="B452" s="67" t="str">
        <x:f>IF('График платежей'!B452="","",ROW()-ROW($B$9))</x:f>
      </x:c>
      <x:c r="C452" s="68" t="str">
        <x:f>IF(B452="","",'График платежей'!B452)</x:f>
      </x:c>
      <x:c r="D452" s="67" t="str">
        <x:f>IF(B452="","",C452-C451)</x:f>
      </x:c>
      <x:c r="E452" s="69" t="str">
        <x:f>IF(B452="","",IF('График платежей'!$I$19="Факт / 365",'График платежей'!$I$12*D452/'График платежей'!$I$20,'График платежей'!$I$17))</x:f>
      </x:c>
      <x:c r="F452" s="70" t="str">
        <x:f>IF(B452="","",F451/(1+E452))</x:f>
      </x:c>
    </x:row>
    <x:row r="453" ht="24" customHeight="1">
      <x:c r="B453" s="67" t="str">
        <x:f>IF('График платежей'!B453="","",ROW()-ROW($B$9))</x:f>
      </x:c>
      <x:c r="C453" s="68" t="str">
        <x:f>IF(B453="","",'График платежей'!B453)</x:f>
      </x:c>
      <x:c r="D453" s="67" t="str">
        <x:f>IF(B453="","",C453-C452)</x:f>
      </x:c>
      <x:c r="E453" s="69" t="str">
        <x:f>IF(B453="","",IF('График платежей'!$I$19="Факт / 365",'График платежей'!$I$12*D453/'График платежей'!$I$20,'График платежей'!$I$17))</x:f>
      </x:c>
      <x:c r="F453" s="70" t="str">
        <x:f>IF(B453="","",F452/(1+E453))</x:f>
      </x:c>
    </x:row>
    <x:row r="454" ht="24" customHeight="1">
      <x:c r="B454" s="67" t="str">
        <x:f>IF('График платежей'!B454="","",ROW()-ROW($B$9))</x:f>
      </x:c>
      <x:c r="C454" s="68" t="str">
        <x:f>IF(B454="","",'График платежей'!B454)</x:f>
      </x:c>
      <x:c r="D454" s="67" t="str">
        <x:f>IF(B454="","",C454-C453)</x:f>
      </x:c>
      <x:c r="E454" s="69" t="str">
        <x:f>IF(B454="","",IF('График платежей'!$I$19="Факт / 365",'График платежей'!$I$12*D454/'График платежей'!$I$20,'График платежей'!$I$17))</x:f>
      </x:c>
      <x:c r="F454" s="70" t="str">
        <x:f>IF(B454="","",F453/(1+E454))</x:f>
      </x:c>
    </x:row>
    <x:row r="455" ht="24" customHeight="1">
      <x:c r="B455" s="67" t="str">
        <x:f>IF('График платежей'!B455="","",ROW()-ROW($B$9))</x:f>
      </x:c>
      <x:c r="C455" s="68" t="str">
        <x:f>IF(B455="","",'График платежей'!B455)</x:f>
      </x:c>
      <x:c r="D455" s="67" t="str">
        <x:f>IF(B455="","",C455-C454)</x:f>
      </x:c>
      <x:c r="E455" s="69" t="str">
        <x:f>IF(B455="","",IF('График платежей'!$I$19="Факт / 365",'График платежей'!$I$12*D455/'График платежей'!$I$20,'График платежей'!$I$17))</x:f>
      </x:c>
      <x:c r="F455" s="70" t="str">
        <x:f>IF(B455="","",F454/(1+E455))</x:f>
      </x:c>
    </x:row>
    <x:row r="456" ht="24" customHeight="1">
      <x:c r="B456" s="67" t="str">
        <x:f>IF('График платежей'!B456="","",ROW()-ROW($B$9))</x:f>
      </x:c>
      <x:c r="C456" s="68" t="str">
        <x:f>IF(B456="","",'График платежей'!B456)</x:f>
      </x:c>
      <x:c r="D456" s="67" t="str">
        <x:f>IF(B456="","",C456-C455)</x:f>
      </x:c>
      <x:c r="E456" s="69" t="str">
        <x:f>IF(B456="","",IF('График платежей'!$I$19="Факт / 365",'График платежей'!$I$12*D456/'График платежей'!$I$20,'График платежей'!$I$17))</x:f>
      </x:c>
      <x:c r="F456" s="70" t="str">
        <x:f>IF(B456="","",F455/(1+E456))</x:f>
      </x:c>
    </x:row>
    <x:row r="457" ht="24" customHeight="1">
      <x:c r="B457" s="67" t="str">
        <x:f>IF('График платежей'!B457="","",ROW()-ROW($B$9))</x:f>
      </x:c>
      <x:c r="C457" s="68" t="str">
        <x:f>IF(B457="","",'График платежей'!B457)</x:f>
      </x:c>
      <x:c r="D457" s="67" t="str">
        <x:f>IF(B457="","",C457-C456)</x:f>
      </x:c>
      <x:c r="E457" s="69" t="str">
        <x:f>IF(B457="","",IF('График платежей'!$I$19="Факт / 365",'График платежей'!$I$12*D457/'График платежей'!$I$20,'График платежей'!$I$17))</x:f>
      </x:c>
      <x:c r="F457" s="70" t="str">
        <x:f>IF(B457="","",F456/(1+E457))</x:f>
      </x:c>
    </x:row>
    <x:row r="458" ht="24" customHeight="1">
      <x:c r="B458" s="67" t="str">
        <x:f>IF('График платежей'!B458="","",ROW()-ROW($B$9))</x:f>
      </x:c>
      <x:c r="C458" s="68" t="str">
        <x:f>IF(B458="","",'График платежей'!B458)</x:f>
      </x:c>
      <x:c r="D458" s="67" t="str">
        <x:f>IF(B458="","",C458-C457)</x:f>
      </x:c>
      <x:c r="E458" s="69" t="str">
        <x:f>IF(B458="","",IF('График платежей'!$I$19="Факт / 365",'График платежей'!$I$12*D458/'График платежей'!$I$20,'График платежей'!$I$17))</x:f>
      </x:c>
      <x:c r="F458" s="70" t="str">
        <x:f>IF(B458="","",F457/(1+E458))</x:f>
      </x:c>
    </x:row>
    <x:row r="459" ht="24" customHeight="1">
      <x:c r="B459" s="67" t="str">
        <x:f>IF('График платежей'!B459="","",ROW()-ROW($B$9))</x:f>
      </x:c>
      <x:c r="C459" s="68" t="str">
        <x:f>IF(B459="","",'График платежей'!B459)</x:f>
      </x:c>
      <x:c r="D459" s="67" t="str">
        <x:f>IF(B459="","",C459-C458)</x:f>
      </x:c>
      <x:c r="E459" s="69" t="str">
        <x:f>IF(B459="","",IF('График платежей'!$I$19="Факт / 365",'График платежей'!$I$12*D459/'График платежей'!$I$20,'График платежей'!$I$17))</x:f>
      </x:c>
      <x:c r="F459" s="70" t="str">
        <x:f>IF(B459="","",F458/(1+E459))</x:f>
      </x:c>
    </x:row>
    <x:row r="460" ht="24" customHeight="1">
      <x:c r="B460" s="67" t="str">
        <x:f>IF('График платежей'!B460="","",ROW()-ROW($B$9))</x:f>
      </x:c>
      <x:c r="C460" s="68" t="str">
        <x:f>IF(B460="","",'График платежей'!B460)</x:f>
      </x:c>
      <x:c r="D460" s="67" t="str">
        <x:f>IF(B460="","",C460-C459)</x:f>
      </x:c>
      <x:c r="E460" s="69" t="str">
        <x:f>IF(B460="","",IF('График платежей'!$I$19="Факт / 365",'График платежей'!$I$12*D460/'График платежей'!$I$20,'График платежей'!$I$17))</x:f>
      </x:c>
      <x:c r="F460" s="70" t="str">
        <x:f>IF(B460="","",F459/(1+E460))</x:f>
      </x:c>
    </x:row>
    <x:row r="461" ht="24" customHeight="1">
      <x:c r="B461" s="67" t="str">
        <x:f>IF('График платежей'!B461="","",ROW()-ROW($B$9))</x:f>
      </x:c>
      <x:c r="C461" s="68" t="str">
        <x:f>IF(B461="","",'График платежей'!B461)</x:f>
      </x:c>
      <x:c r="D461" s="67" t="str">
        <x:f>IF(B461="","",C461-C460)</x:f>
      </x:c>
      <x:c r="E461" s="69" t="str">
        <x:f>IF(B461="","",IF('График платежей'!$I$19="Факт / 365",'График платежей'!$I$12*D461/'График платежей'!$I$20,'График платежей'!$I$17))</x:f>
      </x:c>
      <x:c r="F461" s="70" t="str">
        <x:f>IF(B461="","",F460/(1+E461))</x:f>
      </x:c>
    </x:row>
    <x:row r="462" ht="24" customHeight="1">
      <x:c r="B462" s="67" t="str">
        <x:f>IF('График платежей'!B462="","",ROW()-ROW($B$9))</x:f>
      </x:c>
      <x:c r="C462" s="68" t="str">
        <x:f>IF(B462="","",'График платежей'!B462)</x:f>
      </x:c>
      <x:c r="D462" s="67" t="str">
        <x:f>IF(B462="","",C462-C461)</x:f>
      </x:c>
      <x:c r="E462" s="69" t="str">
        <x:f>IF(B462="","",IF('График платежей'!$I$19="Факт / 365",'График платежей'!$I$12*D462/'График платежей'!$I$20,'График платежей'!$I$17))</x:f>
      </x:c>
      <x:c r="F462" s="70" t="str">
        <x:f>IF(B462="","",F461/(1+E462))</x:f>
      </x:c>
    </x:row>
    <x:row r="463" ht="24" customHeight="1">
      <x:c r="B463" s="67" t="str">
        <x:f>IF('График платежей'!B463="","",ROW()-ROW($B$9))</x:f>
      </x:c>
      <x:c r="C463" s="68" t="str">
        <x:f>IF(B463="","",'График платежей'!B463)</x:f>
      </x:c>
      <x:c r="D463" s="67" t="str">
        <x:f>IF(B463="","",C463-C462)</x:f>
      </x:c>
      <x:c r="E463" s="69" t="str">
        <x:f>IF(B463="","",IF('График платежей'!$I$19="Факт / 365",'График платежей'!$I$12*D463/'График платежей'!$I$20,'График платежей'!$I$17))</x:f>
      </x:c>
      <x:c r="F463" s="70" t="str">
        <x:f>IF(B463="","",F462/(1+E463))</x:f>
      </x:c>
    </x:row>
    <x:row r="464" ht="24" customHeight="1">
      <x:c r="B464" s="67" t="str">
        <x:f>IF('График платежей'!B464="","",ROW()-ROW($B$9))</x:f>
      </x:c>
      <x:c r="C464" s="68" t="str">
        <x:f>IF(B464="","",'График платежей'!B464)</x:f>
      </x:c>
      <x:c r="D464" s="67" t="str">
        <x:f>IF(B464="","",C464-C463)</x:f>
      </x:c>
      <x:c r="E464" s="69" t="str">
        <x:f>IF(B464="","",IF('График платежей'!$I$19="Факт / 365",'График платежей'!$I$12*D464/'График платежей'!$I$20,'График платежей'!$I$17))</x:f>
      </x:c>
      <x:c r="F464" s="70" t="str">
        <x:f>IF(B464="","",F463/(1+E464))</x:f>
      </x:c>
    </x:row>
    <x:row r="465" ht="24" customHeight="1">
      <x:c r="B465" s="67" t="str">
        <x:f>IF('График платежей'!B465="","",ROW()-ROW($B$9))</x:f>
      </x:c>
      <x:c r="C465" s="68" t="str">
        <x:f>IF(B465="","",'График платежей'!B465)</x:f>
      </x:c>
      <x:c r="D465" s="67" t="str">
        <x:f>IF(B465="","",C465-C464)</x:f>
      </x:c>
      <x:c r="E465" s="69" t="str">
        <x:f>IF(B465="","",IF('График платежей'!$I$19="Факт / 365",'График платежей'!$I$12*D465/'График платежей'!$I$20,'График платежей'!$I$17))</x:f>
      </x:c>
      <x:c r="F465" s="70" t="str">
        <x:f>IF(B465="","",F464/(1+E465))</x:f>
      </x:c>
    </x:row>
    <x:row r="466" ht="24" customHeight="1">
      <x:c r="B466" s="67" t="str">
        <x:f>IF('График платежей'!B466="","",ROW()-ROW($B$9))</x:f>
      </x:c>
      <x:c r="C466" s="68" t="str">
        <x:f>IF(B466="","",'График платежей'!B466)</x:f>
      </x:c>
      <x:c r="D466" s="67" t="str">
        <x:f>IF(B466="","",C466-C465)</x:f>
      </x:c>
      <x:c r="E466" s="69" t="str">
        <x:f>IF(B466="","",IF('График платежей'!$I$19="Факт / 365",'График платежей'!$I$12*D466/'График платежей'!$I$20,'График платежей'!$I$17))</x:f>
      </x:c>
      <x:c r="F466" s="70" t="str">
        <x:f>IF(B466="","",F465/(1+E466))</x:f>
      </x:c>
    </x:row>
    <x:row r="467" ht="24" customHeight="1">
      <x:c r="B467" s="67" t="str">
        <x:f>IF('График платежей'!B467="","",ROW()-ROW($B$9))</x:f>
      </x:c>
      <x:c r="C467" s="68" t="str">
        <x:f>IF(B467="","",'График платежей'!B467)</x:f>
      </x:c>
      <x:c r="D467" s="67" t="str">
        <x:f>IF(B467="","",C467-C466)</x:f>
      </x:c>
      <x:c r="E467" s="69" t="str">
        <x:f>IF(B467="","",IF('График платежей'!$I$19="Факт / 365",'График платежей'!$I$12*D467/'График платежей'!$I$20,'График платежей'!$I$17))</x:f>
      </x:c>
      <x:c r="F467" s="70" t="str">
        <x:f>IF(B467="","",F466/(1+E467))</x:f>
      </x:c>
    </x:row>
    <x:row r="468" ht="24" customHeight="1">
      <x:c r="B468" s="67" t="str">
        <x:f>IF('График платежей'!B468="","",ROW()-ROW($B$9))</x:f>
      </x:c>
      <x:c r="C468" s="68" t="str">
        <x:f>IF(B468="","",'График платежей'!B468)</x:f>
      </x:c>
      <x:c r="D468" s="67" t="str">
        <x:f>IF(B468="","",C468-C467)</x:f>
      </x:c>
      <x:c r="E468" s="69" t="str">
        <x:f>IF(B468="","",IF('График платежей'!$I$19="Факт / 365",'График платежей'!$I$12*D468/'График платежей'!$I$20,'График платежей'!$I$17))</x:f>
      </x:c>
      <x:c r="F468" s="70" t="str">
        <x:f>IF(B468="","",F467/(1+E468))</x:f>
      </x:c>
    </x:row>
    <x:row r="469" ht="24" customHeight="1">
      <x:c r="B469" s="67" t="str">
        <x:f>IF('График платежей'!B469="","",ROW()-ROW($B$9))</x:f>
      </x:c>
      <x:c r="C469" s="68" t="str">
        <x:f>IF(B469="","",'График платежей'!B469)</x:f>
      </x:c>
      <x:c r="D469" s="67" t="str">
        <x:f>IF(B469="","",C469-C468)</x:f>
      </x:c>
      <x:c r="E469" s="69" t="str">
        <x:f>IF(B469="","",IF('График платежей'!$I$19="Факт / 365",'График платежей'!$I$12*D469/'График платежей'!$I$20,'График платежей'!$I$17))</x:f>
      </x:c>
      <x:c r="F469" s="70" t="str">
        <x:f>IF(B469="","",F468/(1+E469))</x:f>
      </x:c>
    </x:row>
    <x:row r="470" ht="24" customHeight="1">
      <x:c r="B470" s="67" t="str">
        <x:f>IF('График платежей'!B470="","",ROW()-ROW($B$9))</x:f>
      </x:c>
      <x:c r="C470" s="68" t="str">
        <x:f>IF(B470="","",'График платежей'!B470)</x:f>
      </x:c>
      <x:c r="D470" s="67" t="str">
        <x:f>IF(B470="","",C470-C469)</x:f>
      </x:c>
      <x:c r="E470" s="69" t="str">
        <x:f>IF(B470="","",IF('График платежей'!$I$19="Факт / 365",'График платежей'!$I$12*D470/'График платежей'!$I$20,'График платежей'!$I$17))</x:f>
      </x:c>
      <x:c r="F470" s="70" t="str">
        <x:f>IF(B470="","",F469/(1+E470))</x:f>
      </x:c>
    </x:row>
    <x:row r="471" ht="24" customHeight="1">
      <x:c r="B471" s="67" t="str">
        <x:f>IF('График платежей'!B471="","",ROW()-ROW($B$9))</x:f>
      </x:c>
      <x:c r="C471" s="68" t="str">
        <x:f>IF(B471="","",'График платежей'!B471)</x:f>
      </x:c>
      <x:c r="D471" s="67" t="str">
        <x:f>IF(B471="","",C471-C470)</x:f>
      </x:c>
      <x:c r="E471" s="69" t="str">
        <x:f>IF(B471="","",IF('График платежей'!$I$19="Факт / 365",'График платежей'!$I$12*D471/'График платежей'!$I$20,'График платежей'!$I$17))</x:f>
      </x:c>
      <x:c r="F471" s="70" t="str">
        <x:f>IF(B471="","",F470/(1+E471))</x:f>
      </x:c>
    </x:row>
    <x:row r="472" ht="24" customHeight="1">
      <x:c r="B472" s="67" t="str">
        <x:f>IF('График платежей'!B472="","",ROW()-ROW($B$9))</x:f>
      </x:c>
      <x:c r="C472" s="68" t="str">
        <x:f>IF(B472="","",'График платежей'!B472)</x:f>
      </x:c>
      <x:c r="D472" s="67" t="str">
        <x:f>IF(B472="","",C472-C471)</x:f>
      </x:c>
      <x:c r="E472" s="69" t="str">
        <x:f>IF(B472="","",IF('График платежей'!$I$19="Факт / 365",'График платежей'!$I$12*D472/'График платежей'!$I$20,'График платежей'!$I$17))</x:f>
      </x:c>
      <x:c r="F472" s="70" t="str">
        <x:f>IF(B472="","",F471/(1+E472))</x:f>
      </x:c>
    </x:row>
    <x:row r="473" ht="24" customHeight="1">
      <x:c r="B473" s="67" t="str">
        <x:f>IF('График платежей'!B473="","",ROW()-ROW($B$9))</x:f>
      </x:c>
      <x:c r="C473" s="68" t="str">
        <x:f>IF(B473="","",'График платежей'!B473)</x:f>
      </x:c>
      <x:c r="D473" s="67" t="str">
        <x:f>IF(B473="","",C473-C472)</x:f>
      </x:c>
      <x:c r="E473" s="69" t="str">
        <x:f>IF(B473="","",IF('График платежей'!$I$19="Факт / 365",'График платежей'!$I$12*D473/'График платежей'!$I$20,'График платежей'!$I$17))</x:f>
      </x:c>
      <x:c r="F473" s="70" t="str">
        <x:f>IF(B473="","",F472/(1+E473))</x:f>
      </x:c>
    </x:row>
    <x:row r="474" ht="24" customHeight="1">
      <x:c r="B474" s="67" t="str">
        <x:f>IF('График платежей'!B474="","",ROW()-ROW($B$9))</x:f>
      </x:c>
      <x:c r="C474" s="68" t="str">
        <x:f>IF(B474="","",'График платежей'!B474)</x:f>
      </x:c>
      <x:c r="D474" s="67" t="str">
        <x:f>IF(B474="","",C474-C473)</x:f>
      </x:c>
      <x:c r="E474" s="69" t="str">
        <x:f>IF(B474="","",IF('График платежей'!$I$19="Факт / 365",'График платежей'!$I$12*D474/'График платежей'!$I$20,'График платежей'!$I$17))</x:f>
      </x:c>
      <x:c r="F474" s="70" t="str">
        <x:f>IF(B474="","",F473/(1+E474))</x:f>
      </x:c>
    </x:row>
    <x:row r="475" ht="24" customHeight="1">
      <x:c r="B475" s="67" t="str">
        <x:f>IF('График платежей'!B475="","",ROW()-ROW($B$9))</x:f>
      </x:c>
      <x:c r="C475" s="68" t="str">
        <x:f>IF(B475="","",'График платежей'!B475)</x:f>
      </x:c>
      <x:c r="D475" s="67" t="str">
        <x:f>IF(B475="","",C475-C474)</x:f>
      </x:c>
      <x:c r="E475" s="69" t="str">
        <x:f>IF(B475="","",IF('График платежей'!$I$19="Факт / 365",'График платежей'!$I$12*D475/'График платежей'!$I$20,'График платежей'!$I$17))</x:f>
      </x:c>
      <x:c r="F475" s="70" t="str">
        <x:f>IF(B475="","",F474/(1+E475))</x:f>
      </x:c>
    </x:row>
    <x:row r="476" ht="24" customHeight="1">
      <x:c r="B476" s="67" t="str">
        <x:f>IF('График платежей'!B476="","",ROW()-ROW($B$9))</x:f>
      </x:c>
      <x:c r="C476" s="68" t="str">
        <x:f>IF(B476="","",'График платежей'!B476)</x:f>
      </x:c>
      <x:c r="D476" s="67" t="str">
        <x:f>IF(B476="","",C476-C475)</x:f>
      </x:c>
      <x:c r="E476" s="69" t="str">
        <x:f>IF(B476="","",IF('График платежей'!$I$19="Факт / 365",'График платежей'!$I$12*D476/'График платежей'!$I$20,'График платежей'!$I$17))</x:f>
      </x:c>
      <x:c r="F476" s="70" t="str">
        <x:f>IF(B476="","",F475/(1+E476))</x:f>
      </x:c>
    </x:row>
    <x:row r="477" ht="24" customHeight="1">
      <x:c r="B477" s="67" t="str">
        <x:f>IF('График платежей'!B477="","",ROW()-ROW($B$9))</x:f>
      </x:c>
      <x:c r="C477" s="68" t="str">
        <x:f>IF(B477="","",'График платежей'!B477)</x:f>
      </x:c>
      <x:c r="D477" s="67" t="str">
        <x:f>IF(B477="","",C477-C476)</x:f>
      </x:c>
      <x:c r="E477" s="69" t="str">
        <x:f>IF(B477="","",IF('График платежей'!$I$19="Факт / 365",'График платежей'!$I$12*D477/'График платежей'!$I$20,'График платежей'!$I$17))</x:f>
      </x:c>
      <x:c r="F477" s="70" t="str">
        <x:f>IF(B477="","",F476/(1+E477))</x:f>
      </x:c>
    </x:row>
    <x:row r="478" ht="24" customHeight="1">
      <x:c r="B478" s="67" t="str">
        <x:f>IF('График платежей'!B478="","",ROW()-ROW($B$9))</x:f>
      </x:c>
      <x:c r="C478" s="68" t="str">
        <x:f>IF(B478="","",'График платежей'!B478)</x:f>
      </x:c>
      <x:c r="D478" s="67" t="str">
        <x:f>IF(B478="","",C478-C477)</x:f>
      </x:c>
      <x:c r="E478" s="69" t="str">
        <x:f>IF(B478="","",IF('График платежей'!$I$19="Факт / 365",'График платежей'!$I$12*D478/'График платежей'!$I$20,'График платежей'!$I$17))</x:f>
      </x:c>
      <x:c r="F478" s="70" t="str">
        <x:f>IF(B478="","",F477/(1+E478))</x:f>
      </x:c>
    </x:row>
    <x:row r="479" ht="24" customHeight="1">
      <x:c r="B479" s="67" t="str">
        <x:f>IF('График платежей'!B479="","",ROW()-ROW($B$9))</x:f>
      </x:c>
      <x:c r="C479" s="68" t="str">
        <x:f>IF(B479="","",'График платежей'!B479)</x:f>
      </x:c>
      <x:c r="D479" s="67" t="str">
        <x:f>IF(B479="","",C479-C478)</x:f>
      </x:c>
      <x:c r="E479" s="69" t="str">
        <x:f>IF(B479="","",IF('График платежей'!$I$19="Факт / 365",'График платежей'!$I$12*D479/'График платежей'!$I$20,'График платежей'!$I$17))</x:f>
      </x:c>
      <x:c r="F479" s="70" t="str">
        <x:f>IF(B479="","",F478/(1+E479))</x:f>
      </x:c>
    </x:row>
    <x:row r="480" ht="24" customHeight="1">
      <x:c r="B480" s="67" t="str">
        <x:f>IF('График платежей'!B480="","",ROW()-ROW($B$9))</x:f>
      </x:c>
      <x:c r="C480" s="68" t="str">
        <x:f>IF(B480="","",'График платежей'!B480)</x:f>
      </x:c>
      <x:c r="D480" s="67" t="str">
        <x:f>IF(B480="","",C480-C479)</x:f>
      </x:c>
      <x:c r="E480" s="69" t="str">
        <x:f>IF(B480="","",IF('График платежей'!$I$19="Факт / 365",'График платежей'!$I$12*D480/'График платежей'!$I$20,'График платежей'!$I$17))</x:f>
      </x:c>
      <x:c r="F480" s="70" t="str">
        <x:f>IF(B480="","",F479/(1+E480))</x:f>
      </x:c>
    </x:row>
    <x:row r="481" ht="24" customHeight="1">
      <x:c r="B481" s="67" t="str">
        <x:f>IF('График платежей'!B481="","",ROW()-ROW($B$9))</x:f>
      </x:c>
      <x:c r="C481" s="68" t="str">
        <x:f>IF(B481="","",'График платежей'!B481)</x:f>
      </x:c>
      <x:c r="D481" s="67" t="str">
        <x:f>IF(B481="","",C481-C480)</x:f>
      </x:c>
      <x:c r="E481" s="69" t="str">
        <x:f>IF(B481="","",IF('График платежей'!$I$19="Факт / 365",'График платежей'!$I$12*D481/'График платежей'!$I$20,'График платежей'!$I$17))</x:f>
      </x:c>
      <x:c r="F481" s="70" t="str">
        <x:f>IF(B481="","",F480/(1+E481))</x:f>
      </x:c>
    </x:row>
    <x:row r="482" ht="24" customHeight="1">
      <x:c r="B482" s="67" t="str">
        <x:f>IF('График платежей'!B482="","",ROW()-ROW($B$9))</x:f>
      </x:c>
      <x:c r="C482" s="68" t="str">
        <x:f>IF(B482="","",'График платежей'!B482)</x:f>
      </x:c>
      <x:c r="D482" s="67" t="str">
        <x:f>IF(B482="","",C482-C481)</x:f>
      </x:c>
      <x:c r="E482" s="69" t="str">
        <x:f>IF(B482="","",IF('График платежей'!$I$19="Факт / 365",'График платежей'!$I$12*D482/'График платежей'!$I$20,'График платежей'!$I$17))</x:f>
      </x:c>
      <x:c r="F482" s="70" t="str">
        <x:f>IF(B482="","",F481/(1+E482))</x:f>
      </x:c>
    </x:row>
    <x:row r="483" ht="24" customHeight="1">
      <x:c r="B483" s="67" t="str">
        <x:f>IF('График платежей'!B483="","",ROW()-ROW($B$9))</x:f>
      </x:c>
      <x:c r="C483" s="68" t="str">
        <x:f>IF(B483="","",'График платежей'!B483)</x:f>
      </x:c>
      <x:c r="D483" s="67" t="str">
        <x:f>IF(B483="","",C483-C482)</x:f>
      </x:c>
      <x:c r="E483" s="69" t="str">
        <x:f>IF(B483="","",IF('График платежей'!$I$19="Факт / 365",'График платежей'!$I$12*D483/'График платежей'!$I$20,'График платежей'!$I$17))</x:f>
      </x:c>
      <x:c r="F483" s="70" t="str">
        <x:f>IF(B483="","",F482/(1+E483))</x:f>
      </x:c>
    </x:row>
    <x:row r="484" ht="24" customHeight="1">
      <x:c r="B484" s="67" t="str">
        <x:f>IF('График платежей'!B484="","",ROW()-ROW($B$9))</x:f>
      </x:c>
      <x:c r="C484" s="68" t="str">
        <x:f>IF(B484="","",'График платежей'!B484)</x:f>
      </x:c>
      <x:c r="D484" s="67" t="str">
        <x:f>IF(B484="","",C484-C483)</x:f>
      </x:c>
      <x:c r="E484" s="69" t="str">
        <x:f>IF(B484="","",IF('График платежей'!$I$19="Факт / 365",'График платежей'!$I$12*D484/'График платежей'!$I$20,'График платежей'!$I$17))</x:f>
      </x:c>
      <x:c r="F484" s="70" t="str">
        <x:f>IF(B484="","",F483/(1+E484))</x:f>
      </x:c>
    </x:row>
    <x:row r="485" ht="24" customHeight="1">
      <x:c r="B485" s="67" t="str">
        <x:f>IF('График платежей'!B485="","",ROW()-ROW($B$9))</x:f>
      </x:c>
      <x:c r="C485" s="68" t="str">
        <x:f>IF(B485="","",'График платежей'!B485)</x:f>
      </x:c>
      <x:c r="D485" s="67" t="str">
        <x:f>IF(B485="","",C485-C484)</x:f>
      </x:c>
      <x:c r="E485" s="69" t="str">
        <x:f>IF(B485="","",IF('График платежей'!$I$19="Факт / 365",'График платежей'!$I$12*D485/'График платежей'!$I$20,'График платежей'!$I$17))</x:f>
      </x:c>
      <x:c r="F485" s="70" t="str">
        <x:f>IF(B485="","",F484/(1+E485))</x:f>
      </x:c>
    </x:row>
    <x:row r="486" ht="24" customHeight="1">
      <x:c r="B486" s="67" t="str">
        <x:f>IF('График платежей'!B486="","",ROW()-ROW($B$9))</x:f>
      </x:c>
      <x:c r="C486" s="68" t="str">
        <x:f>IF(B486="","",'График платежей'!B486)</x:f>
      </x:c>
      <x:c r="D486" s="67" t="str">
        <x:f>IF(B486="","",C486-C485)</x:f>
      </x:c>
      <x:c r="E486" s="69" t="str">
        <x:f>IF(B486="","",IF('График платежей'!$I$19="Факт / 365",'График платежей'!$I$12*D486/'График платежей'!$I$20,'График платежей'!$I$17))</x:f>
      </x:c>
      <x:c r="F486" s="70" t="str">
        <x:f>IF(B486="","",F485/(1+E486))</x:f>
      </x:c>
    </x:row>
    <x:row r="487" ht="24" customHeight="1">
      <x:c r="B487" s="67" t="str">
        <x:f>IF('График платежей'!B487="","",ROW()-ROW($B$9))</x:f>
      </x:c>
      <x:c r="C487" s="68" t="str">
        <x:f>IF(B487="","",'График платежей'!B487)</x:f>
      </x:c>
      <x:c r="D487" s="67" t="str">
        <x:f>IF(B487="","",C487-C486)</x:f>
      </x:c>
      <x:c r="E487" s="69" t="str">
        <x:f>IF(B487="","",IF('График платежей'!$I$19="Факт / 365",'График платежей'!$I$12*D487/'График платежей'!$I$20,'График платежей'!$I$17))</x:f>
      </x:c>
      <x:c r="F487" s="70" t="str">
        <x:f>IF(B487="","",F486/(1+E487))</x:f>
      </x:c>
    </x:row>
    <x:row r="488" ht="24" customHeight="1">
      <x:c r="B488" s="67" t="str">
        <x:f>IF('График платежей'!B488="","",ROW()-ROW($B$9))</x:f>
      </x:c>
      <x:c r="C488" s="68" t="str">
        <x:f>IF(B488="","",'График платежей'!B488)</x:f>
      </x:c>
      <x:c r="D488" s="67" t="str">
        <x:f>IF(B488="","",C488-C487)</x:f>
      </x:c>
      <x:c r="E488" s="69" t="str">
        <x:f>IF(B488="","",IF('График платежей'!$I$19="Факт / 365",'График платежей'!$I$12*D488/'График платежей'!$I$20,'График платежей'!$I$17))</x:f>
      </x:c>
      <x:c r="F488" s="70" t="str">
        <x:f>IF(B488="","",F487/(1+E488))</x:f>
      </x:c>
    </x:row>
    <x:row r="489" ht="24" customHeight="1">
      <x:c r="B489" s="67" t="str">
        <x:f>IF('График платежей'!B489="","",ROW()-ROW($B$9))</x:f>
      </x:c>
      <x:c r="C489" s="68" t="str">
        <x:f>IF(B489="","",'График платежей'!B489)</x:f>
      </x:c>
      <x:c r="D489" s="67" t="str">
        <x:f>IF(B489="","",C489-C488)</x:f>
      </x:c>
      <x:c r="E489" s="69" t="str">
        <x:f>IF(B489="","",IF('График платежей'!$I$19="Факт / 365",'График платежей'!$I$12*D489/'График платежей'!$I$20,'График платежей'!$I$17))</x:f>
      </x:c>
      <x:c r="F489" s="70" t="str">
        <x:f>IF(B489="","",F488/(1+E489))</x:f>
      </x:c>
    </x:row>
    <x:row r="490" ht="24" customHeight="1">
      <x:c r="B490" s="67" t="str">
        <x:f>IF('График платежей'!B490="","",ROW()-ROW($B$9))</x:f>
      </x:c>
      <x:c r="C490" s="68" t="str">
        <x:f>IF(B490="","",'График платежей'!B490)</x:f>
      </x:c>
      <x:c r="D490" s="67" t="str">
        <x:f>IF(B490="","",C490-C489)</x:f>
      </x:c>
      <x:c r="E490" s="69" t="str">
        <x:f>IF(B490="","",IF('График платежей'!$I$19="Факт / 365",'График платежей'!$I$12*D490/'График платежей'!$I$20,'График платежей'!$I$17))</x:f>
      </x:c>
      <x:c r="F490" s="70" t="str">
        <x:f>IF(B490="","",F489/(1+E490))</x:f>
      </x:c>
    </x:row>
    <x:row r="491" ht="24" customHeight="1">
      <x:c r="B491" s="67" t="str">
        <x:f>IF('График платежей'!B491="","",ROW()-ROW($B$9))</x:f>
      </x:c>
      <x:c r="C491" s="68" t="str">
        <x:f>IF(B491="","",'График платежей'!B491)</x:f>
      </x:c>
      <x:c r="D491" s="67" t="str">
        <x:f>IF(B491="","",C491-C490)</x:f>
      </x:c>
      <x:c r="E491" s="69" t="str">
        <x:f>IF(B491="","",IF('График платежей'!$I$19="Факт / 365",'График платежей'!$I$12*D491/'График платежей'!$I$20,'График платежей'!$I$17))</x:f>
      </x:c>
      <x:c r="F491" s="70" t="str">
        <x:f>IF(B491="","",F490/(1+E491))</x:f>
      </x:c>
    </x:row>
    <x:row r="492" ht="24" customHeight="1">
      <x:c r="B492" s="67" t="str">
        <x:f>IF('График платежей'!B492="","",ROW()-ROW($B$9))</x:f>
      </x:c>
      <x:c r="C492" s="68" t="str">
        <x:f>IF(B492="","",'График платежей'!B492)</x:f>
      </x:c>
      <x:c r="D492" s="67" t="str">
        <x:f>IF(B492="","",C492-C491)</x:f>
      </x:c>
      <x:c r="E492" s="69" t="str">
        <x:f>IF(B492="","",IF('График платежей'!$I$19="Факт / 365",'График платежей'!$I$12*D492/'График платежей'!$I$20,'График платежей'!$I$17))</x:f>
      </x:c>
      <x:c r="F492" s="70" t="str">
        <x:f>IF(B492="","",F491/(1+E492))</x:f>
      </x:c>
    </x:row>
    <x:row r="493" ht="24" customHeight="1">
      <x:c r="B493" s="67" t="str">
        <x:f>IF('График платежей'!B493="","",ROW()-ROW($B$9))</x:f>
      </x:c>
      <x:c r="C493" s="68" t="str">
        <x:f>IF(B493="","",'График платежей'!B493)</x:f>
      </x:c>
      <x:c r="D493" s="67" t="str">
        <x:f>IF(B493="","",C493-C492)</x:f>
      </x:c>
      <x:c r="E493" s="69" t="str">
        <x:f>IF(B493="","",IF('График платежей'!$I$19="Факт / 365",'График платежей'!$I$12*D493/'График платежей'!$I$20,'График платежей'!$I$17))</x:f>
      </x:c>
      <x:c r="F493" s="70" t="str">
        <x:f>IF(B493="","",F492/(1+E493))</x:f>
      </x:c>
    </x:row>
    <x:row r="494" ht="24" customHeight="1">
      <x:c r="B494" s="67" t="str">
        <x:f>IF('График платежей'!B494="","",ROW()-ROW($B$9))</x:f>
      </x:c>
      <x:c r="C494" s="68" t="str">
        <x:f>IF(B494="","",'График платежей'!B494)</x:f>
      </x:c>
      <x:c r="D494" s="67" t="str">
        <x:f>IF(B494="","",C494-C493)</x:f>
      </x:c>
      <x:c r="E494" s="69" t="str">
        <x:f>IF(B494="","",IF('График платежей'!$I$19="Факт / 365",'График платежей'!$I$12*D494/'График платежей'!$I$20,'График платежей'!$I$17))</x:f>
      </x:c>
      <x:c r="F494" s="70" t="str">
        <x:f>IF(B494="","",F493/(1+E494))</x:f>
      </x:c>
    </x:row>
    <x:row r="495" ht="24" customHeight="1">
      <x:c r="B495" s="67" t="str">
        <x:f>IF('График платежей'!B495="","",ROW()-ROW($B$9))</x:f>
      </x:c>
      <x:c r="C495" s="68" t="str">
        <x:f>IF(B495="","",'График платежей'!B495)</x:f>
      </x:c>
      <x:c r="D495" s="67" t="str">
        <x:f>IF(B495="","",C495-C494)</x:f>
      </x:c>
      <x:c r="E495" s="69" t="str">
        <x:f>IF(B495="","",IF('График платежей'!$I$19="Факт / 365",'График платежей'!$I$12*D495/'График платежей'!$I$20,'График платежей'!$I$17))</x:f>
      </x:c>
      <x:c r="F495" s="70" t="str">
        <x:f>IF(B495="","",F494/(1+E495))</x:f>
      </x:c>
    </x:row>
    <x:row r="496" ht="24" customHeight="1">
      <x:c r="B496" s="67" t="str">
        <x:f>IF('График платежей'!B496="","",ROW()-ROW($B$9))</x:f>
      </x:c>
      <x:c r="C496" s="68" t="str">
        <x:f>IF(B496="","",'График платежей'!B496)</x:f>
      </x:c>
      <x:c r="D496" s="67" t="str">
        <x:f>IF(B496="","",C496-C495)</x:f>
      </x:c>
      <x:c r="E496" s="69" t="str">
        <x:f>IF(B496="","",IF('График платежей'!$I$19="Факт / 365",'График платежей'!$I$12*D496/'График платежей'!$I$20,'График платежей'!$I$17))</x:f>
      </x:c>
      <x:c r="F496" s="70" t="str">
        <x:f>IF(B496="","",F495/(1+E496))</x:f>
      </x:c>
    </x:row>
    <x:row r="497" ht="24" customHeight="1">
      <x:c r="B497" s="67" t="str">
        <x:f>IF('График платежей'!B497="","",ROW()-ROW($B$9))</x:f>
      </x:c>
      <x:c r="C497" s="68" t="str">
        <x:f>IF(B497="","",'График платежей'!B497)</x:f>
      </x:c>
      <x:c r="D497" s="67" t="str">
        <x:f>IF(B497="","",C497-C496)</x:f>
      </x:c>
      <x:c r="E497" s="69" t="str">
        <x:f>IF(B497="","",IF('График платежей'!$I$19="Факт / 365",'График платежей'!$I$12*D497/'График платежей'!$I$20,'График платежей'!$I$17))</x:f>
      </x:c>
      <x:c r="F497" s="70" t="str">
        <x:f>IF(B497="","",F496/(1+E497))</x:f>
      </x:c>
    </x:row>
    <x:row r="498" ht="24" customHeight="1">
      <x:c r="B498" s="67" t="str">
        <x:f>IF('График платежей'!B498="","",ROW()-ROW($B$9))</x:f>
      </x:c>
      <x:c r="C498" s="68" t="str">
        <x:f>IF(B498="","",'График платежей'!B498)</x:f>
      </x:c>
      <x:c r="D498" s="67" t="str">
        <x:f>IF(B498="","",C498-C497)</x:f>
      </x:c>
      <x:c r="E498" s="69" t="str">
        <x:f>IF(B498="","",IF('График платежей'!$I$19="Факт / 365",'График платежей'!$I$12*D498/'График платежей'!$I$20,'График платежей'!$I$17))</x:f>
      </x:c>
      <x:c r="F498" s="70" t="str">
        <x:f>IF(B498="","",F497/(1+E498))</x:f>
      </x:c>
    </x:row>
    <x:row r="499" ht="24" customHeight="1">
      <x:c r="B499" s="67" t="str">
        <x:f>IF('График платежей'!B499="","",ROW()-ROW($B$9))</x:f>
      </x:c>
      <x:c r="C499" s="68" t="str">
        <x:f>IF(B499="","",'График платежей'!B499)</x:f>
      </x:c>
      <x:c r="D499" s="67" t="str">
        <x:f>IF(B499="","",C499-C498)</x:f>
      </x:c>
      <x:c r="E499" s="69" t="str">
        <x:f>IF(B499="","",IF('График платежей'!$I$19="Факт / 365",'График платежей'!$I$12*D499/'График платежей'!$I$20,'График платежей'!$I$17))</x:f>
      </x:c>
      <x:c r="F499" s="70" t="str">
        <x:f>IF(B499="","",F498/(1+E499))</x:f>
      </x:c>
    </x:row>
    <x:row r="500" ht="24" customHeight="1">
      <x:c r="B500" s="67" t="str">
        <x:f>IF('График платежей'!B500="","",ROW()-ROW($B$9))</x:f>
      </x:c>
      <x:c r="C500" s="68" t="str">
        <x:f>IF(B500="","",'График платежей'!B500)</x:f>
      </x:c>
      <x:c r="D500" s="67" t="str">
        <x:f>IF(B500="","",C500-C499)</x:f>
      </x:c>
      <x:c r="E500" s="69" t="str">
        <x:f>IF(B500="","",IF('График платежей'!$I$19="Факт / 365",'График платежей'!$I$12*D500/'График платежей'!$I$20,'График платежей'!$I$17))</x:f>
      </x:c>
      <x:c r="F500" s="70" t="str">
        <x:f>IF(B500="","",F499/(1+E500))</x:f>
      </x:c>
    </x:row>
    <x:row r="501" ht="24" customHeight="1">
      <x:c r="B501" s="67" t="str">
        <x:f>IF('График платежей'!B501="","",ROW()-ROW($B$9))</x:f>
      </x:c>
      <x:c r="C501" s="68" t="str">
        <x:f>IF(B501="","",'График платежей'!B501)</x:f>
      </x:c>
      <x:c r="D501" s="67" t="str">
        <x:f>IF(B501="","",C501-C500)</x:f>
      </x:c>
      <x:c r="E501" s="69" t="str">
        <x:f>IF(B501="","",IF('График платежей'!$I$19="Факт / 365",'График платежей'!$I$12*D501/'График платежей'!$I$20,'График платежей'!$I$17))</x:f>
      </x:c>
      <x:c r="F501" s="70" t="str">
        <x:f>IF(B501="","",F500/(1+E501))</x:f>
      </x:c>
    </x:row>
    <x:row r="502" ht="24" customHeight="1">
      <x:c r="B502" s="67" t="str">
        <x:f>IF('График платежей'!B502="","",ROW()-ROW($B$9))</x:f>
      </x:c>
      <x:c r="C502" s="68" t="str">
        <x:f>IF(B502="","",'График платежей'!B502)</x:f>
      </x:c>
      <x:c r="D502" s="67" t="str">
        <x:f>IF(B502="","",C502-C501)</x:f>
      </x:c>
      <x:c r="E502" s="69" t="str">
        <x:f>IF(B502="","",IF('График платежей'!$I$19="Факт / 365",'График платежей'!$I$12*D502/'График платежей'!$I$20,'График платежей'!$I$17))</x:f>
      </x:c>
      <x:c r="F502" s="70" t="str">
        <x:f>IF(B502="","",F501/(1+E502))</x:f>
      </x:c>
    </x:row>
    <x:row r="503" ht="24" customHeight="1">
      <x:c r="B503" s="67" t="str">
        <x:f>IF('График платежей'!B503="","",ROW()-ROW($B$9))</x:f>
      </x:c>
      <x:c r="C503" s="68" t="str">
        <x:f>IF(B503="","",'График платежей'!B503)</x:f>
      </x:c>
      <x:c r="D503" s="67" t="str">
        <x:f>IF(B503="","",C503-C502)</x:f>
      </x:c>
      <x:c r="E503" s="69" t="str">
        <x:f>IF(B503="","",IF('График платежей'!$I$19="Факт / 365",'График платежей'!$I$12*D503/'График платежей'!$I$20,'График платежей'!$I$17))</x:f>
      </x:c>
      <x:c r="F503" s="70" t="str">
        <x:f>IF(B503="","",F502/(1+E503))</x:f>
      </x:c>
    </x:row>
    <x:row r="504" ht="24" customHeight="1">
      <x:c r="B504" s="67" t="str">
        <x:f>IF('График платежей'!B504="","",ROW()-ROW($B$9))</x:f>
      </x:c>
      <x:c r="C504" s="68" t="str">
        <x:f>IF(B504="","",'График платежей'!B504)</x:f>
      </x:c>
      <x:c r="D504" s="67" t="str">
        <x:f>IF(B504="","",C504-C503)</x:f>
      </x:c>
      <x:c r="E504" s="69" t="str">
        <x:f>IF(B504="","",IF('График платежей'!$I$19="Факт / 365",'График платежей'!$I$12*D504/'График платежей'!$I$20,'График платежей'!$I$17))</x:f>
      </x:c>
      <x:c r="F504" s="70" t="str">
        <x:f>IF(B504="","",F503/(1+E504))</x:f>
      </x:c>
    </x:row>
    <x:row r="505" ht="24" customHeight="1">
      <x:c r="B505" s="67" t="str">
        <x:f>IF('График платежей'!B505="","",ROW()-ROW($B$9))</x:f>
      </x:c>
      <x:c r="C505" s="68" t="str">
        <x:f>IF(B505="","",'График платежей'!B505)</x:f>
      </x:c>
      <x:c r="D505" s="67" t="str">
        <x:f>IF(B505="","",C505-C504)</x:f>
      </x:c>
      <x:c r="E505" s="69" t="str">
        <x:f>IF(B505="","",IF('График платежей'!$I$19="Факт / 365",'График платежей'!$I$12*D505/'График платежей'!$I$20,'График платежей'!$I$17))</x:f>
      </x:c>
      <x:c r="F505" s="70" t="str">
        <x:f>IF(B505="","",F504/(1+E505))</x:f>
      </x:c>
    </x:row>
    <x:row r="506" ht="24" customHeight="1">
      <x:c r="B506" s="67" t="str">
        <x:f>IF('График платежей'!B506="","",ROW()-ROW($B$9))</x:f>
      </x:c>
      <x:c r="C506" s="68" t="str">
        <x:f>IF(B506="","",'График платежей'!B506)</x:f>
      </x:c>
      <x:c r="D506" s="67" t="str">
        <x:f>IF(B506="","",C506-C505)</x:f>
      </x:c>
      <x:c r="E506" s="69" t="str">
        <x:f>IF(B506="","",IF('График платежей'!$I$19="Факт / 365",'График платежей'!$I$12*D506/'График платежей'!$I$20,'График платежей'!$I$17))</x:f>
      </x:c>
      <x:c r="F506" s="70" t="str">
        <x:f>IF(B506="","",F505/(1+E506))</x:f>
      </x:c>
    </x:row>
    <x:row r="507" ht="24" customHeight="1">
      <x:c r="B507" s="67" t="str">
        <x:f>IF('График платежей'!B507="","",ROW()-ROW($B$9))</x:f>
      </x:c>
      <x:c r="C507" s="68" t="str">
        <x:f>IF(B507="","",'График платежей'!B507)</x:f>
      </x:c>
      <x:c r="D507" s="67" t="str">
        <x:f>IF(B507="","",C507-C506)</x:f>
      </x:c>
      <x:c r="E507" s="69" t="str">
        <x:f>IF(B507="","",IF('График платежей'!$I$19="Факт / 365",'График платежей'!$I$12*D507/'График платежей'!$I$20,'График платежей'!$I$17))</x:f>
      </x:c>
      <x:c r="F507" s="70" t="str">
        <x:f>IF(B507="","",F506/(1+E507))</x:f>
      </x:c>
    </x:row>
    <x:row r="508" ht="24" customHeight="1">
      <x:c r="B508" s="67" t="str">
        <x:f>IF('График платежей'!B508="","",ROW()-ROW($B$9))</x:f>
      </x:c>
      <x:c r="C508" s="68" t="str">
        <x:f>IF(B508="","",'График платежей'!B508)</x:f>
      </x:c>
      <x:c r="D508" s="67" t="str">
        <x:f>IF(B508="","",C508-C507)</x:f>
      </x:c>
      <x:c r="E508" s="69" t="str">
        <x:f>IF(B508="","",IF('График платежей'!$I$19="Факт / 365",'График платежей'!$I$12*D508/'График платежей'!$I$20,'График платежей'!$I$17))</x:f>
      </x:c>
      <x:c r="F508" s="70" t="str">
        <x:f>IF(B508="","",F507/(1+E508))</x:f>
      </x:c>
    </x:row>
    <x:row r="509" ht="24" customHeight="1">
      <x:c r="B509" s="67" t="str">
        <x:f>IF('График платежей'!B509="","",ROW()-ROW($B$9))</x:f>
      </x:c>
      <x:c r="C509" s="68" t="str">
        <x:f>IF(B509="","",'График платежей'!B509)</x:f>
      </x:c>
      <x:c r="D509" s="67" t="str">
        <x:f>IF(B509="","",C509-C508)</x:f>
      </x:c>
      <x:c r="E509" s="69" t="str">
        <x:f>IF(B509="","",IF('График платежей'!$I$19="Факт / 365",'График платежей'!$I$12*D509/'График платежей'!$I$20,'График платежей'!$I$17))</x:f>
      </x:c>
      <x:c r="F509" s="70" t="str">
        <x:f>IF(B509="","",F508/(1+E509))</x:f>
      </x:c>
    </x:row>
    <x:row r="510" ht="24" customHeight="1">
      <x:c r="B510" s="67" t="str">
        <x:f>IF('График платежей'!B510="","",ROW()-ROW($B$9))</x:f>
      </x:c>
      <x:c r="C510" s="68" t="str">
        <x:f>IF(B510="","",'График платежей'!B510)</x:f>
      </x:c>
      <x:c r="D510" s="67" t="str">
        <x:f>IF(B510="","",C510-C509)</x:f>
      </x:c>
      <x:c r="E510" s="69" t="str">
        <x:f>IF(B510="","",IF('График платежей'!$I$19="Факт / 365",'График платежей'!$I$12*D510/'График платежей'!$I$20,'График платежей'!$I$17))</x:f>
      </x:c>
      <x:c r="F510" s="70" t="str">
        <x:f>IF(B510="","",F509/(1+E510))</x:f>
      </x:c>
    </x:row>
    <x:row r="511" ht="24" customHeight="1">
      <x:c r="B511" s="67" t="str">
        <x:f>IF('График платежей'!B511="","",ROW()-ROW($B$9))</x:f>
      </x:c>
      <x:c r="C511" s="68" t="str">
        <x:f>IF(B511="","",'График платежей'!B511)</x:f>
      </x:c>
      <x:c r="D511" s="67" t="str">
        <x:f>IF(B511="","",C511-C510)</x:f>
      </x:c>
      <x:c r="E511" s="69" t="str">
        <x:f>IF(B511="","",IF('График платежей'!$I$19="Факт / 365",'График платежей'!$I$12*D511/'График платежей'!$I$20,'График платежей'!$I$17))</x:f>
      </x:c>
      <x:c r="F511" s="70" t="str">
        <x:f>IF(B511="","",F510/(1+E511))</x:f>
      </x:c>
    </x:row>
    <x:row r="512" ht="24" customHeight="1">
      <x:c r="B512" s="67" t="str">
        <x:f>IF('График платежей'!B512="","",ROW()-ROW($B$9))</x:f>
      </x:c>
      <x:c r="C512" s="68" t="str">
        <x:f>IF(B512="","",'График платежей'!B512)</x:f>
      </x:c>
      <x:c r="D512" s="67" t="str">
        <x:f>IF(B512="","",C512-C511)</x:f>
      </x:c>
      <x:c r="E512" s="69" t="str">
        <x:f>IF(B512="","",IF('График платежей'!$I$19="Факт / 365",'График платежей'!$I$12*D512/'График платежей'!$I$20,'График платежей'!$I$17))</x:f>
      </x:c>
      <x:c r="F512" s="70" t="str">
        <x:f>IF(B512="","",F511/(1+E512))</x:f>
      </x:c>
    </x:row>
    <x:row r="513" ht="24" customHeight="1">
      <x:c r="B513" s="67" t="str">
        <x:f>IF('График платежей'!B513="","",ROW()-ROW($B$9))</x:f>
      </x:c>
      <x:c r="C513" s="68" t="str">
        <x:f>IF(B513="","",'График платежей'!B513)</x:f>
      </x:c>
      <x:c r="D513" s="67" t="str">
        <x:f>IF(B513="","",C513-C512)</x:f>
      </x:c>
      <x:c r="E513" s="69" t="str">
        <x:f>IF(B513="","",IF('График платежей'!$I$19="Факт / 365",'График платежей'!$I$12*D513/'График платежей'!$I$20,'График платежей'!$I$17))</x:f>
      </x:c>
      <x:c r="F513" s="70" t="str">
        <x:f>IF(B513="","",F512/(1+E513))</x:f>
      </x:c>
    </x:row>
    <x:row r="514" ht="24" customHeight="1">
      <x:c r="B514" s="67" t="str">
        <x:f>IF('График платежей'!B514="","",ROW()-ROW($B$9))</x:f>
      </x:c>
      <x:c r="C514" s="68" t="str">
        <x:f>IF(B514="","",'График платежей'!B514)</x:f>
      </x:c>
      <x:c r="D514" s="67" t="str">
        <x:f>IF(B514="","",C514-C513)</x:f>
      </x:c>
      <x:c r="E514" s="69" t="str">
        <x:f>IF(B514="","",IF('График платежей'!$I$19="Факт / 365",'График платежей'!$I$12*D514/'График платежей'!$I$20,'График платежей'!$I$17))</x:f>
      </x:c>
      <x:c r="F514" s="70" t="str">
        <x:f>IF(B514="","",F513/(1+E514))</x:f>
      </x:c>
    </x:row>
    <x:row r="515" ht="24" customHeight="1">
      <x:c r="B515" s="67" t="str">
        <x:f>IF('График платежей'!B515="","",ROW()-ROW($B$9))</x:f>
      </x:c>
      <x:c r="C515" s="68" t="str">
        <x:f>IF(B515="","",'График платежей'!B515)</x:f>
      </x:c>
      <x:c r="D515" s="67" t="str">
        <x:f>IF(B515="","",C515-C514)</x:f>
      </x:c>
      <x:c r="E515" s="69" t="str">
        <x:f>IF(B515="","",IF('График платежей'!$I$19="Факт / 365",'График платежей'!$I$12*D515/'График платежей'!$I$20,'График платежей'!$I$17))</x:f>
      </x:c>
      <x:c r="F515" s="70" t="str">
        <x:f>IF(B515="","",F514/(1+E515))</x:f>
      </x:c>
    </x:row>
    <x:row r="516" ht="24" customHeight="1">
      <x:c r="B516" s="67" t="str">
        <x:f>IF('График платежей'!B516="","",ROW()-ROW($B$9))</x:f>
      </x:c>
      <x:c r="C516" s="68" t="str">
        <x:f>IF(B516="","",'График платежей'!B516)</x:f>
      </x:c>
      <x:c r="D516" s="67" t="str">
        <x:f>IF(B516="","",C516-C515)</x:f>
      </x:c>
      <x:c r="E516" s="69" t="str">
        <x:f>IF(B516="","",IF('График платежей'!$I$19="Факт / 365",'График платежей'!$I$12*D516/'График платежей'!$I$20,'График платежей'!$I$17))</x:f>
      </x:c>
      <x:c r="F516" s="70" t="str">
        <x:f>IF(B516="","",F515/(1+E516))</x:f>
      </x:c>
    </x:row>
    <x:row r="517" ht="24" customHeight="1">
      <x:c r="B517" s="67" t="str">
        <x:f>IF('График платежей'!B517="","",ROW()-ROW($B$9))</x:f>
      </x:c>
      <x:c r="C517" s="68" t="str">
        <x:f>IF(B517="","",'График платежей'!B517)</x:f>
      </x:c>
      <x:c r="D517" s="67" t="str">
        <x:f>IF(B517="","",C517-C516)</x:f>
      </x:c>
      <x:c r="E517" s="69" t="str">
        <x:f>IF(B517="","",IF('График платежей'!$I$19="Факт / 365",'График платежей'!$I$12*D517/'График платежей'!$I$20,'График платежей'!$I$17))</x:f>
      </x:c>
      <x:c r="F517" s="70" t="str">
        <x:f>IF(B517="","",F516/(1+E517))</x:f>
      </x:c>
    </x:row>
    <x:row r="518" ht="24" customHeight="1">
      <x:c r="B518" s="67" t="str">
        <x:f>IF('График платежей'!B518="","",ROW()-ROW($B$9))</x:f>
      </x:c>
      <x:c r="C518" s="68" t="str">
        <x:f>IF(B518="","",'График платежей'!B518)</x:f>
      </x:c>
      <x:c r="D518" s="67" t="str">
        <x:f>IF(B518="","",C518-C517)</x:f>
      </x:c>
      <x:c r="E518" s="69" t="str">
        <x:f>IF(B518="","",IF('График платежей'!$I$19="Факт / 365",'График платежей'!$I$12*D518/'График платежей'!$I$20,'График платежей'!$I$17))</x:f>
      </x:c>
      <x:c r="F518" s="70" t="str">
        <x:f>IF(B518="","",F517/(1+E518))</x:f>
      </x:c>
    </x:row>
    <x:row r="519" ht="24" customHeight="1">
      <x:c r="B519" s="67" t="str">
        <x:f>IF('График платежей'!B519="","",ROW()-ROW($B$9))</x:f>
      </x:c>
      <x:c r="C519" s="68" t="str">
        <x:f>IF(B519="","",'График платежей'!B519)</x:f>
      </x:c>
      <x:c r="D519" s="67" t="str">
        <x:f>IF(B519="","",C519-C518)</x:f>
      </x:c>
      <x:c r="E519" s="69" t="str">
        <x:f>IF(B519="","",IF('График платежей'!$I$19="Факт / 365",'График платежей'!$I$12*D519/'График платежей'!$I$20,'График платежей'!$I$17))</x:f>
      </x:c>
      <x:c r="F519" s="70" t="str">
        <x:f>IF(B519="","",F518/(1+E519))</x:f>
      </x:c>
    </x:row>
    <x:row r="520" ht="24" customHeight="1">
      <x:c r="B520" s="67" t="str">
        <x:f>IF('График платежей'!B520="","",ROW()-ROW($B$9))</x:f>
      </x:c>
      <x:c r="C520" s="68" t="str">
        <x:f>IF(B520="","",'График платежей'!B520)</x:f>
      </x:c>
      <x:c r="D520" s="67" t="str">
        <x:f>IF(B520="","",C520-C519)</x:f>
      </x:c>
      <x:c r="E520" s="69" t="str">
        <x:f>IF(B520="","",IF('График платежей'!$I$19="Факт / 365",'График платежей'!$I$12*D520/'График платежей'!$I$20,'График платежей'!$I$17))</x:f>
      </x:c>
      <x:c r="F520" s="70" t="str">
        <x:f>IF(B520="","",F519/(1+E520))</x:f>
      </x:c>
    </x:row>
    <x:row r="521" ht="24" customHeight="1">
      <x:c r="B521" s="67" t="str">
        <x:f>IF('График платежей'!B521="","",ROW()-ROW($B$9))</x:f>
      </x:c>
      <x:c r="C521" s="68" t="str">
        <x:f>IF(B521="","",'График платежей'!B521)</x:f>
      </x:c>
      <x:c r="D521" s="67" t="str">
        <x:f>IF(B521="","",C521-C520)</x:f>
      </x:c>
      <x:c r="E521" s="69" t="str">
        <x:f>IF(B521="","",IF('График платежей'!$I$19="Факт / 365",'График платежей'!$I$12*D521/'График платежей'!$I$20,'График платежей'!$I$17))</x:f>
      </x:c>
      <x:c r="F521" s="70" t="str">
        <x:f>IF(B521="","",F520/(1+E521))</x:f>
      </x:c>
    </x:row>
    <x:row r="522" ht="24" customHeight="1">
      <x:c r="B522" s="67" t="str">
        <x:f>IF('График платежей'!B522="","",ROW()-ROW($B$9))</x:f>
      </x:c>
      <x:c r="C522" s="68" t="str">
        <x:f>IF(B522="","",'График платежей'!B522)</x:f>
      </x:c>
      <x:c r="D522" s="67" t="str">
        <x:f>IF(B522="","",C522-C521)</x:f>
      </x:c>
      <x:c r="E522" s="69" t="str">
        <x:f>IF(B522="","",IF('График платежей'!$I$19="Факт / 365",'График платежей'!$I$12*D522/'График платежей'!$I$20,'График платежей'!$I$17))</x:f>
      </x:c>
      <x:c r="F522" s="70" t="str">
        <x:f>IF(B522="","",F521/(1+E522))</x:f>
      </x:c>
    </x:row>
    <x:row r="523" ht="24" customHeight="1">
      <x:c r="B523" s="67" t="str">
        <x:f>IF('График платежей'!B523="","",ROW()-ROW($B$9))</x:f>
      </x:c>
      <x:c r="C523" s="68" t="str">
        <x:f>IF(B523="","",'График платежей'!B523)</x:f>
      </x:c>
      <x:c r="D523" s="67" t="str">
        <x:f>IF(B523="","",C523-C522)</x:f>
      </x:c>
      <x:c r="E523" s="69" t="str">
        <x:f>IF(B523="","",IF('График платежей'!$I$19="Факт / 365",'График платежей'!$I$12*D523/'График платежей'!$I$20,'График платежей'!$I$17))</x:f>
      </x:c>
      <x:c r="F523" s="70" t="str">
        <x:f>IF(B523="","",F522/(1+E523))</x:f>
      </x:c>
    </x:row>
    <x:row r="524" ht="24" customHeight="1">
      <x:c r="B524" s="67" t="str">
        <x:f>IF('График платежей'!B524="","",ROW()-ROW($B$9))</x:f>
      </x:c>
      <x:c r="C524" s="68" t="str">
        <x:f>IF(B524="","",'График платежей'!B524)</x:f>
      </x:c>
      <x:c r="D524" s="67" t="str">
        <x:f>IF(B524="","",C524-C523)</x:f>
      </x:c>
      <x:c r="E524" s="69" t="str">
        <x:f>IF(B524="","",IF('График платежей'!$I$19="Факт / 365",'График платежей'!$I$12*D524/'График платежей'!$I$20,'График платежей'!$I$17))</x:f>
      </x:c>
      <x:c r="F524" s="70" t="str">
        <x:f>IF(B524="","",F523/(1+E524))</x:f>
      </x:c>
    </x:row>
    <x:row r="525" ht="24" customHeight="1">
      <x:c r="B525" s="67" t="str">
        <x:f>IF('График платежей'!B525="","",ROW()-ROW($B$9))</x:f>
      </x:c>
      <x:c r="C525" s="68" t="str">
        <x:f>IF(B525="","",'График платежей'!B525)</x:f>
      </x:c>
      <x:c r="D525" s="67" t="str">
        <x:f>IF(B525="","",C525-C524)</x:f>
      </x:c>
      <x:c r="E525" s="69" t="str">
        <x:f>IF(B525="","",IF('График платежей'!$I$19="Факт / 365",'График платежей'!$I$12*D525/'График платежей'!$I$20,'График платежей'!$I$17))</x:f>
      </x:c>
      <x:c r="F525" s="70" t="str">
        <x:f>IF(B525="","",F524/(1+E525))</x:f>
      </x:c>
    </x:row>
    <x:row r="526" ht="24" customHeight="1">
      <x:c r="B526" s="67" t="str">
        <x:f>IF('График платежей'!B526="","",ROW()-ROW($B$9))</x:f>
      </x:c>
      <x:c r="C526" s="68" t="str">
        <x:f>IF(B526="","",'График платежей'!B526)</x:f>
      </x:c>
      <x:c r="D526" s="67" t="str">
        <x:f>IF(B526="","",C526-C525)</x:f>
      </x:c>
      <x:c r="E526" s="69" t="str">
        <x:f>IF(B526="","",IF('График платежей'!$I$19="Факт / 365",'График платежей'!$I$12*D526/'График платежей'!$I$20,'График платежей'!$I$17))</x:f>
      </x:c>
      <x:c r="F526" s="70" t="str">
        <x:f>IF(B526="","",F525/(1+E526))</x:f>
      </x:c>
    </x:row>
    <x:row r="527" ht="24" customHeight="1">
      <x:c r="B527" s="67" t="str">
        <x:f>IF('График платежей'!B527="","",ROW()-ROW($B$9))</x:f>
      </x:c>
      <x:c r="C527" s="68" t="str">
        <x:f>IF(B527="","",'График платежей'!B527)</x:f>
      </x:c>
      <x:c r="D527" s="67" t="str">
        <x:f>IF(B527="","",C527-C526)</x:f>
      </x:c>
      <x:c r="E527" s="69" t="str">
        <x:f>IF(B527="","",IF('График платежей'!$I$19="Факт / 365",'График платежей'!$I$12*D527/'График платежей'!$I$20,'График платежей'!$I$17))</x:f>
      </x:c>
      <x:c r="F527" s="70" t="str">
        <x:f>IF(B527="","",F526/(1+E527))</x:f>
      </x:c>
    </x:row>
    <x:row r="528" ht="24" customHeight="1">
      <x:c r="B528" s="67" t="str">
        <x:f>IF('График платежей'!B528="","",ROW()-ROW($B$9))</x:f>
      </x:c>
      <x:c r="C528" s="68" t="str">
        <x:f>IF(B528="","",'График платежей'!B528)</x:f>
      </x:c>
      <x:c r="D528" s="67" t="str">
        <x:f>IF(B528="","",C528-C527)</x:f>
      </x:c>
      <x:c r="E528" s="69" t="str">
        <x:f>IF(B528="","",IF('График платежей'!$I$19="Факт / 365",'График платежей'!$I$12*D528/'График платежей'!$I$20,'График платежей'!$I$17))</x:f>
      </x:c>
      <x:c r="F528" s="70" t="str">
        <x:f>IF(B528="","",F527/(1+E528))</x:f>
      </x:c>
    </x:row>
    <x:row r="529" ht="24" customHeight="1">
      <x:c r="B529" s="67" t="str">
        <x:f>IF('График платежей'!B529="","",ROW()-ROW($B$9))</x:f>
      </x:c>
      <x:c r="C529" s="68" t="str">
        <x:f>IF(B529="","",'График платежей'!B529)</x:f>
      </x:c>
      <x:c r="D529" s="67" t="str">
        <x:f>IF(B529="","",C529-C528)</x:f>
      </x:c>
      <x:c r="E529" s="69" t="str">
        <x:f>IF(B529="","",IF('График платежей'!$I$19="Факт / 365",'График платежей'!$I$12*D529/'График платежей'!$I$20,'График платежей'!$I$17))</x:f>
      </x:c>
      <x:c r="F529" s="70" t="str">
        <x:f>IF(B529="","",F528/(1+E529))</x:f>
      </x:c>
    </x:row>
    <x:row r="530" ht="24" customHeight="1">
      <x:c r="B530" s="67" t="str">
        <x:f>IF('График платежей'!B530="","",ROW()-ROW($B$9))</x:f>
      </x:c>
      <x:c r="C530" s="68" t="str">
        <x:f>IF(B530="","",'График платежей'!B530)</x:f>
      </x:c>
      <x:c r="D530" s="67" t="str">
        <x:f>IF(B530="","",C530-C529)</x:f>
      </x:c>
      <x:c r="E530" s="69" t="str">
        <x:f>IF(B530="","",IF('График платежей'!$I$19="Факт / 365",'График платежей'!$I$12*D530/'График платежей'!$I$20,'График платежей'!$I$17))</x:f>
      </x:c>
      <x:c r="F530" s="70" t="str">
        <x:f>IF(B530="","",F529/(1+E530))</x:f>
      </x:c>
    </x:row>
    <x:row r="531" ht="24" customHeight="1">
      <x:c r="B531" s="67" t="str">
        <x:f>IF('График платежей'!B531="","",ROW()-ROW($B$9))</x:f>
      </x:c>
      <x:c r="C531" s="68" t="str">
        <x:f>IF(B531="","",'График платежей'!B531)</x:f>
      </x:c>
      <x:c r="D531" s="67" t="str">
        <x:f>IF(B531="","",C531-C530)</x:f>
      </x:c>
      <x:c r="E531" s="69" t="str">
        <x:f>IF(B531="","",IF('График платежей'!$I$19="Факт / 365",'График платежей'!$I$12*D531/'График платежей'!$I$20,'График платежей'!$I$17))</x:f>
      </x:c>
      <x:c r="F531" s="70" t="str">
        <x:f>IF(B531="","",F530/(1+E531))</x:f>
      </x:c>
    </x:row>
    <x:row r="532" ht="24" customHeight="1">
      <x:c r="B532" s="67" t="str">
        <x:f>IF('График платежей'!B532="","",ROW()-ROW($B$9))</x:f>
      </x:c>
      <x:c r="C532" s="68" t="str">
        <x:f>IF(B532="","",'График платежей'!B532)</x:f>
      </x:c>
      <x:c r="D532" s="67" t="str">
        <x:f>IF(B532="","",C532-C531)</x:f>
      </x:c>
      <x:c r="E532" s="69" t="str">
        <x:f>IF(B532="","",IF('График платежей'!$I$19="Факт / 365",'График платежей'!$I$12*D532/'График платежей'!$I$20,'График платежей'!$I$17))</x:f>
      </x:c>
      <x:c r="F532" s="70" t="str">
        <x:f>IF(B532="","",F531/(1+E532))</x:f>
      </x:c>
    </x:row>
    <x:row r="533" ht="24" customHeight="1">
      <x:c r="B533" s="67" t="str">
        <x:f>IF('График платежей'!B533="","",ROW()-ROW($B$9))</x:f>
      </x:c>
      <x:c r="C533" s="68" t="str">
        <x:f>IF(B533="","",'График платежей'!B533)</x:f>
      </x:c>
      <x:c r="D533" s="67" t="str">
        <x:f>IF(B533="","",C533-C532)</x:f>
      </x:c>
      <x:c r="E533" s="69" t="str">
        <x:f>IF(B533="","",IF('График платежей'!$I$19="Факт / 365",'График платежей'!$I$12*D533/'График платежей'!$I$20,'График платежей'!$I$17))</x:f>
      </x:c>
      <x:c r="F533" s="70" t="str">
        <x:f>IF(B533="","",F532/(1+E533))</x:f>
      </x:c>
    </x:row>
    <x:row r="534" ht="24" customHeight="1">
      <x:c r="B534" s="67" t="str">
        <x:f>IF('График платежей'!B534="","",ROW()-ROW($B$9))</x:f>
      </x:c>
      <x:c r="C534" s="68" t="str">
        <x:f>IF(B534="","",'График платежей'!B534)</x:f>
      </x:c>
      <x:c r="D534" s="67" t="str">
        <x:f>IF(B534="","",C534-C533)</x:f>
      </x:c>
      <x:c r="E534" s="69" t="str">
        <x:f>IF(B534="","",IF('График платежей'!$I$19="Факт / 365",'График платежей'!$I$12*D534/'График платежей'!$I$20,'График платежей'!$I$17))</x:f>
      </x:c>
      <x:c r="F534" s="70" t="str">
        <x:f>IF(B534="","",F533/(1+E534))</x:f>
      </x:c>
    </x:row>
    <x:row r="535" ht="24" customHeight="1">
      <x:c r="B535" s="67" t="str">
        <x:f>IF('График платежей'!B535="","",ROW()-ROW($B$9))</x:f>
      </x:c>
      <x:c r="C535" s="68" t="str">
        <x:f>IF(B535="","",'График платежей'!B535)</x:f>
      </x:c>
      <x:c r="D535" s="67" t="str">
        <x:f>IF(B535="","",C535-C534)</x:f>
      </x:c>
      <x:c r="E535" s="69" t="str">
        <x:f>IF(B535="","",IF('График платежей'!$I$19="Факт / 365",'График платежей'!$I$12*D535/'График платежей'!$I$20,'График платежей'!$I$17))</x:f>
      </x:c>
      <x:c r="F535" s="70" t="str">
        <x:f>IF(B535="","",F534/(1+E535))</x:f>
      </x:c>
    </x:row>
    <x:row r="536" ht="24" customHeight="1">
      <x:c r="B536" s="67" t="str">
        <x:f>IF('График платежей'!B536="","",ROW()-ROW($B$9))</x:f>
      </x:c>
      <x:c r="C536" s="68" t="str">
        <x:f>IF(B536="","",'График платежей'!B536)</x:f>
      </x:c>
      <x:c r="D536" s="67" t="str">
        <x:f>IF(B536="","",C536-C535)</x:f>
      </x:c>
      <x:c r="E536" s="69" t="str">
        <x:f>IF(B536="","",IF('График платежей'!$I$19="Факт / 365",'График платежей'!$I$12*D536/'График платежей'!$I$20,'График платежей'!$I$17))</x:f>
      </x:c>
      <x:c r="F536" s="70" t="str">
        <x:f>IF(B536="","",F535/(1+E536))</x:f>
      </x:c>
    </x:row>
    <x:row r="537" ht="24" customHeight="1">
      <x:c r="B537" s="67" t="str">
        <x:f>IF('График платежей'!B537="","",ROW()-ROW($B$9))</x:f>
      </x:c>
      <x:c r="C537" s="68" t="str">
        <x:f>IF(B537="","",'График платежей'!B537)</x:f>
      </x:c>
      <x:c r="D537" s="67" t="str">
        <x:f>IF(B537="","",C537-C536)</x:f>
      </x:c>
      <x:c r="E537" s="69" t="str">
        <x:f>IF(B537="","",IF('График платежей'!$I$19="Факт / 365",'График платежей'!$I$12*D537/'График платежей'!$I$20,'График платежей'!$I$17))</x:f>
      </x:c>
      <x:c r="F537" s="70" t="str">
        <x:f>IF(B537="","",F536/(1+E537))</x:f>
      </x:c>
    </x:row>
    <x:row r="538" ht="24" customHeight="1">
      <x:c r="B538" s="67" t="str">
        <x:f>IF('График платежей'!B538="","",ROW()-ROW($B$9))</x:f>
      </x:c>
      <x:c r="C538" s="68" t="str">
        <x:f>IF(B538="","",'График платежей'!B538)</x:f>
      </x:c>
      <x:c r="D538" s="67" t="str">
        <x:f>IF(B538="","",C538-C537)</x:f>
      </x:c>
      <x:c r="E538" s="69" t="str">
        <x:f>IF(B538="","",IF('График платежей'!$I$19="Факт / 365",'График платежей'!$I$12*D538/'График платежей'!$I$20,'График платежей'!$I$17))</x:f>
      </x:c>
      <x:c r="F538" s="70" t="str">
        <x:f>IF(B538="","",F537/(1+E538))</x:f>
      </x:c>
    </x:row>
    <x:row r="539" ht="24" customHeight="1">
      <x:c r="B539" s="67" t="str">
        <x:f>IF('График платежей'!B539="","",ROW()-ROW($B$9))</x:f>
      </x:c>
      <x:c r="C539" s="68" t="str">
        <x:f>IF(B539="","",'График платежей'!B539)</x:f>
      </x:c>
      <x:c r="D539" s="67" t="str">
        <x:f>IF(B539="","",C539-C538)</x:f>
      </x:c>
      <x:c r="E539" s="69" t="str">
        <x:f>IF(B539="","",IF('График платежей'!$I$19="Факт / 365",'График платежей'!$I$12*D539/'График платежей'!$I$20,'График платежей'!$I$17))</x:f>
      </x:c>
      <x:c r="F539" s="70" t="str">
        <x:f>IF(B539="","",F538/(1+E539))</x:f>
      </x:c>
    </x:row>
    <x:row r="540" ht="24" customHeight="1">
      <x:c r="B540" s="67" t="str">
        <x:f>IF('График платежей'!B540="","",ROW()-ROW($B$9))</x:f>
      </x:c>
      <x:c r="C540" s="68" t="str">
        <x:f>IF(B540="","",'График платежей'!B540)</x:f>
      </x:c>
      <x:c r="D540" s="67" t="str">
        <x:f>IF(B540="","",C540-C539)</x:f>
      </x:c>
      <x:c r="E540" s="69" t="str">
        <x:f>IF(B540="","",IF('График платежей'!$I$19="Факт / 365",'График платежей'!$I$12*D540/'График платежей'!$I$20,'График платежей'!$I$17))</x:f>
      </x:c>
      <x:c r="F540" s="70" t="str">
        <x:f>IF(B540="","",F539/(1+E540))</x:f>
      </x:c>
    </x:row>
    <x:row r="541" ht="24" customHeight="1">
      <x:c r="B541" s="67" t="str">
        <x:f>IF('График платежей'!B541="","",ROW()-ROW($B$9))</x:f>
      </x:c>
      <x:c r="C541" s="68" t="str">
        <x:f>IF(B541="","",'График платежей'!B541)</x:f>
      </x:c>
      <x:c r="D541" s="67" t="str">
        <x:f>IF(B541="","",C541-C540)</x:f>
      </x:c>
      <x:c r="E541" s="69" t="str">
        <x:f>IF(B541="","",IF('График платежей'!$I$19="Факт / 365",'График платежей'!$I$12*D541/'График платежей'!$I$20,'График платежей'!$I$17))</x:f>
      </x:c>
      <x:c r="F541" s="70" t="str">
        <x:f>IF(B541="","",F540/(1+E541))</x:f>
      </x:c>
    </x:row>
    <x:row r="542" ht="24" customHeight="1">
      <x:c r="B542" s="67" t="str">
        <x:f>IF('График платежей'!B542="","",ROW()-ROW($B$9))</x:f>
      </x:c>
      <x:c r="C542" s="68" t="str">
        <x:f>IF(B542="","",'График платежей'!B542)</x:f>
      </x:c>
      <x:c r="D542" s="67" t="str">
        <x:f>IF(B542="","",C542-C541)</x:f>
      </x:c>
      <x:c r="E542" s="69" t="str">
        <x:f>IF(B542="","",IF('График платежей'!$I$19="Факт / 365",'График платежей'!$I$12*D542/'График платежей'!$I$20,'График платежей'!$I$17))</x:f>
      </x:c>
      <x:c r="F542" s="70" t="str">
        <x:f>IF(B542="","",F541/(1+E542))</x:f>
      </x:c>
    </x:row>
    <x:row r="543" ht="24" customHeight="1">
      <x:c r="B543" s="67" t="str">
        <x:f>IF('График платежей'!B543="","",ROW()-ROW($B$9))</x:f>
      </x:c>
      <x:c r="C543" s="68" t="str">
        <x:f>IF(B543="","",'График платежей'!B543)</x:f>
      </x:c>
      <x:c r="D543" s="67" t="str">
        <x:f>IF(B543="","",C543-C542)</x:f>
      </x:c>
      <x:c r="E543" s="69" t="str">
        <x:f>IF(B543="","",IF('График платежей'!$I$19="Факт / 365",'График платежей'!$I$12*D543/'График платежей'!$I$20,'График платежей'!$I$17))</x:f>
      </x:c>
      <x:c r="F543" s="70" t="str">
        <x:f>IF(B543="","",F542/(1+E543))</x:f>
      </x:c>
    </x:row>
    <x:row r="544" ht="24" customHeight="1">
      <x:c r="B544" s="67" t="str">
        <x:f>IF('График платежей'!B544="","",ROW()-ROW($B$9))</x:f>
      </x:c>
      <x:c r="C544" s="68" t="str">
        <x:f>IF(B544="","",'График платежей'!B544)</x:f>
      </x:c>
      <x:c r="D544" s="67" t="str">
        <x:f>IF(B544="","",C544-C543)</x:f>
      </x:c>
      <x:c r="E544" s="69" t="str">
        <x:f>IF(B544="","",IF('График платежей'!$I$19="Факт / 365",'График платежей'!$I$12*D544/'График платежей'!$I$20,'График платежей'!$I$17))</x:f>
      </x:c>
      <x:c r="F544" s="70" t="str">
        <x:f>IF(B544="","",F543/(1+E544))</x:f>
      </x:c>
    </x:row>
    <x:row r="545" ht="24" customHeight="1">
      <x:c r="B545" s="67" t="str">
        <x:f>IF('График платежей'!B545="","",ROW()-ROW($B$9))</x:f>
      </x:c>
      <x:c r="C545" s="68" t="str">
        <x:f>IF(B545="","",'График платежей'!B545)</x:f>
      </x:c>
      <x:c r="D545" s="67" t="str">
        <x:f>IF(B545="","",C545-C544)</x:f>
      </x:c>
      <x:c r="E545" s="69" t="str">
        <x:f>IF(B545="","",IF('График платежей'!$I$19="Факт / 365",'График платежей'!$I$12*D545/'График платежей'!$I$20,'График платежей'!$I$17))</x:f>
      </x:c>
      <x:c r="F545" s="70" t="str">
        <x:f>IF(B545="","",F544/(1+E545))</x:f>
      </x:c>
    </x:row>
    <x:row r="546" ht="24" customHeight="1">
      <x:c r="B546" s="67" t="str">
        <x:f>IF('График платежей'!B546="","",ROW()-ROW($B$9))</x:f>
      </x:c>
      <x:c r="C546" s="68" t="str">
        <x:f>IF(B546="","",'График платежей'!B546)</x:f>
      </x:c>
      <x:c r="D546" s="67" t="str">
        <x:f>IF(B546="","",C546-C545)</x:f>
      </x:c>
      <x:c r="E546" s="69" t="str">
        <x:f>IF(B546="","",IF('График платежей'!$I$19="Факт / 365",'График платежей'!$I$12*D546/'График платежей'!$I$20,'График платежей'!$I$17))</x:f>
      </x:c>
      <x:c r="F546" s="70" t="str">
        <x:f>IF(B546="","",F545/(1+E546))</x:f>
      </x:c>
    </x:row>
    <x:row r="547" ht="24" customHeight="1">
      <x:c r="B547" s="67" t="str">
        <x:f>IF('График платежей'!B547="","",ROW()-ROW($B$9))</x:f>
      </x:c>
      <x:c r="C547" s="68" t="str">
        <x:f>IF(B547="","",'График платежей'!B547)</x:f>
      </x:c>
      <x:c r="D547" s="67" t="str">
        <x:f>IF(B547="","",C547-C546)</x:f>
      </x:c>
      <x:c r="E547" s="69" t="str">
        <x:f>IF(B547="","",IF('График платежей'!$I$19="Факт / 365",'График платежей'!$I$12*D547/'График платежей'!$I$20,'График платежей'!$I$17))</x:f>
      </x:c>
      <x:c r="F547" s="70" t="str">
        <x:f>IF(B547="","",F546/(1+E547))</x:f>
      </x:c>
    </x:row>
    <x:row r="548" ht="24" customHeight="1">
      <x:c r="B548" s="67" t="str">
        <x:f>IF('График платежей'!B548="","",ROW()-ROW($B$9))</x:f>
      </x:c>
      <x:c r="C548" s="68" t="str">
        <x:f>IF(B548="","",'График платежей'!B548)</x:f>
      </x:c>
      <x:c r="D548" s="67" t="str">
        <x:f>IF(B548="","",C548-C547)</x:f>
      </x:c>
      <x:c r="E548" s="69" t="str">
        <x:f>IF(B548="","",IF('График платежей'!$I$19="Факт / 365",'График платежей'!$I$12*D548/'График платежей'!$I$20,'График платежей'!$I$17))</x:f>
      </x:c>
      <x:c r="F548" s="70" t="str">
        <x:f>IF(B548="","",F547/(1+E548))</x:f>
      </x:c>
    </x:row>
    <x:row r="549" ht="24" customHeight="1">
      <x:c r="B549" s="67" t="str">
        <x:f>IF('График платежей'!B549="","",ROW()-ROW($B$9))</x:f>
      </x:c>
      <x:c r="C549" s="68" t="str">
        <x:f>IF(B549="","",'График платежей'!B549)</x:f>
      </x:c>
      <x:c r="D549" s="67" t="str">
        <x:f>IF(B549="","",C549-C548)</x:f>
      </x:c>
      <x:c r="E549" s="69" t="str">
        <x:f>IF(B549="","",IF('График платежей'!$I$19="Факт / 365",'График платежей'!$I$12*D549/'График платежей'!$I$20,'График платежей'!$I$17))</x:f>
      </x:c>
      <x:c r="F549" s="70" t="str">
        <x:f>IF(B549="","",F548/(1+E549))</x:f>
      </x:c>
    </x:row>
    <x:row r="550" ht="24" customHeight="1">
      <x:c r="B550" s="67" t="str">
        <x:f>IF('График платежей'!B550="","",ROW()-ROW($B$9))</x:f>
      </x:c>
      <x:c r="C550" s="68" t="str">
        <x:f>IF(B550="","",'График платежей'!B550)</x:f>
      </x:c>
      <x:c r="D550" s="67" t="str">
        <x:f>IF(B550="","",C550-C549)</x:f>
      </x:c>
      <x:c r="E550" s="69" t="str">
        <x:f>IF(B550="","",IF('График платежей'!$I$19="Факт / 365",'График платежей'!$I$12*D550/'График платежей'!$I$20,'График платежей'!$I$17))</x:f>
      </x:c>
      <x:c r="F550" s="70" t="str">
        <x:f>IF(B550="","",F549/(1+E550))</x:f>
      </x:c>
    </x:row>
    <x:row r="551" ht="24" customHeight="1">
      <x:c r="B551" s="67" t="str">
        <x:f>IF('График платежей'!B551="","",ROW()-ROW($B$9))</x:f>
      </x:c>
      <x:c r="C551" s="68" t="str">
        <x:f>IF(B551="","",'График платежей'!B551)</x:f>
      </x:c>
      <x:c r="D551" s="67" t="str">
        <x:f>IF(B551="","",C551-C550)</x:f>
      </x:c>
      <x:c r="E551" s="69" t="str">
        <x:f>IF(B551="","",IF('График платежей'!$I$19="Факт / 365",'График платежей'!$I$12*D551/'График платежей'!$I$20,'График платежей'!$I$17))</x:f>
      </x:c>
      <x:c r="F551" s="70" t="str">
        <x:f>IF(B551="","",F550/(1+E551))</x:f>
      </x:c>
    </x:row>
    <x:row r="552" ht="24" customHeight="1">
      <x:c r="B552" s="67" t="str">
        <x:f>IF('График платежей'!B552="","",ROW()-ROW($B$9))</x:f>
      </x:c>
      <x:c r="C552" s="68" t="str">
        <x:f>IF(B552="","",'График платежей'!B552)</x:f>
      </x:c>
      <x:c r="D552" s="67" t="str">
        <x:f>IF(B552="","",C552-C551)</x:f>
      </x:c>
      <x:c r="E552" s="69" t="str">
        <x:f>IF(B552="","",IF('График платежей'!$I$19="Факт / 365",'График платежей'!$I$12*D552/'График платежей'!$I$20,'График платежей'!$I$17))</x:f>
      </x:c>
      <x:c r="F552" s="70" t="str">
        <x:f>IF(B552="","",F551/(1+E552))</x:f>
      </x:c>
    </x:row>
    <x:row r="553" ht="24" customHeight="1">
      <x:c r="B553" s="67" t="str">
        <x:f>IF('График платежей'!B553="","",ROW()-ROW($B$9))</x:f>
      </x:c>
      <x:c r="C553" s="68" t="str">
        <x:f>IF(B553="","",'График платежей'!B553)</x:f>
      </x:c>
      <x:c r="D553" s="67" t="str">
        <x:f>IF(B553="","",C553-C552)</x:f>
      </x:c>
      <x:c r="E553" s="69" t="str">
        <x:f>IF(B553="","",IF('График платежей'!$I$19="Факт / 365",'График платежей'!$I$12*D553/'График платежей'!$I$20,'График платежей'!$I$17))</x:f>
      </x:c>
      <x:c r="F553" s="70" t="str">
        <x:f>IF(B553="","",F552/(1+E553))</x:f>
      </x:c>
    </x:row>
    <x:row r="554" ht="24" customHeight="1">
      <x:c r="B554" s="67" t="str">
        <x:f>IF('График платежей'!B554="","",ROW()-ROW($B$9))</x:f>
      </x:c>
      <x:c r="C554" s="68" t="str">
        <x:f>IF(B554="","",'График платежей'!B554)</x:f>
      </x:c>
      <x:c r="D554" s="67" t="str">
        <x:f>IF(B554="","",C554-C553)</x:f>
      </x:c>
      <x:c r="E554" s="69" t="str">
        <x:f>IF(B554="","",IF('График платежей'!$I$19="Факт / 365",'График платежей'!$I$12*D554/'График платежей'!$I$20,'График платежей'!$I$17))</x:f>
      </x:c>
      <x:c r="F554" s="70" t="str">
        <x:f>IF(B554="","",F553/(1+E554))</x:f>
      </x:c>
    </x:row>
    <x:row r="555" ht="24" customHeight="1">
      <x:c r="B555" s="67" t="str">
        <x:f>IF('График платежей'!B555="","",ROW()-ROW($B$9))</x:f>
      </x:c>
      <x:c r="C555" s="68" t="str">
        <x:f>IF(B555="","",'График платежей'!B555)</x:f>
      </x:c>
      <x:c r="D555" s="67" t="str">
        <x:f>IF(B555="","",C555-C554)</x:f>
      </x:c>
      <x:c r="E555" s="69" t="str">
        <x:f>IF(B555="","",IF('График платежей'!$I$19="Факт / 365",'График платежей'!$I$12*D555/'График платежей'!$I$20,'График платежей'!$I$17))</x:f>
      </x:c>
      <x:c r="F555" s="70" t="str">
        <x:f>IF(B555="","",F554/(1+E555))</x:f>
      </x:c>
    </x:row>
    <x:row r="556" ht="24" customHeight="1">
      <x:c r="B556" s="67" t="str">
        <x:f>IF('График платежей'!B556="","",ROW()-ROW($B$9))</x:f>
      </x:c>
      <x:c r="C556" s="68" t="str">
        <x:f>IF(B556="","",'График платежей'!B556)</x:f>
      </x:c>
      <x:c r="D556" s="67" t="str">
        <x:f>IF(B556="","",C556-C555)</x:f>
      </x:c>
      <x:c r="E556" s="69" t="str">
        <x:f>IF(B556="","",IF('График платежей'!$I$19="Факт / 365",'График платежей'!$I$12*D556/'График платежей'!$I$20,'График платежей'!$I$17))</x:f>
      </x:c>
      <x:c r="F556" s="70" t="str">
        <x:f>IF(B556="","",F555/(1+E556))</x:f>
      </x:c>
    </x:row>
    <x:row r="557" ht="24" customHeight="1">
      <x:c r="B557" s="67" t="str">
        <x:f>IF('График платежей'!B557="","",ROW()-ROW($B$9))</x:f>
      </x:c>
      <x:c r="C557" s="68" t="str">
        <x:f>IF(B557="","",'График платежей'!B557)</x:f>
      </x:c>
      <x:c r="D557" s="67" t="str">
        <x:f>IF(B557="","",C557-C556)</x:f>
      </x:c>
      <x:c r="E557" s="69" t="str">
        <x:f>IF(B557="","",IF('График платежей'!$I$19="Факт / 365",'График платежей'!$I$12*D557/'График платежей'!$I$20,'График платежей'!$I$17))</x:f>
      </x:c>
      <x:c r="F557" s="70" t="str">
        <x:f>IF(B557="","",F556/(1+E557))</x:f>
      </x:c>
    </x:row>
    <x:row r="558" ht="24" customHeight="1">
      <x:c r="B558" s="67" t="str">
        <x:f>IF('График платежей'!B558="","",ROW()-ROW($B$9))</x:f>
      </x:c>
      <x:c r="C558" s="68" t="str">
        <x:f>IF(B558="","",'График платежей'!B558)</x:f>
      </x:c>
      <x:c r="D558" s="67" t="str">
        <x:f>IF(B558="","",C558-C557)</x:f>
      </x:c>
      <x:c r="E558" s="69" t="str">
        <x:f>IF(B558="","",IF('График платежей'!$I$19="Факт / 365",'График платежей'!$I$12*D558/'График платежей'!$I$20,'График платежей'!$I$17))</x:f>
      </x:c>
      <x:c r="F558" s="70" t="str">
        <x:f>IF(B558="","",F557/(1+E558))</x:f>
      </x:c>
    </x:row>
    <x:row r="559" ht="24" customHeight="1">
      <x:c r="B559" s="67" t="str">
        <x:f>IF('График платежей'!B559="","",ROW()-ROW($B$9))</x:f>
      </x:c>
      <x:c r="C559" s="68" t="str">
        <x:f>IF(B559="","",'График платежей'!B559)</x:f>
      </x:c>
      <x:c r="D559" s="67" t="str">
        <x:f>IF(B559="","",C559-C558)</x:f>
      </x:c>
      <x:c r="E559" s="69" t="str">
        <x:f>IF(B559="","",IF('График платежей'!$I$19="Факт / 365",'График платежей'!$I$12*D559/'График платежей'!$I$20,'График платежей'!$I$17))</x:f>
      </x:c>
      <x:c r="F559" s="70" t="str">
        <x:f>IF(B559="","",F558/(1+E559))</x:f>
      </x:c>
    </x:row>
    <x:row r="560" ht="24" customHeight="1">
      <x:c r="B560" s="67" t="str">
        <x:f>IF('График платежей'!B560="","",ROW()-ROW($B$9))</x:f>
      </x:c>
      <x:c r="C560" s="68" t="str">
        <x:f>IF(B560="","",'График платежей'!B560)</x:f>
      </x:c>
      <x:c r="D560" s="67" t="str">
        <x:f>IF(B560="","",C560-C559)</x:f>
      </x:c>
      <x:c r="E560" s="69" t="str">
        <x:f>IF(B560="","",IF('График платежей'!$I$19="Факт / 365",'График платежей'!$I$12*D560/'График платежей'!$I$20,'График платежей'!$I$17))</x:f>
      </x:c>
      <x:c r="F560" s="70" t="str">
        <x:f>IF(B560="","",F559/(1+E560))</x:f>
      </x:c>
    </x:row>
    <x:row r="561" ht="24" customHeight="1">
      <x:c r="B561" s="67" t="str">
        <x:f>IF('График платежей'!B561="","",ROW()-ROW($B$9))</x:f>
      </x:c>
      <x:c r="C561" s="68" t="str">
        <x:f>IF(B561="","",'График платежей'!B561)</x:f>
      </x:c>
      <x:c r="D561" s="67" t="str">
        <x:f>IF(B561="","",C561-C560)</x:f>
      </x:c>
      <x:c r="E561" s="69" t="str">
        <x:f>IF(B561="","",IF('График платежей'!$I$19="Факт / 365",'График платежей'!$I$12*D561/'График платежей'!$I$20,'График платежей'!$I$17))</x:f>
      </x:c>
      <x:c r="F561" s="70" t="str">
        <x:f>IF(B561="","",F560/(1+E561))</x:f>
      </x:c>
    </x:row>
    <x:row r="562" ht="24" customHeight="1">
      <x:c r="B562" s="67" t="str">
        <x:f>IF('График платежей'!B562="","",ROW()-ROW($B$9))</x:f>
      </x:c>
      <x:c r="C562" s="68" t="str">
        <x:f>IF(B562="","",'График платежей'!B562)</x:f>
      </x:c>
      <x:c r="D562" s="67" t="str">
        <x:f>IF(B562="","",C562-C561)</x:f>
      </x:c>
      <x:c r="E562" s="69" t="str">
        <x:f>IF(B562="","",IF('График платежей'!$I$19="Факт / 365",'График платежей'!$I$12*D562/'График платежей'!$I$20,'График платежей'!$I$17))</x:f>
      </x:c>
      <x:c r="F562" s="70" t="str">
        <x:f>IF(B562="","",F561/(1+E562))</x:f>
      </x:c>
    </x:row>
    <x:row r="563" ht="24" customHeight="1">
      <x:c r="B563" s="67" t="str">
        <x:f>IF('График платежей'!B563="","",ROW()-ROW($B$9))</x:f>
      </x:c>
      <x:c r="C563" s="68" t="str">
        <x:f>IF(B563="","",'График платежей'!B563)</x:f>
      </x:c>
      <x:c r="D563" s="67" t="str">
        <x:f>IF(B563="","",C563-C562)</x:f>
      </x:c>
      <x:c r="E563" s="69" t="str">
        <x:f>IF(B563="","",IF('График платежей'!$I$19="Факт / 365",'График платежей'!$I$12*D563/'График платежей'!$I$20,'График платежей'!$I$17))</x:f>
      </x:c>
      <x:c r="F563" s="70" t="str">
        <x:f>IF(B563="","",F562/(1+E563))</x:f>
      </x:c>
    </x:row>
    <x:row r="564" ht="24" customHeight="1">
      <x:c r="B564" s="67" t="str">
        <x:f>IF('График платежей'!B564="","",ROW()-ROW($B$9))</x:f>
      </x:c>
      <x:c r="C564" s="68" t="str">
        <x:f>IF(B564="","",'График платежей'!B564)</x:f>
      </x:c>
      <x:c r="D564" s="67" t="str">
        <x:f>IF(B564="","",C564-C563)</x:f>
      </x:c>
      <x:c r="E564" s="69" t="str">
        <x:f>IF(B564="","",IF('График платежей'!$I$19="Факт / 365",'График платежей'!$I$12*D564/'График платежей'!$I$20,'График платежей'!$I$17))</x:f>
      </x:c>
      <x:c r="F564" s="70" t="str">
        <x:f>IF(B564="","",F563/(1+E564))</x:f>
      </x:c>
    </x:row>
    <x:row r="565" ht="24" customHeight="1">
      <x:c r="B565" s="67" t="str">
        <x:f>IF('График платежей'!B565="","",ROW()-ROW($B$9))</x:f>
      </x:c>
      <x:c r="C565" s="68" t="str">
        <x:f>IF(B565="","",'График платежей'!B565)</x:f>
      </x:c>
      <x:c r="D565" s="67" t="str">
        <x:f>IF(B565="","",C565-C564)</x:f>
      </x:c>
      <x:c r="E565" s="69" t="str">
        <x:f>IF(B565="","",IF('График платежей'!$I$19="Факт / 365",'График платежей'!$I$12*D565/'График платежей'!$I$20,'График платежей'!$I$17))</x:f>
      </x:c>
      <x:c r="F565" s="70" t="str">
        <x:f>IF(B565="","",F564/(1+E565))</x:f>
      </x:c>
    </x:row>
    <x:row r="566" ht="24" customHeight="1">
      <x:c r="B566" s="67" t="str">
        <x:f>IF('График платежей'!B566="","",ROW()-ROW($B$9))</x:f>
      </x:c>
      <x:c r="C566" s="68" t="str">
        <x:f>IF(B566="","",'График платежей'!B566)</x:f>
      </x:c>
      <x:c r="D566" s="67" t="str">
        <x:f>IF(B566="","",C566-C565)</x:f>
      </x:c>
      <x:c r="E566" s="69" t="str">
        <x:f>IF(B566="","",IF('График платежей'!$I$19="Факт / 365",'График платежей'!$I$12*D566/'График платежей'!$I$20,'График платежей'!$I$17))</x:f>
      </x:c>
      <x:c r="F566" s="70" t="str">
        <x:f>IF(B566="","",F565/(1+E566))</x:f>
      </x:c>
    </x:row>
    <x:row r="567" ht="24" customHeight="1">
      <x:c r="B567" s="67" t="str">
        <x:f>IF('График платежей'!B567="","",ROW()-ROW($B$9))</x:f>
      </x:c>
      <x:c r="C567" s="68" t="str">
        <x:f>IF(B567="","",'График платежей'!B567)</x:f>
      </x:c>
      <x:c r="D567" s="67" t="str">
        <x:f>IF(B567="","",C567-C566)</x:f>
      </x:c>
      <x:c r="E567" s="69" t="str">
        <x:f>IF(B567="","",IF('График платежей'!$I$19="Факт / 365",'График платежей'!$I$12*D567/'График платежей'!$I$20,'График платежей'!$I$17))</x:f>
      </x:c>
      <x:c r="F567" s="70" t="str">
        <x:f>IF(B567="","",F566/(1+E567))</x:f>
      </x:c>
    </x:row>
    <x:row r="568" ht="24" customHeight="1">
      <x:c r="B568" s="67" t="str">
        <x:f>IF('График платежей'!B568="","",ROW()-ROW($B$9))</x:f>
      </x:c>
      <x:c r="C568" s="68" t="str">
        <x:f>IF(B568="","",'График платежей'!B568)</x:f>
      </x:c>
      <x:c r="D568" s="67" t="str">
        <x:f>IF(B568="","",C568-C567)</x:f>
      </x:c>
      <x:c r="E568" s="69" t="str">
        <x:f>IF(B568="","",IF('График платежей'!$I$19="Факт / 365",'График платежей'!$I$12*D568/'График платежей'!$I$20,'График платежей'!$I$17))</x:f>
      </x:c>
      <x:c r="F568" s="70" t="str">
        <x:f>IF(B568="","",F567/(1+E568))</x:f>
      </x:c>
    </x:row>
    <x:row r="569" ht="24" customHeight="1">
      <x:c r="B569" s="67" t="str">
        <x:f>IF('График платежей'!B569="","",ROW()-ROW($B$9))</x:f>
      </x:c>
      <x:c r="C569" s="68" t="str">
        <x:f>IF(B569="","",'График платежей'!B569)</x:f>
      </x:c>
      <x:c r="D569" s="67" t="str">
        <x:f>IF(B569="","",C569-C568)</x:f>
      </x:c>
      <x:c r="E569" s="69" t="str">
        <x:f>IF(B569="","",IF('График платежей'!$I$19="Факт / 365",'График платежей'!$I$12*D569/'График платежей'!$I$20,'График платежей'!$I$17))</x:f>
      </x:c>
      <x:c r="F569" s="70" t="str">
        <x:f>IF(B569="","",F568/(1+E569))</x:f>
      </x:c>
    </x:row>
    <x:row r="570" ht="24" customHeight="1">
      <x:c r="B570" s="67" t="str">
        <x:f>IF('График платежей'!B570="","",ROW()-ROW($B$9))</x:f>
      </x:c>
      <x:c r="C570" s="68" t="str">
        <x:f>IF(B570="","",'График платежей'!B570)</x:f>
      </x:c>
      <x:c r="D570" s="67" t="str">
        <x:f>IF(B570="","",C570-C569)</x:f>
      </x:c>
      <x:c r="E570" s="69" t="str">
        <x:f>IF(B570="","",IF('График платежей'!$I$19="Факт / 365",'График платежей'!$I$12*D570/'График платежей'!$I$20,'График платежей'!$I$17))</x:f>
      </x:c>
      <x:c r="F570" s="70" t="str">
        <x:f>IF(B570="","",F569/(1+E570))</x:f>
      </x:c>
    </x:row>
    <x:row r="571" ht="24" customHeight="1">
      <x:c r="B571" s="67" t="str">
        <x:f>IF('График платежей'!B571="","",ROW()-ROW($B$9))</x:f>
      </x:c>
      <x:c r="C571" s="68" t="str">
        <x:f>IF(B571="","",'График платежей'!B571)</x:f>
      </x:c>
      <x:c r="D571" s="67" t="str">
        <x:f>IF(B571="","",C571-C570)</x:f>
      </x:c>
      <x:c r="E571" s="69" t="str">
        <x:f>IF(B571="","",IF('График платежей'!$I$19="Факт / 365",'График платежей'!$I$12*D571/'График платежей'!$I$20,'График платежей'!$I$17))</x:f>
      </x:c>
      <x:c r="F571" s="70" t="str">
        <x:f>IF(B571="","",F570/(1+E571))</x:f>
      </x:c>
    </x:row>
    <x:row r="572" ht="24" customHeight="1">
      <x:c r="B572" s="67" t="str">
        <x:f>IF('График платежей'!B572="","",ROW()-ROW($B$9))</x:f>
      </x:c>
      <x:c r="C572" s="68" t="str">
        <x:f>IF(B572="","",'График платежей'!B572)</x:f>
      </x:c>
      <x:c r="D572" s="67" t="str">
        <x:f>IF(B572="","",C572-C571)</x:f>
      </x:c>
      <x:c r="E572" s="69" t="str">
        <x:f>IF(B572="","",IF('График платежей'!$I$19="Факт / 365",'График платежей'!$I$12*D572/'График платежей'!$I$20,'График платежей'!$I$17))</x:f>
      </x:c>
      <x:c r="F572" s="70" t="str">
        <x:f>IF(B572="","",F571/(1+E572))</x:f>
      </x:c>
    </x:row>
    <x:row r="573" ht="24" customHeight="1">
      <x:c r="B573" s="67" t="str">
        <x:f>IF('График платежей'!B573="","",ROW()-ROW($B$9))</x:f>
      </x:c>
      <x:c r="C573" s="68" t="str">
        <x:f>IF(B573="","",'График платежей'!B573)</x:f>
      </x:c>
      <x:c r="D573" s="67" t="str">
        <x:f>IF(B573="","",C573-C572)</x:f>
      </x:c>
      <x:c r="E573" s="69" t="str">
        <x:f>IF(B573="","",IF('График платежей'!$I$19="Факт / 365",'График платежей'!$I$12*D573/'График платежей'!$I$20,'График платежей'!$I$17))</x:f>
      </x:c>
      <x:c r="F573" s="70" t="str">
        <x:f>IF(B573="","",F572/(1+E573))</x:f>
      </x:c>
    </x:row>
    <x:row r="574" ht="24" customHeight="1">
      <x:c r="B574" s="67" t="str">
        <x:f>IF('График платежей'!B574="","",ROW()-ROW($B$9))</x:f>
      </x:c>
      <x:c r="C574" s="68" t="str">
        <x:f>IF(B574="","",'График платежей'!B574)</x:f>
      </x:c>
      <x:c r="D574" s="67" t="str">
        <x:f>IF(B574="","",C574-C573)</x:f>
      </x:c>
      <x:c r="E574" s="69" t="str">
        <x:f>IF(B574="","",IF('График платежей'!$I$19="Факт / 365",'График платежей'!$I$12*D574/'График платежей'!$I$20,'График платежей'!$I$17))</x:f>
      </x:c>
      <x:c r="F574" s="70" t="str">
        <x:f>IF(B574="","",F573/(1+E574))</x:f>
      </x:c>
    </x:row>
    <x:row r="575" ht="24" customHeight="1">
      <x:c r="B575" s="67" t="str">
        <x:f>IF('График платежей'!B575="","",ROW()-ROW($B$9))</x:f>
      </x:c>
      <x:c r="C575" s="68" t="str">
        <x:f>IF(B575="","",'График платежей'!B575)</x:f>
      </x:c>
      <x:c r="D575" s="67" t="str">
        <x:f>IF(B575="","",C575-C574)</x:f>
      </x:c>
      <x:c r="E575" s="69" t="str">
        <x:f>IF(B575="","",IF('График платежей'!$I$19="Факт / 365",'График платежей'!$I$12*D575/'График платежей'!$I$20,'График платежей'!$I$17))</x:f>
      </x:c>
      <x:c r="F575" s="70" t="str">
        <x:f>IF(B575="","",F574/(1+E575))</x:f>
      </x:c>
    </x:row>
    <x:row r="576" ht="24" customHeight="1">
      <x:c r="B576" s="67" t="str">
        <x:f>IF('График платежей'!B576="","",ROW()-ROW($B$9))</x:f>
      </x:c>
      <x:c r="C576" s="68" t="str">
        <x:f>IF(B576="","",'График платежей'!B576)</x:f>
      </x:c>
      <x:c r="D576" s="67" t="str">
        <x:f>IF(B576="","",C576-C575)</x:f>
      </x:c>
      <x:c r="E576" s="69" t="str">
        <x:f>IF(B576="","",IF('График платежей'!$I$19="Факт / 365",'График платежей'!$I$12*D576/'График платежей'!$I$20,'График платежей'!$I$17))</x:f>
      </x:c>
      <x:c r="F576" s="70" t="str">
        <x:f>IF(B576="","",F575/(1+E576))</x:f>
      </x:c>
    </x:row>
    <x:row r="577" ht="24" customHeight="1">
      <x:c r="B577" s="67" t="str">
        <x:f>IF('График платежей'!B577="","",ROW()-ROW($B$9))</x:f>
      </x:c>
      <x:c r="C577" s="68" t="str">
        <x:f>IF(B577="","",'График платежей'!B577)</x:f>
      </x:c>
      <x:c r="D577" s="67" t="str">
        <x:f>IF(B577="","",C577-C576)</x:f>
      </x:c>
      <x:c r="E577" s="69" t="str">
        <x:f>IF(B577="","",IF('График платежей'!$I$19="Факт / 365",'График платежей'!$I$12*D577/'График платежей'!$I$20,'График платежей'!$I$17))</x:f>
      </x:c>
      <x:c r="F577" s="70" t="str">
        <x:f>IF(B577="","",F576/(1+E577))</x:f>
      </x:c>
    </x:row>
    <x:row r="578" ht="24" customHeight="1">
      <x:c r="B578" s="67" t="str">
        <x:f>IF('График платежей'!B578="","",ROW()-ROW($B$9))</x:f>
      </x:c>
      <x:c r="C578" s="68" t="str">
        <x:f>IF(B578="","",'График платежей'!B578)</x:f>
      </x:c>
      <x:c r="D578" s="67" t="str">
        <x:f>IF(B578="","",C578-C577)</x:f>
      </x:c>
      <x:c r="E578" s="69" t="str">
        <x:f>IF(B578="","",IF('График платежей'!$I$19="Факт / 365",'График платежей'!$I$12*D578/'График платежей'!$I$20,'График платежей'!$I$17))</x:f>
      </x:c>
      <x:c r="F578" s="70" t="str">
        <x:f>IF(B578="","",F577/(1+E578))</x:f>
      </x:c>
    </x:row>
    <x:row r="579" ht="24" customHeight="1">
      <x:c r="B579" s="67" t="str">
        <x:f>IF('График платежей'!B579="","",ROW()-ROW($B$9))</x:f>
      </x:c>
      <x:c r="C579" s="68" t="str">
        <x:f>IF(B579="","",'График платежей'!B579)</x:f>
      </x:c>
      <x:c r="D579" s="67" t="str">
        <x:f>IF(B579="","",C579-C578)</x:f>
      </x:c>
      <x:c r="E579" s="69" t="str">
        <x:f>IF(B579="","",IF('График платежей'!$I$19="Факт / 365",'График платежей'!$I$12*D579/'График платежей'!$I$20,'График платежей'!$I$17))</x:f>
      </x:c>
      <x:c r="F579" s="70" t="str">
        <x:f>IF(B579="","",F578/(1+E579))</x:f>
      </x:c>
    </x:row>
    <x:row r="580" ht="24" customHeight="1">
      <x:c r="B580" s="67" t="str">
        <x:f>IF('График платежей'!B580="","",ROW()-ROW($B$9))</x:f>
      </x:c>
      <x:c r="C580" s="68" t="str">
        <x:f>IF(B580="","",'График платежей'!B580)</x:f>
      </x:c>
      <x:c r="D580" s="67" t="str">
        <x:f>IF(B580="","",C580-C579)</x:f>
      </x:c>
      <x:c r="E580" s="69" t="str">
        <x:f>IF(B580="","",IF('График платежей'!$I$19="Факт / 365",'График платежей'!$I$12*D580/'График платежей'!$I$20,'График платежей'!$I$17))</x:f>
      </x:c>
      <x:c r="F580" s="70" t="str">
        <x:f>IF(B580="","",F579/(1+E580))</x:f>
      </x:c>
    </x:row>
    <x:row r="581" ht="24" customHeight="1">
      <x:c r="B581" s="67" t="str">
        <x:f>IF('График платежей'!B581="","",ROW()-ROW($B$9))</x:f>
      </x:c>
      <x:c r="C581" s="68" t="str">
        <x:f>IF(B581="","",'График платежей'!B581)</x:f>
      </x:c>
      <x:c r="D581" s="67" t="str">
        <x:f>IF(B581="","",C581-C580)</x:f>
      </x:c>
      <x:c r="E581" s="69" t="str">
        <x:f>IF(B581="","",IF('График платежей'!$I$19="Факт / 365",'График платежей'!$I$12*D581/'График платежей'!$I$20,'График платежей'!$I$17))</x:f>
      </x:c>
      <x:c r="F581" s="70" t="str">
        <x:f>IF(B581="","",F580/(1+E581))</x:f>
      </x:c>
    </x:row>
    <x:row r="582" ht="24" customHeight="1">
      <x:c r="B582" s="67" t="str">
        <x:f>IF('График платежей'!B582="","",ROW()-ROW($B$9))</x:f>
      </x:c>
      <x:c r="C582" s="68" t="str">
        <x:f>IF(B582="","",'График платежей'!B582)</x:f>
      </x:c>
      <x:c r="D582" s="67" t="str">
        <x:f>IF(B582="","",C582-C581)</x:f>
      </x:c>
      <x:c r="E582" s="69" t="str">
        <x:f>IF(B582="","",IF('График платежей'!$I$19="Факт / 365",'График платежей'!$I$12*D582/'График платежей'!$I$20,'График платежей'!$I$17))</x:f>
      </x:c>
      <x:c r="F582" s="70" t="str">
        <x:f>IF(B582="","",F581/(1+E582))</x:f>
      </x:c>
    </x:row>
    <x:row r="583" ht="24" customHeight="1">
      <x:c r="B583" s="67" t="str">
        <x:f>IF('График платежей'!B583="","",ROW()-ROW($B$9))</x:f>
      </x:c>
      <x:c r="C583" s="68" t="str">
        <x:f>IF(B583="","",'График платежей'!B583)</x:f>
      </x:c>
      <x:c r="D583" s="67" t="str">
        <x:f>IF(B583="","",C583-C582)</x:f>
      </x:c>
      <x:c r="E583" s="69" t="str">
        <x:f>IF(B583="","",IF('График платежей'!$I$19="Факт / 365",'График платежей'!$I$12*D583/'График платежей'!$I$20,'График платежей'!$I$17))</x:f>
      </x:c>
      <x:c r="F583" s="70" t="str">
        <x:f>IF(B583="","",F582/(1+E583))</x:f>
      </x:c>
    </x:row>
    <x:row r="584" ht="24" customHeight="1">
      <x:c r="B584" s="67" t="str">
        <x:f>IF('График платежей'!B584="","",ROW()-ROW($B$9))</x:f>
      </x:c>
      <x:c r="C584" s="68" t="str">
        <x:f>IF(B584="","",'График платежей'!B584)</x:f>
      </x:c>
      <x:c r="D584" s="67" t="str">
        <x:f>IF(B584="","",C584-C583)</x:f>
      </x:c>
      <x:c r="E584" s="69" t="str">
        <x:f>IF(B584="","",IF('График платежей'!$I$19="Факт / 365",'График платежей'!$I$12*D584/'График платежей'!$I$20,'График платежей'!$I$17))</x:f>
      </x:c>
      <x:c r="F584" s="70" t="str">
        <x:f>IF(B584="","",F583/(1+E584))</x:f>
      </x:c>
    </x:row>
    <x:row r="585" ht="24" customHeight="1">
      <x:c r="B585" s="67" t="str">
        <x:f>IF('График платежей'!B585="","",ROW()-ROW($B$9))</x:f>
      </x:c>
      <x:c r="C585" s="68" t="str">
        <x:f>IF(B585="","",'График платежей'!B585)</x:f>
      </x:c>
      <x:c r="D585" s="67" t="str">
        <x:f>IF(B585="","",C585-C584)</x:f>
      </x:c>
      <x:c r="E585" s="69" t="str">
        <x:f>IF(B585="","",IF('График платежей'!$I$19="Факт / 365",'График платежей'!$I$12*D585/'График платежей'!$I$20,'График платежей'!$I$17))</x:f>
      </x:c>
      <x:c r="F585" s="70" t="str">
        <x:f>IF(B585="","",F584/(1+E585))</x:f>
      </x:c>
    </x:row>
    <x:row r="586" ht="24" customHeight="1">
      <x:c r="B586" s="67" t="str">
        <x:f>IF('График платежей'!B586="","",ROW()-ROW($B$9))</x:f>
      </x:c>
      <x:c r="C586" s="68" t="str">
        <x:f>IF(B586="","",'График платежей'!B586)</x:f>
      </x:c>
      <x:c r="D586" s="67" t="str">
        <x:f>IF(B586="","",C586-C585)</x:f>
      </x:c>
      <x:c r="E586" s="69" t="str">
        <x:f>IF(B586="","",IF('График платежей'!$I$19="Факт / 365",'График платежей'!$I$12*D586/'График платежей'!$I$20,'График платежей'!$I$17))</x:f>
      </x:c>
      <x:c r="F586" s="70" t="str">
        <x:f>IF(B586="","",F585/(1+E586))</x:f>
      </x:c>
    </x:row>
    <x:row r="587" ht="24" customHeight="1">
      <x:c r="B587" s="67" t="str">
        <x:f>IF('График платежей'!B587="","",ROW()-ROW($B$9))</x:f>
      </x:c>
      <x:c r="C587" s="68" t="str">
        <x:f>IF(B587="","",'График платежей'!B587)</x:f>
      </x:c>
      <x:c r="D587" s="67" t="str">
        <x:f>IF(B587="","",C587-C586)</x:f>
      </x:c>
      <x:c r="E587" s="69" t="str">
        <x:f>IF(B587="","",IF('График платежей'!$I$19="Факт / 365",'График платежей'!$I$12*D587/'График платежей'!$I$20,'График платежей'!$I$17))</x:f>
      </x:c>
      <x:c r="F587" s="70" t="str">
        <x:f>IF(B587="","",F586/(1+E587))</x:f>
      </x:c>
    </x:row>
    <x:row r="588" ht="24" customHeight="1">
      <x:c r="B588" s="67" t="str">
        <x:f>IF('График платежей'!B588="","",ROW()-ROW($B$9))</x:f>
      </x:c>
      <x:c r="C588" s="68" t="str">
        <x:f>IF(B588="","",'График платежей'!B588)</x:f>
      </x:c>
      <x:c r="D588" s="67" t="str">
        <x:f>IF(B588="","",C588-C587)</x:f>
      </x:c>
      <x:c r="E588" s="69" t="str">
        <x:f>IF(B588="","",IF('График платежей'!$I$19="Факт / 365",'График платежей'!$I$12*D588/'График платежей'!$I$20,'График платежей'!$I$17))</x:f>
      </x:c>
      <x:c r="F588" s="70" t="str">
        <x:f>IF(B588="","",F587/(1+E588))</x:f>
      </x:c>
    </x:row>
    <x:row r="589" ht="24" customHeight="1">
      <x:c r="B589" s="67" t="str">
        <x:f>IF('График платежей'!B589="","",ROW()-ROW($B$9))</x:f>
      </x:c>
      <x:c r="C589" s="68" t="str">
        <x:f>IF(B589="","",'График платежей'!B589)</x:f>
      </x:c>
      <x:c r="D589" s="67" t="str">
        <x:f>IF(B589="","",C589-C588)</x:f>
      </x:c>
      <x:c r="E589" s="69" t="str">
        <x:f>IF(B589="","",IF('График платежей'!$I$19="Факт / 365",'График платежей'!$I$12*D589/'График платежей'!$I$20,'График платежей'!$I$17))</x:f>
      </x:c>
      <x:c r="F589" s="70" t="str">
        <x:f>IF(B589="","",F588/(1+E589))</x:f>
      </x:c>
    </x:row>
    <x:row r="590" ht="24" customHeight="1">
      <x:c r="B590" s="67" t="str">
        <x:f>IF('График платежей'!B590="","",ROW()-ROW($B$9))</x:f>
      </x:c>
      <x:c r="C590" s="68" t="str">
        <x:f>IF(B590="","",'График платежей'!B590)</x:f>
      </x:c>
      <x:c r="D590" s="67" t="str">
        <x:f>IF(B590="","",C590-C589)</x:f>
      </x:c>
      <x:c r="E590" s="69" t="str">
        <x:f>IF(B590="","",IF('График платежей'!$I$19="Факт / 365",'График платежей'!$I$12*D590/'График платежей'!$I$20,'График платежей'!$I$17))</x:f>
      </x:c>
      <x:c r="F590" s="70" t="str">
        <x:f>IF(B590="","",F589/(1+E590))</x:f>
      </x:c>
    </x:row>
    <x:row r="591" ht="24" customHeight="1">
      <x:c r="B591" s="67" t="str">
        <x:f>IF('График платежей'!B591="","",ROW()-ROW($B$9))</x:f>
      </x:c>
      <x:c r="C591" s="68" t="str">
        <x:f>IF(B591="","",'График платежей'!B591)</x:f>
      </x:c>
      <x:c r="D591" s="67" t="str">
        <x:f>IF(B591="","",C591-C590)</x:f>
      </x:c>
      <x:c r="E591" s="69" t="str">
        <x:f>IF(B591="","",IF('График платежей'!$I$19="Факт / 365",'График платежей'!$I$12*D591/'График платежей'!$I$20,'График платежей'!$I$17))</x:f>
      </x:c>
      <x:c r="F591" s="70" t="str">
        <x:f>IF(B591="","",F590/(1+E591))</x:f>
      </x:c>
    </x:row>
    <x:row r="592" ht="24" customHeight="1">
      <x:c r="B592" s="67" t="str">
        <x:f>IF('График платежей'!B592="","",ROW()-ROW($B$9))</x:f>
      </x:c>
      <x:c r="C592" s="68" t="str">
        <x:f>IF(B592="","",'График платежей'!B592)</x:f>
      </x:c>
      <x:c r="D592" s="67" t="str">
        <x:f>IF(B592="","",C592-C591)</x:f>
      </x:c>
      <x:c r="E592" s="69" t="str">
        <x:f>IF(B592="","",IF('График платежей'!$I$19="Факт / 365",'График платежей'!$I$12*D592/'График платежей'!$I$20,'График платежей'!$I$17))</x:f>
      </x:c>
      <x:c r="F592" s="70" t="str">
        <x:f>IF(B592="","",F591/(1+E592))</x:f>
      </x:c>
    </x:row>
    <x:row r="593" ht="24" customHeight="1">
      <x:c r="B593" s="67" t="str">
        <x:f>IF('График платежей'!B593="","",ROW()-ROW($B$9))</x:f>
      </x:c>
      <x:c r="C593" s="68" t="str">
        <x:f>IF(B593="","",'График платежей'!B593)</x:f>
      </x:c>
      <x:c r="D593" s="67" t="str">
        <x:f>IF(B593="","",C593-C592)</x:f>
      </x:c>
      <x:c r="E593" s="69" t="str">
        <x:f>IF(B593="","",IF('График платежей'!$I$19="Факт / 365",'График платежей'!$I$12*D593/'График платежей'!$I$20,'График платежей'!$I$17))</x:f>
      </x:c>
      <x:c r="F593" s="70" t="str">
        <x:f>IF(B593="","",F592/(1+E593))</x:f>
      </x:c>
    </x:row>
    <x:row r="594" ht="24" customHeight="1">
      <x:c r="B594" s="67" t="str">
        <x:f>IF('График платежей'!B594="","",ROW()-ROW($B$9))</x:f>
      </x:c>
      <x:c r="C594" s="68" t="str">
        <x:f>IF(B594="","",'График платежей'!B594)</x:f>
      </x:c>
      <x:c r="D594" s="67" t="str">
        <x:f>IF(B594="","",C594-C593)</x:f>
      </x:c>
      <x:c r="E594" s="69" t="str">
        <x:f>IF(B594="","",IF('График платежей'!$I$19="Факт / 365",'График платежей'!$I$12*D594/'График платежей'!$I$20,'График платежей'!$I$17))</x:f>
      </x:c>
      <x:c r="F594" s="70" t="str">
        <x:f>IF(B594="","",F593/(1+E594))</x:f>
      </x:c>
    </x:row>
    <x:row r="595" ht="24" customHeight="1">
      <x:c r="B595" s="67" t="str">
        <x:f>IF('График платежей'!B595="","",ROW()-ROW($B$9))</x:f>
      </x:c>
      <x:c r="C595" s="68" t="str">
        <x:f>IF(B595="","",'График платежей'!B595)</x:f>
      </x:c>
      <x:c r="D595" s="67" t="str">
        <x:f>IF(B595="","",C595-C594)</x:f>
      </x:c>
      <x:c r="E595" s="69" t="str">
        <x:f>IF(B595="","",IF('График платежей'!$I$19="Факт / 365",'График платежей'!$I$12*D595/'График платежей'!$I$20,'График платежей'!$I$17))</x:f>
      </x:c>
      <x:c r="F595" s="70" t="str">
        <x:f>IF(B595="","",F594/(1+E595))</x:f>
      </x:c>
    </x:row>
    <x:row r="596" ht="24" customHeight="1">
      <x:c r="B596" s="67" t="str">
        <x:f>IF('График платежей'!B596="","",ROW()-ROW($B$9))</x:f>
      </x:c>
      <x:c r="C596" s="68" t="str">
        <x:f>IF(B596="","",'График платежей'!B596)</x:f>
      </x:c>
      <x:c r="D596" s="67" t="str">
        <x:f>IF(B596="","",C596-C595)</x:f>
      </x:c>
      <x:c r="E596" s="69" t="str">
        <x:f>IF(B596="","",IF('График платежей'!$I$19="Факт / 365",'График платежей'!$I$12*D596/'График платежей'!$I$20,'График платежей'!$I$17))</x:f>
      </x:c>
      <x:c r="F596" s="70" t="str">
        <x:f>IF(B596="","",F595/(1+E596))</x:f>
      </x:c>
    </x:row>
    <x:row r="597" ht="24" customHeight="1">
      <x:c r="B597" s="67" t="str">
        <x:f>IF('График платежей'!B597="","",ROW()-ROW($B$9))</x:f>
      </x:c>
      <x:c r="C597" s="68" t="str">
        <x:f>IF(B597="","",'График платежей'!B597)</x:f>
      </x:c>
      <x:c r="D597" s="67" t="str">
        <x:f>IF(B597="","",C597-C596)</x:f>
      </x:c>
      <x:c r="E597" s="69" t="str">
        <x:f>IF(B597="","",IF('График платежей'!$I$19="Факт / 365",'График платежей'!$I$12*D597/'График платежей'!$I$20,'График платежей'!$I$17))</x:f>
      </x:c>
      <x:c r="F597" s="70" t="str">
        <x:f>IF(B597="","",F596/(1+E597))</x:f>
      </x:c>
    </x:row>
    <x:row r="598" ht="24" customHeight="1">
      <x:c r="B598" s="67" t="str">
        <x:f>IF('График платежей'!B598="","",ROW()-ROW($B$9))</x:f>
      </x:c>
      <x:c r="C598" s="68" t="str">
        <x:f>IF(B598="","",'График платежей'!B598)</x:f>
      </x:c>
      <x:c r="D598" s="67" t="str">
        <x:f>IF(B598="","",C598-C597)</x:f>
      </x:c>
      <x:c r="E598" s="69" t="str">
        <x:f>IF(B598="","",IF('График платежей'!$I$19="Факт / 365",'График платежей'!$I$12*D598/'График платежей'!$I$20,'График платежей'!$I$17))</x:f>
      </x:c>
      <x:c r="F598" s="70" t="str">
        <x:f>IF(B598="","",F597/(1+E598))</x:f>
      </x:c>
    </x:row>
    <x:row r="599" ht="24" customHeight="1">
      <x:c r="B599" s="67" t="str">
        <x:f>IF('График платежей'!B599="","",ROW()-ROW($B$9))</x:f>
      </x:c>
      <x:c r="C599" s="68" t="str">
        <x:f>IF(B599="","",'График платежей'!B599)</x:f>
      </x:c>
      <x:c r="D599" s="67" t="str">
        <x:f>IF(B599="","",C599-C598)</x:f>
      </x:c>
      <x:c r="E599" s="69" t="str">
        <x:f>IF(B599="","",IF('График платежей'!$I$19="Факт / 365",'График платежей'!$I$12*D599/'График платежей'!$I$20,'График платежей'!$I$17))</x:f>
      </x:c>
      <x:c r="F599" s="70" t="str">
        <x:f>IF(B599="","",F598/(1+E599))</x:f>
      </x:c>
    </x:row>
    <x:row r="600" ht="24" customHeight="1">
      <x:c r="B600" s="67" t="str">
        <x:f>IF('График платежей'!B600="","",ROW()-ROW($B$9))</x:f>
      </x:c>
      <x:c r="C600" s="68" t="str">
        <x:f>IF(B600="","",'График платежей'!B600)</x:f>
      </x:c>
      <x:c r="D600" s="67" t="str">
        <x:f>IF(B600="","",C600-C599)</x:f>
      </x:c>
      <x:c r="E600" s="69" t="str">
        <x:f>IF(B600="","",IF('График платежей'!$I$19="Факт / 365",'График платежей'!$I$12*D600/'График платежей'!$I$20,'График платежей'!$I$17))</x:f>
      </x:c>
      <x:c r="F600" s="70" t="str">
        <x:f>IF(B600="","",F599/(1+E600))</x:f>
      </x:c>
    </x:row>
    <x:row r="601" ht="24" customHeight="1">
      <x:c r="B601" s="67" t="str">
        <x:f>IF('График платежей'!B601="","",ROW()-ROW($B$9))</x:f>
      </x:c>
      <x:c r="C601" s="68" t="str">
        <x:f>IF(B601="","",'График платежей'!B601)</x:f>
      </x:c>
      <x:c r="D601" s="67" t="str">
        <x:f>IF(B601="","",C601-C600)</x:f>
      </x:c>
      <x:c r="E601" s="69" t="str">
        <x:f>IF(B601="","",IF('График платежей'!$I$19="Факт / 365",'График платежей'!$I$12*D601/'График платежей'!$I$20,'График платежей'!$I$17))</x:f>
      </x:c>
      <x:c r="F601" s="70" t="str">
        <x:f>IF(B601="","",F600/(1+E601))</x:f>
      </x:c>
    </x:row>
    <x:row r="602" ht="24" customHeight="1">
      <x:c r="B602" s="67" t="str">
        <x:f>IF('График платежей'!B602="","",ROW()-ROW($B$9))</x:f>
      </x:c>
      <x:c r="C602" s="68" t="str">
        <x:f>IF(B602="","",'График платежей'!B602)</x:f>
      </x:c>
      <x:c r="D602" s="67" t="str">
        <x:f>IF(B602="","",C602-C601)</x:f>
      </x:c>
      <x:c r="E602" s="69" t="str">
        <x:f>IF(B602="","",IF('График платежей'!$I$19="Факт / 365",'График платежей'!$I$12*D602/'График платежей'!$I$20,'График платежей'!$I$17))</x:f>
      </x:c>
      <x:c r="F602" s="70" t="str">
        <x:f>IF(B602="","",F601/(1+E602))</x:f>
      </x:c>
    </x:row>
    <x:row r="603" ht="24" customHeight="1">
      <x:c r="B603" s="67" t="str">
        <x:f>IF('График платежей'!B603="","",ROW()-ROW($B$9))</x:f>
      </x:c>
      <x:c r="C603" s="68" t="str">
        <x:f>IF(B603="","",'График платежей'!B603)</x:f>
      </x:c>
      <x:c r="D603" s="67" t="str">
        <x:f>IF(B603="","",C603-C602)</x:f>
      </x:c>
      <x:c r="E603" s="69" t="str">
        <x:f>IF(B603="","",IF('График платежей'!$I$19="Факт / 365",'График платежей'!$I$12*D603/'График платежей'!$I$20,'График платежей'!$I$17))</x:f>
      </x:c>
      <x:c r="F603" s="70" t="str">
        <x:f>IF(B603="","",F602/(1+E603))</x:f>
      </x:c>
    </x:row>
    <x:row r="604" ht="24" customHeight="1">
      <x:c r="B604" s="67" t="str">
        <x:f>IF('График платежей'!B604="","",ROW()-ROW($B$9))</x:f>
      </x:c>
      <x:c r="C604" s="68" t="str">
        <x:f>IF(B604="","",'График платежей'!B604)</x:f>
      </x:c>
      <x:c r="D604" s="67" t="str">
        <x:f>IF(B604="","",C604-C603)</x:f>
      </x:c>
      <x:c r="E604" s="69" t="str">
        <x:f>IF(B604="","",IF('График платежей'!$I$19="Факт / 365",'График платежей'!$I$12*D604/'График платежей'!$I$20,'График платежей'!$I$17))</x:f>
      </x:c>
      <x:c r="F604" s="70" t="str">
        <x:f>IF(B604="","",F603/(1+E604))</x:f>
      </x:c>
    </x:row>
    <x:row r="605" ht="24" customHeight="1">
      <x:c r="B605" s="67" t="str">
        <x:f>IF('График платежей'!B605="","",ROW()-ROW($B$9))</x:f>
      </x:c>
      <x:c r="C605" s="68" t="str">
        <x:f>IF(B605="","",'График платежей'!B605)</x:f>
      </x:c>
      <x:c r="D605" s="67" t="str">
        <x:f>IF(B605="","",C605-C604)</x:f>
      </x:c>
      <x:c r="E605" s="69" t="str">
        <x:f>IF(B605="","",IF('График платежей'!$I$19="Факт / 365",'График платежей'!$I$12*D605/'График платежей'!$I$20,'График платежей'!$I$17))</x:f>
      </x:c>
      <x:c r="F605" s="70" t="str">
        <x:f>IF(B605="","",F604/(1+E605))</x:f>
      </x:c>
    </x:row>
    <x:row r="606" ht="24" customHeight="1">
      <x:c r="B606" s="67" t="str">
        <x:f>IF('График платежей'!B606="","",ROW()-ROW($B$9))</x:f>
      </x:c>
      <x:c r="C606" s="68" t="str">
        <x:f>IF(B606="","",'График платежей'!B606)</x:f>
      </x:c>
      <x:c r="D606" s="67" t="str">
        <x:f>IF(B606="","",C606-C605)</x:f>
      </x:c>
      <x:c r="E606" s="69" t="str">
        <x:f>IF(B606="","",IF('График платежей'!$I$19="Факт / 365",'График платежей'!$I$12*D606/'График платежей'!$I$20,'График платежей'!$I$17))</x:f>
      </x:c>
      <x:c r="F606" s="70" t="str">
        <x:f>IF(B606="","",F605/(1+E606))</x:f>
      </x:c>
    </x:row>
    <x:row r="607" ht="24" customHeight="1">
      <x:c r="B607" s="67" t="str">
        <x:f>IF('График платежей'!B607="","",ROW()-ROW($B$9))</x:f>
      </x:c>
      <x:c r="C607" s="68" t="str">
        <x:f>IF(B607="","",'График платежей'!B607)</x:f>
      </x:c>
      <x:c r="D607" s="67" t="str">
        <x:f>IF(B607="","",C607-C606)</x:f>
      </x:c>
      <x:c r="E607" s="69" t="str">
        <x:f>IF(B607="","",IF('График платежей'!$I$19="Факт / 365",'График платежей'!$I$12*D607/'График платежей'!$I$20,'График платежей'!$I$17))</x:f>
      </x:c>
      <x:c r="F607" s="70" t="str">
        <x:f>IF(B607="","",F606/(1+E607))</x:f>
      </x:c>
    </x:row>
    <x:row r="608" ht="24" customHeight="1">
      <x:c r="B608" s="67" t="str">
        <x:f>IF('График платежей'!B608="","",ROW()-ROW($B$9))</x:f>
      </x:c>
      <x:c r="C608" s="68" t="str">
        <x:f>IF(B608="","",'График платежей'!B608)</x:f>
      </x:c>
      <x:c r="D608" s="67" t="str">
        <x:f>IF(B608="","",C608-C607)</x:f>
      </x:c>
      <x:c r="E608" s="69" t="str">
        <x:f>IF(B608="","",IF('График платежей'!$I$19="Факт / 365",'График платежей'!$I$12*D608/'График платежей'!$I$20,'График платежей'!$I$17))</x:f>
      </x:c>
      <x:c r="F608" s="70" t="str">
        <x:f>IF(B608="","",F607/(1+E608))</x:f>
      </x:c>
    </x:row>
    <x:row r="609" ht="24" customHeight="1">
      <x:c r="B609" s="71" t="str">
        <x:f>IF('График платежей'!B609="","",ROW()-ROW($B$9))</x:f>
      </x:c>
      <x:c r="C609" s="72" t="str">
        <x:f>IF(B609="","",'График платежей'!B609)</x:f>
      </x:c>
      <x:c r="D609" s="71" t="str">
        <x:f>IF(B609="","",C609-C608)</x:f>
      </x:c>
      <x:c r="E609" s="73" t="str">
        <x:f>IF(B609="","",IF('График платежей'!$I$19="Факт / 365",'График платежей'!$I$12*D609/'График платежей'!$I$20,'График платежей'!$I$17))</x:f>
      </x:c>
      <x:c r="F609" s="74" t="str">
        <x:f>IF(B609="","",F608/(1+E609))</x:f>
      </x:c>
    </x:row>
  </x:sheetData>
  <x:mergeCells>
    <x:mergeCell ref="B2:F2"/>
    <x:mergeCell ref="B3:F3"/>
    <x:mergeCell ref="B4:F4"/>
    <x:mergeCell ref="B5:E5"/>
  </x:mergeCells>
  <x:pageMargins left="0.7" right="0.7" top="0.75" bottom="0.75" header="0.3" footer="0.3"/>
</x:worksheet>
</file>