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6e14d61b8048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равнение" sheetId="1" r:id="R9a8564cc63be4df3"/>
    <x:sheet xmlns:r="http://schemas.openxmlformats.org/officeDocument/2006/relationships" name="Параметры" sheetId="2" r:id="R13d76dc630e348a1"/>
    <x:sheet xmlns:r="http://schemas.openxmlformats.org/officeDocument/2006/relationships" name="ANN" sheetId="3" r:id="Rd4d9c975bd674cf0"/>
    <x:sheet xmlns:r="http://schemas.openxmlformats.org/officeDocument/2006/relationships" name="SIMPLE" sheetId="4" r:id="R219f15dcbab44196"/>
    <x:sheet xmlns:r="http://schemas.openxmlformats.org/officeDocument/2006/relationships" name="RGM" sheetId="5" r:id="R2c4db6cca47a4b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yyyy-mm-dd"/>
    <x:numFmt numFmtId="201" formatCode="#,##0.00;(#,##0.00);0.00"/>
    <x:numFmt numFmtId="202" formatCode="0.00%"/>
    <x:numFmt numFmtId="203" formatCode="0.000000000"/>
    <x:numFmt numFmtId="204" formatCode="0.00000000;(0.00000000);0.00000000"/>
    <x:numFmt numFmtId="205" formatCode="0.00"/>
  </x:numFmts>
  <x:fonts count="8">
    <x:font>
      <x:sz val="11"/>
      <x:name val="Carlito"/>
    </x:font>
    <x:font>
      <x:sz val="10"/>
      <x:color rgb="FF243447"/>
      <x:name val="Arial"/>
    </x:font>
    <x:font>
      <x:b/>
      <x:sz val="14"/>
      <x:color rgb="FF203B5C"/>
      <x:name val="Arial"/>
    </x:font>
    <x:font>
      <x:b/>
      <x:sz val="10"/>
      <x:color rgb="FFFFFFFF"/>
      <x:name val="Arial"/>
    </x:font>
    <x:font>
      <x:sz val="10"/>
      <x:color rgb="FF2364AA"/>
      <x:name val="Arial"/>
    </x:font>
    <x:font>
      <x:sz val="10"/>
      <x:color rgb="FF22704B"/>
      <x:name val="Arial"/>
    </x:font>
    <x:font>
      <x:b/>
      <x:sz val="10"/>
      <x:color rgb="FF243447"/>
      <x:name val="Arial"/>
    </x:font>
    <x:font>
      <x:b/>
      <x:sz val="10"/>
      <x:color rgb="FF22704B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203B5C"/>
      </x:patternFill>
    </x:fill>
    <x:fill>
      <x:patternFill patternType="solid">
        <x:fgColor rgb="FFFFF2CC"/>
      </x:patternFill>
    </x:fill>
    <x:fill>
      <x:patternFill patternType="solid">
        <x:fgColor rgb="FFEAF0F6"/>
      </x:patternFill>
    </x:fill>
    <x:fill>
      <x:patternFill patternType="solid">
        <x:fgColor rgb="FFEDF2F7"/>
      </x:patternFill>
    </x:fill>
  </x:fills>
  <x:borders count="5">
    <x:border>
      <x:left/>
      <x:right/>
      <x:top/>
      <x:bottom/>
      <x:diagonal/>
    </x:border>
    <x:border>
      <x:left/>
      <x:right/>
      <x:top/>
      <x:bottom style="thin">
        <x:color rgb="FFB9C8D7"/>
      </x:bottom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</x:borders>
  <x:cellStyleXfs count="1">
    <x:xf numFmtId="0" fontId="0" fillId="0" borderId="0"/>
  </x:cellStyleXfs>
  <x:cellXfs count="5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2" xfId="0" applyNumberFormat="1" applyFont="1" applyFill="1" applyBorder="1" applyAlignment="1">
      <x:alignment vertical="center"/>
    </x:xf>
    <x:xf numFmtId="0" fontId="3" fillId="2" borderId="3" xfId="0" applyNumberFormat="1" applyFont="1" applyFill="1" applyBorder="1" applyAlignment="1">
      <x:alignment vertical="center"/>
    </x:xf>
    <x:xf numFmtId="0" fontId="3" fillId="2" borderId="2" xfId="0" applyNumberFormat="1" applyFont="1" applyFill="1" applyBorder="1" applyAlignment="1">
      <x:alignment vertical="center" wrapText="1"/>
    </x:xf>
    <x:xf numFmtId="0" fontId="3" fillId="2" borderId="3" xfId="0" applyNumberFormat="1" applyFont="1" applyFill="1" applyBorder="1" applyAlignment="1">
      <x:alignment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201" fontId="4" fillId="3" borderId="0" xfId="0" applyNumberFormat="1" applyFont="1" applyFill="1" applyBorder="1" applyAlignment="1">
      <x:alignment vertical="center"/>
    </x:xf>
    <x:xf numFmtId="202" fontId="4" fillId="3" borderId="0" xfId="0" applyNumberFormat="1" applyFont="1" applyFill="1" applyBorder="1" applyAlignment="1">
      <x:alignment vertical="center"/>
    </x:xf>
    <x:xf numFmtId="201" fontId="5" fillId="0" borderId="0" xfId="0" applyNumberFormat="1" applyFont="1" applyFill="1" applyBorder="1" applyAlignment="1">
      <x:alignment vertical="center"/>
    </x:xf>
    <x:xf numFmtId="0" fontId="3" fillId="2" borderId="4" xfId="0" applyNumberFormat="1" applyFont="1" applyFill="1" applyBorder="1" applyAlignment="1">
      <x:alignment vertical="center"/>
    </x:xf>
    <x:xf numFmtId="0" fontId="3" fillId="2" borderId="4" xfId="0" applyNumberFormat="1" applyFont="1" applyFill="1" applyBorder="1" applyAlignment="1">
      <x:alignment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horizontal="center"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1" fontId="5" fillId="0" borderId="0" xfId="0" applyNumberFormat="1" applyFont="1" applyFill="1" applyBorder="1" applyAlignment="1">
      <x:alignment horizontal="right" vertical="center"/>
    </x:xf>
    <x:xf numFmtId="203" fontId="1" fillId="0" borderId="0" xfId="0" applyNumberFormat="1" applyFont="1" applyFill="1" applyBorder="1" applyAlignment="1">
      <x:alignment horizontal="right" vertical="center"/>
    </x:xf>
    <x:xf numFmtId="203" fontId="5" fillId="0" borderId="0" xfId="0" applyNumberFormat="1" applyFont="1" applyFill="1" applyBorder="1" applyAlignment="1">
      <x:alignment horizontal="right" vertical="center"/>
    </x:xf>
    <x:xf numFmtId="201" fontId="1" fillId="4" borderId="0" xfId="0" applyNumberFormat="1" applyFont="1" applyFill="1" applyBorder="1" applyAlignment="1">
      <x:alignment horizontal="right" vertical="center"/>
    </x:xf>
    <x:xf numFmtId="203" fontId="5" fillId="4" borderId="0" xfId="0" applyNumberFormat="1" applyFont="1" applyFill="1" applyBorder="1" applyAlignment="1">
      <x:alignment horizontal="right" vertical="center"/>
    </x:xf>
    <x:xf numFmtId="203" fontId="1" fillId="4" borderId="0" xfId="0" applyNumberFormat="1" applyFont="1" applyFill="1" applyBorder="1" applyAlignment="1">
      <x:alignment horizontal="right" vertical="center"/>
    </x:xf>
    <x:xf numFmtId="201" fontId="6" fillId="4" borderId="0" xfId="0" applyNumberFormat="1" applyFont="1" applyFill="1" applyBorder="1" applyAlignment="1">
      <x:alignment horizontal="right" vertical="center"/>
    </x:xf>
    <x:xf numFmtId="203" fontId="7" fillId="4" borderId="0" xfId="0" applyNumberFormat="1" applyFont="1" applyFill="1" applyBorder="1" applyAlignment="1">
      <x:alignment horizontal="right" vertical="center"/>
    </x:xf>
    <x:xf numFmtId="203" fontId="6" fillId="4" borderId="0" xfId="0" applyNumberFormat="1" applyFont="1" applyFill="1" applyBorder="1" applyAlignment="1">
      <x:alignment horizontal="right" vertical="center"/>
    </x:xf>
    <x:xf numFmtId="0" fontId="1" fillId="5" borderId="0" xfId="0" applyNumberFormat="1" applyFont="1" applyFill="1" applyBorder="1" applyAlignment="1">
      <x:alignment vertical="center"/>
    </x:xf>
    <x:xf numFmtId="201" fontId="1" fillId="5" borderId="0" xfId="0" applyNumberFormat="1" applyFont="1" applyFill="1" applyBorder="1" applyAlignment="1">
      <x:alignment vertical="center"/>
    </x:xf>
    <x:xf numFmtId="204" fontId="1" fillId="5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horizontal="right" vertical="center"/>
    </x:xf>
    <x:xf numFmtId="201" fontId="1" fillId="5" borderId="0" xfId="0" applyNumberFormat="1" applyFont="1" applyFill="1" applyBorder="1" applyAlignment="1">
      <x:alignment horizontal="right" vertical="center"/>
    </x:xf>
    <x:xf numFmtId="204" fontId="1" fillId="5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right" vertical="center"/>
    </x:xf>
    <x:xf numFmtId="204" fontId="1" fillId="0" borderId="0" xfId="0" applyNumberFormat="1" applyFont="1" applyFill="1" applyBorder="1" applyAlignment="1">
      <x:alignment horizontal="right" vertical="center"/>
    </x:xf>
    <x:xf numFmtId="0" fontId="6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201" fontId="5" fillId="0" borderId="0" xfId="0" applyNumberFormat="1" applyFont="1" applyFill="1" applyBorder="1"/>
  </x:cellXfs>
  <x:cellStyles count="1">
    <x:cellStyle name="Normal" xfId="0"/>
  </x:cellStyles>
  <x:dxfs count="1">
    <x:dxf>
      <x:font>
        <x:b/>
        <x:color rgb="FFA32020"/>
      </x:font>
      <x:fill>
        <x:patternFill patternType="solid">
          <x:bgColor rgb="FFFCE7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b892a0a2c84de7" /><Relationship Type="http://schemas.openxmlformats.org/officeDocument/2006/relationships/theme" Target="/xl/theme/theme1.xml" Id="Reb15eb415d0e4d1e" /><Relationship Type="http://schemas.openxmlformats.org/officeDocument/2006/relationships/sharedStrings" Target="/xl/sharedStrings.xml" Id="R00cb4dff9db142c6" /><Relationship Type="http://schemas.openxmlformats.org/officeDocument/2006/relationships/worksheet" Target="/xl/worksheets/sheet1.xml" Id="R9a8564cc63be4df3" /><Relationship Type="http://schemas.openxmlformats.org/officeDocument/2006/relationships/worksheet" Target="/xl/worksheets/sheet2.xml" Id="R13d76dc630e348a1" /><Relationship Type="http://schemas.openxmlformats.org/officeDocument/2006/relationships/worksheet" Target="/xl/worksheets/sheet3.xml" Id="Rd4d9c975bd674cf0" /><Relationship Type="http://schemas.openxmlformats.org/officeDocument/2006/relationships/worksheet" Target="/xl/worksheets/sheet4.xml" Id="R219f15dcbab44196" /><Relationship Type="http://schemas.openxmlformats.org/officeDocument/2006/relationships/worksheet" Target="/xl/worksheets/sheet5.xml" Id="R2c4db6cca47a4bf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22083681a464319" /><Relationship Type="http://schemas.openxmlformats.org/officeDocument/2006/relationships/chart" Target="/xl/drawings/charts/chart2.xml" Id="Re744213d3e3c4eac" /><Relationship Type="http://schemas.openxmlformats.org/officeDocument/2006/relationships/chart" Target="/xl/drawings/charts/chart3.xml" Id="R4d3168708c5d44f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Всего процентов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Series 1</c:v>
          </c:tx>
          <c:spPr>
            <a:solidFill xmlns:a="http://schemas.openxmlformats.org/drawingml/2006/main">
              <a:srgbClr val="2364AA"/>
            </a:solidFill>
          </c:spPr>
          <c:cat>
            <c:strRef>
              <c:f>'Сравнение'!$B$6:$B$8</c:f>
              <c:strCache>
                <c:ptCount val="0"/>
              </c:strCache>
            </c:strRef>
          </c:cat>
          <c:val>
            <c:numRef>
              <c:f>'Сравнение'!$E$6:$E$8</c:f>
              <c:numCache>
                <c:formatCode>#,##0.00;(#,##0.00);0.00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ickLblSkip val="1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RUB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Остаток долга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ANN</c:v>
          </c:tx>
          <c:spPr>
            <a:solidFill xmlns:a="http://schemas.openxmlformats.org/drawingml/2006/main">
              <a:srgbClr val="2364AA"/>
            </a:solidFill>
            <a:ln xmlns:a="http://schemas.openxmlformats.org/drawingml/2006/main" w="19050">
              <a:solidFill>
                <a:srgbClr val="2364AA"/>
              </a:solidFill>
              <a:prstDash val="solid"/>
            </a:ln>
          </c:spPr>
          <c:marker>
            <c:symbol val="none"/>
          </c:marker>
          <c:cat>
            <c:strRef>
              <c:f>'Сравнение'!$B$74:$B$408</c:f>
              <c:strCache>
                <c:ptCount val="0"/>
              </c:strCache>
            </c:strRef>
          </c:cat>
          <c:val>
            <c:numRef>
              <c:f>'Сравнение'!$C$74:$C$408</c:f>
              <c:numCache>
                <c:formatCode>#,##0.00;(#,##0.00);0.00</c:formatCode>
                <c:ptCount val="0"/>
              </c:numCache>
            </c:numRef>
          </c:val>
          <c:smooth val="0"/>
        </c:ser>
        <c:ser>
          <c:idx val="1"/>
          <c:order val="1"/>
          <c:tx>
            <c:v>SIMPLE</c:v>
          </c:tx>
          <c:spPr>
            <a:solidFill xmlns:a="http://schemas.openxmlformats.org/drawingml/2006/main">
              <a:srgbClr val="D47B28"/>
            </a:solidFill>
            <a:ln xmlns:a="http://schemas.openxmlformats.org/drawingml/2006/main" w="19050">
              <a:solidFill>
                <a:srgbClr val="D47B28"/>
              </a:solidFill>
              <a:prstDash val="solid"/>
            </a:ln>
          </c:spPr>
          <c:marker>
            <c:symbol val="none"/>
          </c:marker>
          <c:cat>
            <c:strRef>
              <c:f>'Сравнение'!$B$74:$B$408</c:f>
              <c:strCache>
                <c:ptCount val="0"/>
              </c:strCache>
            </c:strRef>
          </c:cat>
          <c:val>
            <c:numRef>
              <c:f>'Сравнение'!$D$74:$D$408</c:f>
              <c:numCache>
                <c:formatCode>#,##0.00;(#,##0.00);0.00</c:formatCode>
                <c:ptCount val="0"/>
              </c:numCache>
            </c:numRef>
          </c:val>
          <c:smooth val="0"/>
        </c:ser>
        <c:ser>
          <c:idx val="2"/>
          <c:order val="2"/>
          <c:tx>
            <c:v>RGM</c:v>
          </c:tx>
          <c:spPr>
            <a:solidFill xmlns:a="http://schemas.openxmlformats.org/drawingml/2006/main">
              <a:srgbClr val="24856D"/>
            </a:solidFill>
            <a:ln xmlns:a="http://schemas.openxmlformats.org/drawingml/2006/main" w="19050">
              <a:solidFill>
                <a:srgbClr val="24856D"/>
              </a:solidFill>
              <a:prstDash val="solid"/>
            </a:ln>
          </c:spPr>
          <c:marker>
            <c:symbol val="none"/>
          </c:marker>
          <c:cat>
            <c:strRef>
              <c:f>'Сравнение'!$B$74:$B$408</c:f>
              <c:strCache>
                <c:ptCount val="0"/>
              </c:strCache>
            </c:strRef>
          </c:cat>
          <c:val>
            <c:numRef>
              <c:f>'Сравнение'!$E$74:$E$408</c:f>
              <c:numCache>
                <c:formatCode>#,##0.00;(#,##0.00);0.00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Номер платежа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ickLblSkip val="50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RUB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Платежи до последнего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ANN</c:v>
          </c:tx>
          <c:spPr>
            <a:solidFill xmlns:a="http://schemas.openxmlformats.org/drawingml/2006/main">
              <a:srgbClr val="2364AA"/>
            </a:solidFill>
            <a:ln xmlns:a="http://schemas.openxmlformats.org/drawingml/2006/main" w="19050">
              <a:solidFill>
                <a:srgbClr val="2364AA"/>
              </a:solidFill>
              <a:prstDash val="solid"/>
            </a:ln>
          </c:spPr>
          <c:marker>
            <c:symbol val="none"/>
          </c:marker>
          <c:cat>
            <c:strRef>
              <c:f>'Сравнение'!$J$74:$J$406</c:f>
              <c:strCache>
                <c:ptCount val="0"/>
              </c:strCache>
            </c:strRef>
          </c:cat>
          <c:val>
            <c:numRef>
              <c:f>'Сравнение'!$K$74:$K$406</c:f>
              <c:numCache>
                <c:formatCode>#,##0.00;(#,##0.00);0.00</c:formatCode>
                <c:ptCount val="0"/>
              </c:numCache>
            </c:numRef>
          </c:val>
          <c:smooth val="0"/>
        </c:ser>
        <c:ser>
          <c:idx val="1"/>
          <c:order val="1"/>
          <c:tx>
            <c:v>SIMPLE</c:v>
          </c:tx>
          <c:spPr>
            <a:solidFill xmlns:a="http://schemas.openxmlformats.org/drawingml/2006/main">
              <a:srgbClr val="D47B28"/>
            </a:solidFill>
            <a:ln xmlns:a="http://schemas.openxmlformats.org/drawingml/2006/main" w="19050">
              <a:solidFill>
                <a:srgbClr val="D47B28"/>
              </a:solidFill>
              <a:prstDash val="solid"/>
            </a:ln>
          </c:spPr>
          <c:marker>
            <c:symbol val="none"/>
          </c:marker>
          <c:cat>
            <c:strRef>
              <c:f>'Сравнение'!$J$74:$J$406</c:f>
              <c:strCache>
                <c:ptCount val="0"/>
              </c:strCache>
            </c:strRef>
          </c:cat>
          <c:val>
            <c:numRef>
              <c:f>'Сравнение'!$L$74:$L$406</c:f>
              <c:numCache>
                <c:formatCode>#,##0.00;(#,##0.00);0.00</c:formatCode>
                <c:ptCount val="0"/>
              </c:numCache>
            </c:numRef>
          </c:val>
          <c:smooth val="0"/>
        </c:ser>
        <c:ser>
          <c:idx val="2"/>
          <c:order val="2"/>
          <c:tx>
            <c:v>RGM</c:v>
          </c:tx>
          <c:spPr>
            <a:solidFill xmlns:a="http://schemas.openxmlformats.org/drawingml/2006/main">
              <a:srgbClr val="24856D"/>
            </a:solidFill>
            <a:ln xmlns:a="http://schemas.openxmlformats.org/drawingml/2006/main" w="19050">
              <a:solidFill>
                <a:srgbClr val="24856D"/>
              </a:solidFill>
              <a:prstDash val="solid"/>
            </a:ln>
          </c:spPr>
          <c:marker>
            <c:symbol val="none"/>
          </c:marker>
          <c:cat>
            <c:strRef>
              <c:f>'Сравнение'!$J$74:$J$406</c:f>
              <c:strCache>
                <c:ptCount val="0"/>
              </c:strCache>
            </c:strRef>
          </c:cat>
          <c:val>
            <c:numRef>
              <c:f>'Сравнение'!$M$74:$M$406</c:f>
              <c:numCache>
                <c:formatCode>#,##0.00;(#,##0.00);0.00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Номер платежа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ickLblSkip val="50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RUB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12</xdr:col>
      <xdr:colOff>0</xdr:colOff>
      <xdr:row>4</xdr:row>
      <xdr:rowOff>0</xdr:rowOff>
    </xdr:from>
    <xdr:to>
      <xdr:col>23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22083681a464319"/>
        </a:graphicData>
      </a:graphic>
    </xdr:graphicFrame>
    <xdr:clientData/>
  </xdr:twoCellAnchor>
  <xdr:twoCellAnchor>
    <xdr:from>
      <xdr:col>12</xdr:col>
      <xdr:colOff>0</xdr:colOff>
      <xdr:row>26</xdr:row>
      <xdr:rowOff>0</xdr:rowOff>
    </xdr:from>
    <xdr:to>
      <xdr:col>23</xdr:col>
      <xdr:colOff>0</xdr:colOff>
      <xdr:row>46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744213d3e3c4eac"/>
        </a:graphicData>
      </a:graphic>
    </xdr:graphicFrame>
    <xdr:clientData/>
  </xdr:twoCellAnchor>
  <xdr:twoCellAnchor>
    <xdr:from>
      <xdr:col>12</xdr:col>
      <xdr:colOff>0</xdr:colOff>
      <xdr:row>48</xdr:row>
      <xdr:rowOff>0</xdr:rowOff>
    </xdr:from>
    <xdr:to>
      <xdr:col>23</xdr:col>
      <xdr:colOff>0</xdr:colOff>
      <xdr:row>68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d3168708c5d44f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6a23bfe4574402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12" hidden="0" customWidth="1"/>
    <x:col min="3" max="3" width="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22" hidden="0" customWidth="1"/>
    <x:col min="9" max="9" width="19" hidden="0" customWidth="1"/>
    <x:col min="10" max="10" width="19" hidden="0" customWidth="1"/>
    <x:col min="11" max="11" width="19" hidden="0" customWidth="1"/>
    <x:col min="12" max="12" width="3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</x:cols>
  <x:sheetData>
    <x:row r="1" ht="21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</x:row>
    <x:row r="2" ht="28" customHeight="1">
      <x:c r="A2" s="2"/>
      <x:c r="B2" s="4" t="str">
        <x:v>Сравнение денежных потоков</x:v>
      </x:c>
      <x:c r="C2" s="5"/>
      <x:c r="D2" s="5"/>
      <x:c r="E2" s="5"/>
      <x:c r="F2" s="5"/>
      <x:c r="G2" s="5"/>
      <x:c r="H2" s="5"/>
      <x:c r="I2" s="5"/>
      <x:c r="J2" s="5"/>
      <x:c r="K2" s="5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</x:row>
    <x:row r="3" ht="21" customHeight="1">
      <x:c r="A3" s="2"/>
      <x:c r="B3" s="2" t="str">
        <x:v>Сделка example-loan-001; суммы в RUB; оценка 2022-08-31.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</x:row>
    <x:row r="4" ht="21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</x:row>
    <x:row r="5" ht="36" customHeight="1">
      <x:c r="A5" s="2"/>
      <x:c r="B5" s="13" t="str">
        <x:v>Тип</x:v>
      </x:c>
      <x:c r="C5" s="25" t="str">
        <x:v>Платежей</x:v>
      </x:c>
      <x:c r="D5" s="25" t="str">
        <x:v>Всего выплат</x:v>
      </x:c>
      <x:c r="E5" s="25" t="str">
        <x:v>Проценты</x:v>
      </x:c>
      <x:c r="F5" s="25" t="str">
        <x:v>Тело</x:v>
      </x:c>
      <x:c r="G5" s="25" t="str">
        <x:v>PV потоков</x:v>
      </x:c>
      <x:c r="H5" s="25" t="str">
        <x:v>PV минус долг</x:v>
      </x:c>
      <x:c r="I5" s="25" t="str">
        <x:v>Первый платёж</x:v>
      </x:c>
      <x:c r="J5" s="25" t="str">
        <x:v>Последний платёж</x:v>
      </x:c>
      <x:c r="K5" s="14" t="str">
        <x:v>Конечный остаток</x:v>
      </x:c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</x:row>
    <x:row r="6" ht="27" customHeight="1">
      <x:c r="A6" s="2"/>
      <x:c r="B6" s="40" t="str">
        <x:v>ANN</x:v>
      </x:c>
      <x:c r="C6" s="44" t="n">
        <x:f>COUNT(ANN!A7:A340)</x:f>
        <x:v>334</x:v>
      </x:c>
      <x:c r="D6" s="45" t="n">
        <x:f>SUM(ANN!G7:G340)</x:f>
        <x:v>8685071.060000036</x:v>
      </x:c>
      <x:c r="E6" s="45" t="n">
        <x:f>SUM(ANN!E7:E340)</x:f>
        <x:v>5039033.170000002</x:v>
      </x:c>
      <x:c r="F6" s="45" t="n">
        <x:f>SUM(ANN!F7:F340)</x:f>
        <x:v>3646037.889999996</x:v>
      </x:c>
      <x:c r="G6" s="45" t="n">
        <x:f>SUM(ANN!O7:O340)</x:f>
        <x:v>3646037.920239053</x:v>
      </x:c>
      <x:c r="H6" s="46" t="n">
        <x:f>G6-'Параметры'!C6</x:f>
        <x:v>0.030239053070545197</x:v>
      </x:c>
      <x:c r="I6" s="45" t="n">
        <x:f>ANN!G7</x:f>
        <x:v>26003.2</x:v>
      </x:c>
      <x:c r="J6" s="45" t="n">
        <x:f>ANN!G340</x:f>
        <x:v>26005.46</x:v>
      </x:c>
      <x:c r="K6" s="45" t="n">
        <x:f>ANN!H340</x:f>
        <x:v>0</x:v>
      </x:c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</x:row>
    <x:row r="7" ht="27" customHeight="1">
      <x:c r="A7" s="2"/>
      <x:c r="B7" s="2" t="str">
        <x:v>SIMPLE</x:v>
      </x:c>
      <x:c r="C7" s="47" t="n">
        <x:f>COUNT(SIMPLE!A7:A340)</x:f>
        <x:v>334</x:v>
      </x:c>
      <x:c r="D7" s="30" t="n">
        <x:f>SUM(SIMPLE!G7:G340)</x:f>
        <x:v>11250274.429999977</x:v>
      </x:c>
      <x:c r="E7" s="30" t="n">
        <x:f>SUM(SIMPLE!E7:E340)</x:f>
        <x:v>7604236.539999978</x:v>
      </x:c>
      <x:c r="F7" s="30" t="n">
        <x:f>SUM(SIMPLE!F7:F340)</x:f>
        <x:v>3646037.89</x:v>
      </x:c>
      <x:c r="G7" s="30" t="n">
        <x:f>SUM(SIMPLE!O7:O340)</x:f>
        <x:v>3646037.8847729503</x:v>
      </x:c>
      <x:c r="H7" s="48" t="n">
        <x:f>G7-'Параметры'!C6</x:f>
        <x:v>-0.005227049812674522</x:v>
      </x:c>
      <x:c r="I7" s="30" t="n">
        <x:f>SIMPLE!G7</x:f>
        <x:v>16482.09</x:v>
      </x:c>
      <x:c r="J7" s="30" t="n">
        <x:f>SIMPLE!G340</x:f>
        <x:v>3664018.35</x:v>
      </x:c>
      <x:c r="K7" s="30" t="n">
        <x:f>SIMPLE!H340</x:f>
        <x:v>0</x:v>
      </x:c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</x:row>
    <x:row r="8" ht="27" customHeight="1">
      <x:c r="A8" s="2"/>
      <x:c r="B8" s="40" t="str">
        <x:v>RGM</x:v>
      </x:c>
      <x:c r="C8" s="44" t="n">
        <x:f>COUNT(RGM!A7:A340)</x:f>
        <x:v>334</x:v>
      </x:c>
      <x:c r="D8" s="45" t="n">
        <x:f>SUM(RGM!G7:G340)</x:f>
        <x:v>7459022.0100000035</x:v>
      </x:c>
      <x:c r="E8" s="45" t="n">
        <x:f>SUM(RGM!E7:E340)</x:f>
        <x:v>3812984.119999997</x:v>
      </x:c>
      <x:c r="F8" s="45" t="n">
        <x:f>SUM(RGM!F7:F340)</x:f>
        <x:v>3646037.889999976</x:v>
      </x:c>
      <x:c r="G8" s="45" t="n">
        <x:f>SUM(RGM!O7:O340)</x:f>
        <x:v>3646037.8953166083</x:v>
      </x:c>
      <x:c r="H8" s="46" t="n">
        <x:f>G8-'Параметры'!C6</x:f>
        <x:v>0.005316608119755983</x:v>
      </x:c>
      <x:c r="I8" s="45" t="n">
        <x:f>RGM!G7</x:f>
        <x:v>27398.37</x:v>
      </x:c>
      <x:c r="J8" s="45" t="n">
        <x:f>RGM!G340</x:f>
        <x:v>10970.49</x:v>
      </x:c>
      <x:c r="K8" s="45" t="n">
        <x:f>RGM!H340</x:f>
        <x:v>0</x:v>
      </x:c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</x:row>
    <x:row r="9" ht="21" customHeight="1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</x:row>
    <x:row r="10" ht="21" customHeight="1">
      <x:c r="A10" s="2"/>
      <x:c r="B10" s="2" t="str">
        <x:v>Долг на дату оценки, RUB</x:v>
      </x:c>
      <x:c r="C10" s="2"/>
      <x:c r="D10" s="16" t="n">
        <x:f>'Параметры'!C6</x:f>
        <x:v>3646037.89</x:v>
      </x:c>
      <x:c r="E10" s="2"/>
      <x:c r="F10" s="2" t="str">
        <x:v>Кредитная ставка</x:v>
      </x:c>
      <x:c r="G10" s="2"/>
      <x:c r="H10" s="17" t="n">
        <x:f>'Параметры'!C7</x:f>
        <x:v>0.075</x:v>
      </x:c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</x:row>
    <x:row r="11" ht="21" customHeight="1">
      <x:c r="A11" s="2"/>
      <x:c r="B11" s="2"/>
      <x:c r="C11" s="2"/>
      <x:c r="D11" s="2"/>
      <x:c r="E11" s="2"/>
      <x:c r="F11" s="2" t="str">
        <x:v>Дисконтная ставка</x:v>
      </x:c>
      <x:c r="G11" s="2"/>
      <x:c r="H11" s="17" t="n">
        <x:f>'Параметры'!C8</x:f>
        <x:v>0.075</x:v>
      </x:c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</x:row>
    <x:row r="12" ht="21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</x:row>
    <x:row r="13" ht="21" customHeight="1">
      <x:c r="A13" s="2"/>
      <x:c r="B13" s="2" t="str">
        <x:v>PV относится к будущим потокам. PV минус долг — сравнение с остатком, а не полный NPV от выдачи.</x:v>
      </x:c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</x:row>
    <x:row r="14" ht="21" customHeight="1">
      <x:c r="A14" s="2"/>
      <x:c r="B14" s="2" t="str">
        <x:v>При одинаковых кредитной и дисконтной ставках PV близка к долгу; отклонения вызваны округлением.</x:v>
      </x:c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</x:row>
    <x:row r="15" ht="21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</x:row>
    <x:row r="16" ht="21" customHeight="1">
      <x:c r="A16" s="2"/>
      <x:c r="B16" s="2" t="str">
        <x:v>Изменяйте долг и ставки на листе «Параметры»; даты фиксированы для этой сделки.</x:v>
      </x:c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</x:row>
    <x:row r="17" ht="21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</x:row>
    <x:row r="18" ht="21" customHeight="1">
      <x:c r="A18" s="2"/>
      <x:c r="B18" s="49" t="str">
        <x:v>Проверки погашения</x:v>
      </x:c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</x:row>
    <x:row r="19" ht="40" customHeight="1">
      <x:c r="A19" s="2"/>
      <x:c r="B19" s="13" t="str">
        <x:v>Тип</x:v>
      </x:c>
      <x:c r="C19" s="25" t="str">
        <x:v>Разница тела с долгом</x:v>
      </x:c>
      <x:c r="D19" s="25" t="str">
        <x:v>Конечный остаток</x:v>
      </x:c>
      <x:c r="E19" s="14" t="str">
        <x:v>Разница платежа и частей</x:v>
      </x:c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</x:row>
    <x:row r="20" ht="21" customHeight="1">
      <x:c r="A20" s="2"/>
      <x:c r="B20" s="2" t="str">
        <x:v>ANN</x:v>
      </x:c>
      <x:c r="C20" s="50" t="n">
        <x:f>ROUND(SUM(ANN!F7:F340)-'Параметры'!C6,2)</x:f>
        <x:v>0</x:v>
      </x:c>
      <x:c r="D20" s="50" t="n">
        <x:f>ANN!H340</x:f>
        <x:v>0</x:v>
      </x:c>
      <x:c r="E20" s="50" t="n">
        <x:f>ROUND(SUM(ANN!G7:G340)-SUM(ANN!E7:E340)-SUM(ANN!F7:F340),2)</x:f>
        <x:v>0</x:v>
      </x:c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</x:row>
    <x:row r="21" ht="21" customHeight="1">
      <x:c r="A21" s="2"/>
      <x:c r="B21" s="2" t="str">
        <x:v>SIMPLE</x:v>
      </x:c>
      <x:c r="C21" s="50" t="n">
        <x:f>ROUND(SUM(SIMPLE!F7:F340)-'Параметры'!C6,2)</x:f>
        <x:v>0</x:v>
      </x:c>
      <x:c r="D21" s="50" t="n">
        <x:f>SIMPLE!H340</x:f>
        <x:v>0</x:v>
      </x:c>
      <x:c r="E21" s="50" t="n">
        <x:f>ROUND(SUM(SIMPLE!G7:G340)-SUM(SIMPLE!E7:E340)-SUM(SIMPLE!F7:F340),2)</x:f>
        <x:v>0</x:v>
      </x:c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</x:row>
    <x:row r="22" ht="21" customHeight="1">
      <x:c r="A22" s="2"/>
      <x:c r="B22" s="2" t="str">
        <x:v>RGM</x:v>
      </x:c>
      <x:c r="C22" s="50" t="n">
        <x:f>ROUND(SUM(RGM!F7:F340)-'Параметры'!C6,2)</x:f>
        <x:v>0</x:v>
      </x:c>
      <x:c r="D22" s="50" t="n">
        <x:f>RGM!H340</x:f>
        <x:v>0</x:v>
      </x:c>
      <x:c r="E22" s="50" t="n">
        <x:f>ROUND(SUM(RGM!G7:G340)-SUM(RGM!E7:E340)-SUM(RGM!F7:F340),2)</x:f>
        <x:v>0</x:v>
      </x:c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</x:row>
    <x:row r="23" ht="21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</x:row>
    <x:row r="24" ht="21" customHeight="1">
      <x:c r="A24" s="2"/>
      <x:c r="B24" s="2" t="str">
        <x:v>Проверки наблюдают расчёт; основные результаты от этих ячеек не зависят.</x:v>
      </x:c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</x:row>
    <x:row r="25" ht="21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</x:row>
    <x:row r="26" ht="21" customHeight="1">
      <x:c r="A26" s="2"/>
      <x:c r="B26" s="2" t="str">
        <x:v>SIMPLE: последний платёж содержит весь долг и поэтому значительно больше регулярных.</x:v>
      </x:c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</x:row>
    <x:row r="27" ht="21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</x:row>
    <x:row r="28" ht="21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</x:row>
    <x:row r="29" ht="21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</x:row>
    <x:row r="30" ht="21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</x:row>
    <x:row r="31" ht="21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</x:row>
    <x:row r="32" ht="21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</x:row>
    <x:row r="33" ht="21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</x:row>
    <x:row r="34" ht="21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</x:row>
    <x:row r="35" ht="21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</x:row>
    <x:row r="36" ht="21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</x:row>
    <x:row r="37" ht="21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</x:row>
    <x:row r="38" ht="21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</x:row>
    <x:row r="39" ht="21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</x:row>
    <x:row r="40" ht="21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</x:row>
    <x:row r="41" ht="21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</x:row>
    <x:row r="42" ht="21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</x:row>
    <x:row r="43" ht="21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</x:row>
    <x:row r="44" ht="21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</x:row>
    <x:row r="45" ht="21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</x:row>
    <x:row r="46" ht="21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</x:row>
    <x:row r="47" ht="21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</x:row>
    <x:row r="48" ht="21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</x:row>
    <x:row r="49" ht="21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</x:row>
    <x:row r="50" ht="21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</x:row>
    <x:row r="51" ht="21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</x:row>
    <x:row r="52" ht="21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</x:row>
    <x:row r="53" ht="21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</x:row>
    <x:row r="54" ht="21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</x:row>
    <x:row r="55" ht="21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</x:row>
    <x:row r="56" ht="21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</x:row>
    <x:row r="57" ht="21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</x:row>
    <x:row r="58" ht="21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</x:row>
    <x:row r="59" ht="21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</x:row>
    <x:row r="60" ht="21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</x:row>
    <x:row r="61" ht="21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</x:row>
    <x:row r="62" ht="21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</x:row>
    <x:row r="63" ht="21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</x:row>
    <x:row r="64" ht="21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</x:row>
    <x:row r="65" ht="21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</x:row>
    <x:row r="66" ht="21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</x:row>
    <x:row r="67" ht="21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</x:row>
    <x:row r="68" ht="21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</x:row>
    <x:row r="69" ht="21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</x:row>
    <x:row r="70" ht="21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</x:row>
    <x:row r="71">
      <x:c r="B71" t="str">
        <x:v>Ниже — ссылки на расчётные листы для редактируемых диаграмм.</x:v>
      </x:c>
    </x:row>
    <x:row r="73">
      <x:c r="B73" s="51" t="str">
        <x:v>№</x:v>
      </x:c>
      <x:c r="C73" s="51" t="str">
        <x:v>ANN</x:v>
      </x:c>
      <x:c r="D73" s="51" t="str">
        <x:v>SIMPLE</x:v>
      </x:c>
      <x:c r="E73" s="51" t="str">
        <x:v>RGM</x:v>
      </x:c>
      <x:c r="F73" s="51"/>
      <x:c r="G73" s="51"/>
      <x:c r="H73" s="51"/>
      <x:c r="I73" s="51"/>
      <x:c r="J73" s="51" t="str">
        <x:v>№</x:v>
      </x:c>
      <x:c r="K73" s="51" t="str">
        <x:v>ANN</x:v>
      </x:c>
      <x:c r="L73" s="51" t="str">
        <x:v>SIMPLE</x:v>
      </x:c>
      <x:c r="M73" s="51" t="str">
        <x:v>RGM</x:v>
      </x:c>
    </x:row>
    <x:row r="74">
      <x:c r="B74" s="51" t="n">
        <x:f>ANN!A6</x:f>
        <x:v>0</x:v>
      </x:c>
      <x:c r="C74" s="52" t="n">
        <x:f>ANN!H6</x:f>
        <x:v>3646037.89</x:v>
      </x:c>
      <x:c r="D74" s="52" t="n">
        <x:f>SIMPLE!H6</x:f>
        <x:v>3646037.89</x:v>
      </x:c>
      <x:c r="E74" s="52" t="n">
        <x:f>RGM!H6</x:f>
        <x:v>3646037.89</x:v>
      </x:c>
      <x:c r="F74" s="51"/>
      <x:c r="G74" s="51"/>
      <x:c r="H74" s="51"/>
      <x:c r="I74" s="51"/>
      <x:c r="J74" s="51" t="n">
        <x:f>ANN!A7</x:f>
        <x:v>1</x:v>
      </x:c>
      <x:c r="K74" s="52" t="n">
        <x:f>ANN!G7</x:f>
        <x:v>26003.2</x:v>
      </x:c>
      <x:c r="L74" s="52" t="n">
        <x:f>SIMPLE!G7</x:f>
        <x:v>16482.09</x:v>
      </x:c>
      <x:c r="M74" s="52" t="n">
        <x:f>RGM!G7</x:f>
        <x:v>27398.37</x:v>
      </x:c>
    </x:row>
    <x:row r="75">
      <x:c r="B75" s="51" t="n">
        <x:f>ANN!A7</x:f>
        <x:v>1</x:v>
      </x:c>
      <x:c r="C75" s="52" t="n">
        <x:f>ANN!H7</x:f>
        <x:v>3636516.78</x:v>
      </x:c>
      <x:c r="D75" s="52" t="n">
        <x:f>SIMPLE!H7</x:f>
        <x:v>3646037.89</x:v>
      </x:c>
      <x:c r="E75" s="52" t="n">
        <x:f>RGM!H7</x:f>
        <x:v>3635121.61</x:v>
      </x:c>
      <x:c r="F75" s="51"/>
      <x:c r="G75" s="51"/>
      <x:c r="H75" s="51"/>
      <x:c r="I75" s="51"/>
      <x:c r="J75" s="51" t="n">
        <x:f>ANN!A8</x:f>
        <x:v>2</x:v>
      </x:c>
      <x:c r="K75" s="52" t="n">
        <x:f>ANN!G8</x:f>
        <x:v>26003.2</x:v>
      </x:c>
      <x:c r="L75" s="52" t="n">
        <x:f>SIMPLE!G8</x:f>
        <x:v>22475.58</x:v>
      </x:c>
      <x:c r="M75" s="52" t="n">
        <x:f>RGM!G8</x:f>
        <x:v>33324.56</x:v>
      </x:c>
    </x:row>
    <x:row r="76">
      <x:c r="B76" s="51" t="n">
        <x:f>ANN!A8</x:f>
        <x:v>2</x:v>
      </x:c>
      <x:c r="C76" s="52" t="n">
        <x:f>ANN!H8</x:f>
        <x:v>3632930.46</x:v>
      </x:c>
      <x:c r="D76" s="52" t="n">
        <x:f>SIMPLE!H8</x:f>
        <x:v>3646037.89</x:v>
      </x:c>
      <x:c r="E76" s="52" t="n">
        <x:f>RGM!H8</x:f>
        <x:v>3624205.33</x:v>
      </x:c>
      <x:c r="F76" s="51"/>
      <x:c r="G76" s="51"/>
      <x:c r="H76" s="51"/>
      <x:c r="I76" s="51"/>
      <x:c r="J76" s="51" t="n">
        <x:f>ANN!A9</x:f>
        <x:v>3</x:v>
      </x:c>
      <x:c r="K76" s="52" t="n">
        <x:f>ANN!G9</x:f>
        <x:v>26003.2</x:v>
      </x:c>
      <x:c r="L76" s="52" t="n">
        <x:f>SIMPLE!G9</x:f>
        <x:v>23224.76</x:v>
      </x:c>
      <x:c r="M76" s="52" t="n">
        <x:f>RGM!G9</x:f>
        <x:v>34001.97</x:v>
      </x:c>
    </x:row>
    <x:row r="77">
      <x:c r="B77" s="51" t="n">
        <x:f>ANN!A9</x:f>
        <x:v>3</x:v>
      </x:c>
      <x:c r="C77" s="52" t="n">
        <x:f>ANN!H9</x:f>
        <x:v>3630068.53</x:v>
      </x:c>
      <x:c r="D77" s="52" t="n">
        <x:f>SIMPLE!H9</x:f>
        <x:v>3646037.89</x:v>
      </x:c>
      <x:c r="E77" s="52" t="n">
        <x:f>RGM!H9</x:f>
        <x:v>3613289.05</x:v>
      </x:c>
      <x:c r="F77" s="51"/>
      <x:c r="G77" s="51"/>
      <x:c r="H77" s="51"/>
      <x:c r="I77" s="51"/>
      <x:c r="J77" s="51" t="n">
        <x:f>ANN!A10</x:f>
        <x:v>4</x:v>
      </x:c>
      <x:c r="K77" s="52" t="n">
        <x:f>ANN!G10</x:f>
        <x:v>26003.2</x:v>
      </x:c>
      <x:c r="L77" s="52" t="n">
        <x:f>SIMPLE!G10</x:f>
        <x:v>22475.58</x:v>
      </x:c>
      <x:c r="M77" s="52" t="n">
        <x:f>RGM!G10</x:f>
        <x:v>33189.98</x:v>
      </x:c>
    </x:row>
    <x:row r="78">
      <x:c r="B78" s="51" t="n">
        <x:f>ANN!A10</x:f>
        <x:v>4</x:v>
      </x:c>
      <x:c r="C78" s="52" t="n">
        <x:f>ANN!H10</x:f>
        <x:v>3626442.46</x:v>
      </x:c>
      <x:c r="D78" s="52" t="n">
        <x:f>SIMPLE!H10</x:f>
        <x:v>3646037.89</x:v>
      </x:c>
      <x:c r="E78" s="52" t="n">
        <x:f>RGM!H10</x:f>
        <x:v>3602372.77</x:v>
      </x:c>
      <x:c r="F78" s="51"/>
      <x:c r="G78" s="51"/>
      <x:c r="H78" s="51"/>
      <x:c r="I78" s="51"/>
      <x:c r="J78" s="51" t="n">
        <x:f>ANN!A11</x:f>
        <x:v>5</x:v>
      </x:c>
      <x:c r="K78" s="52" t="n">
        <x:f>ANN!G11</x:f>
        <x:v>26003.2</x:v>
      </x:c>
      <x:c r="L78" s="52" t="n">
        <x:f>SIMPLE!G11</x:f>
        <x:v>23224.76</x:v>
      </x:c>
      <x:c r="M78" s="52" t="n">
        <x:f>RGM!G11</x:f>
        <x:v>33862.9</x:v>
      </x:c>
    </x:row>
    <x:row r="79">
      <x:c r="B79" s="51" t="n">
        <x:f>ANN!A11</x:f>
        <x:v>5</x:v>
      </x:c>
      <x:c r="C79" s="52" t="n">
        <x:f>ANN!H11</x:f>
        <x:v>3623539.2</x:v>
      </x:c>
      <x:c r="D79" s="52" t="n">
        <x:f>SIMPLE!H11</x:f>
        <x:v>3646037.89</x:v>
      </x:c>
      <x:c r="E79" s="52" t="n">
        <x:f>RGM!H11</x:f>
        <x:v>3591456.49</x:v>
      </x:c>
      <x:c r="F79" s="51"/>
      <x:c r="G79" s="51"/>
      <x:c r="H79" s="51"/>
      <x:c r="I79" s="51"/>
      <x:c r="J79" s="51" t="n">
        <x:f>ANN!A12</x:f>
        <x:v>6</x:v>
      </x:c>
      <x:c r="K79" s="52" t="n">
        <x:f>ANN!G12</x:f>
        <x:v>26003.2</x:v>
      </x:c>
      <x:c r="L79" s="52" t="n">
        <x:f>SIMPLE!G12</x:f>
        <x:v>23224.76</x:v>
      </x:c>
      <x:c r="M79" s="52" t="n">
        <x:f>RGM!G12</x:f>
        <x:v>33793.37</x:v>
      </x:c>
    </x:row>
    <x:row r="80">
      <x:c r="B80" s="51" t="n">
        <x:f>ANN!A12</x:f>
        <x:v>6</x:v>
      </x:c>
      <x:c r="C80" s="52" t="n">
        <x:f>ANN!H12</x:f>
        <x:v>3620617.45</x:v>
      </x:c>
      <x:c r="D80" s="52" t="n">
        <x:f>SIMPLE!H12</x:f>
        <x:v>3646037.89</x:v>
      </x:c>
      <x:c r="E80" s="52" t="n">
        <x:f>RGM!H12</x:f>
        <x:v>3580540.21</x:v>
      </x:c>
      <x:c r="F80" s="51"/>
      <x:c r="G80" s="51"/>
      <x:c r="H80" s="51"/>
      <x:c r="I80" s="51"/>
      <x:c r="J80" s="51" t="n">
        <x:f>ANN!A13</x:f>
        <x:v>7</x:v>
      </x:c>
      <x:c r="K80" s="52" t="n">
        <x:f>ANN!G13</x:f>
        <x:v>26003.2</x:v>
      </x:c>
      <x:c r="L80" s="52" t="n">
        <x:f>SIMPLE!G13</x:f>
        <x:v>20977.2</x:v>
      </x:c>
      <x:c r="M80" s="52" t="n">
        <x:f>RGM!G13</x:f>
        <x:v>31516.65</x:v>
      </x:c>
    </x:row>
    <x:row r="81">
      <x:c r="B81" s="51" t="n">
        <x:f>ANN!A13</x:f>
        <x:v>7</x:v>
      </x:c>
      <x:c r="C81" s="52" t="n">
        <x:f>ANN!H13</x:f>
        <x:v>3615445.2</x:v>
      </x:c>
      <x:c r="D81" s="52" t="n">
        <x:f>SIMPLE!H13</x:f>
        <x:v>3646037.89</x:v>
      </x:c>
      <x:c r="E81" s="52" t="n">
        <x:f>RGM!H13</x:f>
        <x:v>3569623.93</x:v>
      </x:c>
      <x:c r="F81" s="51"/>
      <x:c r="G81" s="51"/>
      <x:c r="H81" s="51"/>
      <x:c r="I81" s="51"/>
      <x:c r="J81" s="51" t="n">
        <x:f>ANN!A14</x:f>
        <x:v>8</x:v>
      </x:c>
      <x:c r="K81" s="52" t="n">
        <x:f>ANN!G14</x:f>
        <x:v>26003.2</x:v>
      </x:c>
      <x:c r="L81" s="52" t="n">
        <x:f>SIMPLE!G14</x:f>
        <x:v>23224.76</x:v>
      </x:c>
      <x:c r="M81" s="52" t="n">
        <x:f>RGM!G14</x:f>
        <x:v>33654.3</x:v>
      </x:c>
    </x:row>
    <x:row r="82">
      <x:c r="B82" s="51" t="n">
        <x:f>ANN!A14</x:f>
        <x:v>8</x:v>
      </x:c>
      <x:c r="C82" s="52" t="n">
        <x:f>ANN!H14</x:f>
        <x:v>3612471.89</x:v>
      </x:c>
      <x:c r="D82" s="52" t="n">
        <x:f>SIMPLE!H14</x:f>
        <x:v>3646037.89</x:v>
      </x:c>
      <x:c r="E82" s="52" t="n">
        <x:f>RGM!H14</x:f>
        <x:v>3558707.65</x:v>
      </x:c>
      <x:c r="F82" s="51"/>
      <x:c r="G82" s="51"/>
      <x:c r="H82" s="51"/>
      <x:c r="I82" s="51"/>
      <x:c r="J82" s="51" t="n">
        <x:f>ANN!A15</x:f>
        <x:v>9</x:v>
      </x:c>
      <x:c r="K82" s="52" t="n">
        <x:f>ANN!G15</x:f>
        <x:v>26003.2</x:v>
      </x:c>
      <x:c r="L82" s="52" t="n">
        <x:f>SIMPLE!G15</x:f>
        <x:v>22475.58</x:v>
      </x:c>
      <x:c r="M82" s="52" t="n">
        <x:f>RGM!G15</x:f>
        <x:v>32853.52</x:v>
      </x:c>
    </x:row>
    <x:row r="83">
      <x:c r="B83" s="51" t="n">
        <x:f>ANN!A15</x:f>
        <x:v>9</x:v>
      </x:c>
      <x:c r="C83" s="52" t="n">
        <x:f>ANN!H15</x:f>
        <x:v>3608737.35</x:v>
      </x:c>
      <x:c r="D83" s="52" t="n">
        <x:f>SIMPLE!H15</x:f>
        <x:v>3646037.89</x:v>
      </x:c>
      <x:c r="E83" s="52" t="n">
        <x:f>RGM!H15</x:f>
        <x:v>3547791.37</x:v>
      </x:c>
      <x:c r="F83" s="51"/>
      <x:c r="G83" s="51"/>
      <x:c r="H83" s="51"/>
      <x:c r="I83" s="51"/>
      <x:c r="J83" s="51" t="n">
        <x:f>ANN!A16</x:f>
        <x:v>10</x:v>
      </x:c>
      <x:c r="K83" s="52" t="n">
        <x:f>ANN!G16</x:f>
        <x:v>26003.2</x:v>
      </x:c>
      <x:c r="L83" s="52" t="n">
        <x:f>SIMPLE!G16</x:f>
        <x:v>23224.76</x:v>
      </x:c>
      <x:c r="M83" s="52" t="n">
        <x:f>RGM!G16</x:f>
        <x:v>33515.23</x:v>
      </x:c>
    </x:row>
    <x:row r="84">
      <x:c r="B84" s="51" t="n">
        <x:f>ANN!A16</x:f>
        <x:v>10</x:v>
      </x:c>
      <x:c r="C84" s="52" t="n">
        <x:f>ANN!H16</x:f>
        <x:v>3605721.31</x:v>
      </x:c>
      <x:c r="D84" s="52" t="n">
        <x:f>SIMPLE!H16</x:f>
        <x:v>3646037.89</x:v>
      </x:c>
      <x:c r="E84" s="52" t="n">
        <x:f>RGM!H16</x:f>
        <x:v>3536875.09</x:v>
      </x:c>
      <x:c r="F84" s="51"/>
      <x:c r="G84" s="51"/>
      <x:c r="H84" s="51"/>
      <x:c r="I84" s="51"/>
      <x:c r="J84" s="51" t="n">
        <x:f>ANN!A17</x:f>
        <x:v>11</x:v>
      </x:c>
      <x:c r="K84" s="52" t="n">
        <x:f>ANN!G17</x:f>
        <x:v>26003.2</x:v>
      </x:c>
      <x:c r="L84" s="52" t="n">
        <x:f>SIMPLE!G17</x:f>
        <x:v>22475.58</x:v>
      </x:c>
      <x:c r="M84" s="52" t="n">
        <x:f>RGM!G17</x:f>
        <x:v>32718.93</x:v>
      </x:c>
    </x:row>
    <x:row r="85">
      <x:c r="B85" s="51" t="n">
        <x:f>ANN!A17</x:f>
        <x:v>11</x:v>
      </x:c>
      <x:c r="C85" s="52" t="n">
        <x:f>ANN!H17</x:f>
        <x:v>3601945.16</x:v>
      </x:c>
      <x:c r="D85" s="52" t="n">
        <x:f>SIMPLE!H17</x:f>
        <x:v>3646037.89</x:v>
      </x:c>
      <x:c r="E85" s="52" t="n">
        <x:f>RGM!H17</x:f>
        <x:v>3525958.81</x:v>
      </x:c>
      <x:c r="F85" s="51"/>
      <x:c r="G85" s="51"/>
      <x:c r="H85" s="51"/>
      <x:c r="I85" s="51"/>
      <x:c r="J85" s="51" t="n">
        <x:f>ANN!A18</x:f>
        <x:v>12</x:v>
      </x:c>
      <x:c r="K85" s="52" t="n">
        <x:f>ANN!G18</x:f>
        <x:v>26003.2</x:v>
      </x:c>
      <x:c r="L85" s="52" t="n">
        <x:f>SIMPLE!G18</x:f>
        <x:v>23224.76</x:v>
      </x:c>
      <x:c r="M85" s="52" t="n">
        <x:f>RGM!G18</x:f>
        <x:v>33376.15</x:v>
      </x:c>
    </x:row>
    <x:row r="86">
      <x:c r="B86" s="51" t="n">
        <x:f>ANN!A18</x:f>
        <x:v>12</x:v>
      </x:c>
      <x:c r="C86" s="52" t="n">
        <x:f>ANN!H18</x:f>
        <x:v>3598885.86</x:v>
      </x:c>
      <x:c r="D86" s="52" t="n">
        <x:f>SIMPLE!H18</x:f>
        <x:v>3646037.89</x:v>
      </x:c>
      <x:c r="E86" s="52" t="n">
        <x:f>RGM!H18</x:f>
        <x:v>3515042.53</x:v>
      </x:c>
      <x:c r="F86" s="51"/>
      <x:c r="G86" s="51"/>
      <x:c r="H86" s="51"/>
      <x:c r="I86" s="51"/>
      <x:c r="J86" s="51" t="n">
        <x:f>ANN!A19</x:f>
        <x:v>13</x:v>
      </x:c>
      <x:c r="K86" s="52" t="n">
        <x:f>ANN!G19</x:f>
        <x:v>26003.2</x:v>
      </x:c>
      <x:c r="L86" s="52" t="n">
        <x:f>SIMPLE!G19</x:f>
        <x:v>23224.76</x:v>
      </x:c>
      <x:c r="M86" s="52" t="n">
        <x:f>RGM!G19</x:f>
        <x:v>33306.62</x:v>
      </x:c>
    </x:row>
    <x:row r="87">
      <x:c r="B87" s="51" t="n">
        <x:f>ANN!A19</x:f>
        <x:v>13</x:v>
      </x:c>
      <x:c r="C87" s="52" t="n">
        <x:f>ANN!H19</x:f>
        <x:v>3595807.07</x:v>
      </x:c>
      <x:c r="D87" s="52" t="n">
        <x:f>SIMPLE!H19</x:f>
        <x:v>3646037.89</x:v>
      </x:c>
      <x:c r="E87" s="52" t="n">
        <x:f>RGM!H19</x:f>
        <x:v>3504126.25</x:v>
      </x:c>
      <x:c r="F87" s="51"/>
      <x:c r="G87" s="51"/>
      <x:c r="H87" s="51"/>
      <x:c r="I87" s="51"/>
      <x:c r="J87" s="51" t="n">
        <x:f>ANN!A20</x:f>
        <x:v>14</x:v>
      </x:c>
      <x:c r="K87" s="52" t="n">
        <x:f>ANN!G20</x:f>
        <x:v>26003.2</x:v>
      </x:c>
      <x:c r="L87" s="52" t="n">
        <x:f>SIMPLE!G20</x:f>
        <x:v>22475.58</x:v>
      </x:c>
      <x:c r="M87" s="52" t="n">
        <x:f>RGM!G20</x:f>
        <x:v>32517.06</x:v>
      </x:c>
    </x:row>
    <x:row r="88">
      <x:c r="B88" s="51" t="n">
        <x:f>ANN!A20</x:f>
        <x:v>14</x:v>
      </x:c>
      <x:c r="C88" s="52" t="n">
        <x:f>ANN!H20</x:f>
        <x:v>3591969.8</x:v>
      </x:c>
      <x:c r="D88" s="52" t="n">
        <x:f>SIMPLE!H20</x:f>
        <x:v>3646037.89</x:v>
      </x:c>
      <x:c r="E88" s="52" t="n">
        <x:f>RGM!H20</x:f>
        <x:v>3493209.97</x:v>
      </x:c>
      <x:c r="F88" s="51"/>
      <x:c r="G88" s="51"/>
      <x:c r="H88" s="51"/>
      <x:c r="I88" s="51"/>
      <x:c r="J88" s="51" t="n">
        <x:f>ANN!A21</x:f>
        <x:v>15</x:v>
      </x:c>
      <x:c r="K88" s="52" t="n">
        <x:f>ANN!G21</x:f>
        <x:v>26003.2</x:v>
      </x:c>
      <x:c r="L88" s="52" t="n">
        <x:f>SIMPLE!G21</x:f>
        <x:v>23224.76</x:v>
      </x:c>
      <x:c r="M88" s="52" t="n">
        <x:f>RGM!G21</x:f>
        <x:v>33167.55</x:v>
      </x:c>
    </x:row>
    <x:row r="89">
      <x:c r="B89" s="51" t="n">
        <x:f>ANN!A21</x:f>
        <x:v>15</x:v>
      </x:c>
      <x:c r="C89" s="52" t="n">
        <x:f>ANN!H21</x:f>
        <x:v>3588846.96</x:v>
      </x:c>
      <x:c r="D89" s="52" t="n">
        <x:f>SIMPLE!H21</x:f>
        <x:v>3646037.89</x:v>
      </x:c>
      <x:c r="E89" s="52" t="n">
        <x:f>RGM!H21</x:f>
        <x:v>3482293.69</x:v>
      </x:c>
      <x:c r="F89" s="51"/>
      <x:c r="G89" s="51"/>
      <x:c r="H89" s="51"/>
      <x:c r="I89" s="51"/>
      <x:c r="J89" s="51" t="n">
        <x:f>ANN!A22</x:f>
        <x:v>16</x:v>
      </x:c>
      <x:c r="K89" s="52" t="n">
        <x:f>ANN!G22</x:f>
        <x:v>26003.2</x:v>
      </x:c>
      <x:c r="L89" s="52" t="n">
        <x:f>SIMPLE!G22</x:f>
        <x:v>22475.58</x:v>
      </x:c>
      <x:c r="M89" s="52" t="n">
        <x:f>RGM!G22</x:f>
        <x:v>32382.47</x:v>
      </x:c>
    </x:row>
    <x:row r="90">
      <x:c r="B90" s="51" t="n">
        <x:f>ANN!A22</x:f>
        <x:v>16</x:v>
      </x:c>
      <x:c r="C90" s="52" t="n">
        <x:f>ANN!H22</x:f>
        <x:v>3584966.79</x:v>
      </x:c>
      <x:c r="D90" s="52" t="n">
        <x:f>SIMPLE!H22</x:f>
        <x:v>3646037.89</x:v>
      </x:c>
      <x:c r="E90" s="52" t="n">
        <x:f>RGM!H22</x:f>
        <x:v>3471377.41</x:v>
      </x:c>
      <x:c r="F90" s="51"/>
      <x:c r="G90" s="51"/>
      <x:c r="H90" s="51"/>
      <x:c r="I90" s="51"/>
      <x:c r="J90" s="51" t="n">
        <x:f>ANN!A23</x:f>
        <x:v>17</x:v>
      </x:c>
      <x:c r="K90" s="52" t="n">
        <x:f>ANN!G23</x:f>
        <x:v>26003.2</x:v>
      </x:c>
      <x:c r="L90" s="52" t="n">
        <x:f>SIMPLE!G23</x:f>
        <x:v>23224.76</x:v>
      </x:c>
      <x:c r="M90" s="52" t="n">
        <x:f>RGM!G23</x:f>
        <x:v>33028.48</x:v>
      </x:c>
    </x:row>
    <x:row r="91">
      <x:c r="B91" s="51" t="n">
        <x:f>ANN!A23</x:f>
        <x:v>17</x:v>
      </x:c>
      <x:c r="C91" s="52" t="n">
        <x:f>ANN!H23</x:f>
        <x:v>3581799.34</x:v>
      </x:c>
      <x:c r="D91" s="52" t="n">
        <x:f>SIMPLE!H23</x:f>
        <x:v>3646037.89</x:v>
      </x:c>
      <x:c r="E91" s="52" t="n">
        <x:f>RGM!H23</x:f>
        <x:v>3460461.13</x:v>
      </x:c>
      <x:c r="F91" s="51"/>
      <x:c r="G91" s="51"/>
      <x:c r="H91" s="51"/>
      <x:c r="I91" s="51"/>
      <x:c r="J91" s="51" t="n">
        <x:f>ANN!A24</x:f>
        <x:v>18</x:v>
      </x:c>
      <x:c r="K91" s="52" t="n">
        <x:f>ANN!G24</x:f>
        <x:v>26003.2</x:v>
      </x:c>
      <x:c r="L91" s="52" t="n">
        <x:f>SIMPLE!G24</x:f>
        <x:v>23224.76</x:v>
      </x:c>
      <x:c r="M91" s="52" t="n">
        <x:f>RGM!G24</x:f>
        <x:v>32958.94</x:v>
      </x:c>
    </x:row>
    <x:row r="92">
      <x:c r="B92" s="51" t="n">
        <x:f>ANN!A24</x:f>
        <x:v>18</x:v>
      </x:c>
      <x:c r="C92" s="52" t="n">
        <x:f>ANN!H24</x:f>
        <x:v>3578611.71</x:v>
      </x:c>
      <x:c r="D92" s="52" t="n">
        <x:f>SIMPLE!H24</x:f>
        <x:v>3646037.89</x:v>
      </x:c>
      <x:c r="E92" s="52" t="n">
        <x:f>RGM!H24</x:f>
        <x:v>3449544.85</x:v>
      </x:c>
      <x:c r="F92" s="51"/>
      <x:c r="G92" s="51"/>
      <x:c r="H92" s="51"/>
      <x:c r="I92" s="51"/>
      <x:c r="J92" s="51" t="n">
        <x:f>ANN!A25</x:f>
        <x:v>19</x:v>
      </x:c>
      <x:c r="K92" s="52" t="n">
        <x:f>ANN!G25</x:f>
        <x:v>26003.2</x:v>
      </x:c>
      <x:c r="L92" s="52" t="n">
        <x:f>SIMPLE!G25</x:f>
        <x:v>21726.39</x:v>
      </x:c>
      <x:c r="M92" s="52" t="n">
        <x:f>RGM!G25</x:f>
        <x:v>31471.79</x:v>
      </x:c>
    </x:row>
    <x:row r="93">
      <x:c r="B93" s="51" t="n">
        <x:f>ANN!A25</x:f>
        <x:v>19</x:v>
      </x:c>
      <x:c r="C93" s="52" t="n">
        <x:f>ANN!H25</x:f>
        <x:v>3573933.11</x:v>
      </x:c>
      <x:c r="D93" s="52" t="n">
        <x:f>SIMPLE!H25</x:f>
        <x:v>3646037.89</x:v>
      </x:c>
      <x:c r="E93" s="52" t="n">
        <x:f>RGM!H25</x:f>
        <x:v>3438628.57</x:v>
      </x:c>
      <x:c r="F93" s="51"/>
      <x:c r="G93" s="51"/>
      <x:c r="H93" s="51"/>
      <x:c r="I93" s="51"/>
      <x:c r="J93" s="51" t="n">
        <x:f>ANN!A26</x:f>
        <x:v>20</x:v>
      </x:c>
      <x:c r="K93" s="52" t="n">
        <x:f>ANN!G26</x:f>
        <x:v>26003.2</x:v>
      </x:c>
      <x:c r="L93" s="52" t="n">
        <x:f>SIMPLE!G26</x:f>
        <x:v>23224.76</x:v>
      </x:c>
      <x:c r="M93" s="52" t="n">
        <x:f>RGM!G26</x:f>
        <x:v>32819.87</x:v>
      </x:c>
    </x:row>
    <x:row r="94">
      <x:c r="B94" s="51" t="n">
        <x:f>ANN!A26</x:f>
        <x:v>20</x:v>
      </x:c>
      <x:c r="C94" s="52" t="n">
        <x:f>ANN!H26</x:f>
        <x:v>3570695.37</x:v>
      </x:c>
      <x:c r="D94" s="52" t="n">
        <x:f>SIMPLE!H26</x:f>
        <x:v>3646037.89</x:v>
      </x:c>
      <x:c r="E94" s="52" t="n">
        <x:f>RGM!H26</x:f>
        <x:v>3427712.29</x:v>
      </x:c>
      <x:c r="F94" s="51"/>
      <x:c r="G94" s="51"/>
      <x:c r="H94" s="51"/>
      <x:c r="I94" s="51"/>
      <x:c r="J94" s="51" t="n">
        <x:f>ANN!A27</x:f>
        <x:v>21</x:v>
      </x:c>
      <x:c r="K94" s="52" t="n">
        <x:f>ANN!G27</x:f>
        <x:v>26003.2</x:v>
      </x:c>
      <x:c r="L94" s="52" t="n">
        <x:f>SIMPLE!G27</x:f>
        <x:v>22475.58</x:v>
      </x:c>
      <x:c r="M94" s="52" t="n">
        <x:f>RGM!G27</x:f>
        <x:v>32046.01</x:v>
      </x:c>
    </x:row>
    <x:row r="95">
      <x:c r="B95" s="51" t="n">
        <x:f>ANN!A27</x:f>
        <x:v>21</x:v>
      </x:c>
      <x:c r="C95" s="52" t="n">
        <x:f>ANN!H27</x:f>
        <x:v>3566703.31</x:v>
      </x:c>
      <x:c r="D95" s="52" t="n">
        <x:f>SIMPLE!H27</x:f>
        <x:v>3646037.89</x:v>
      </x:c>
      <x:c r="E95" s="52" t="n">
        <x:f>RGM!H27</x:f>
        <x:v>3416796.01</x:v>
      </x:c>
      <x:c r="F95" s="51"/>
      <x:c r="G95" s="51"/>
      <x:c r="H95" s="51"/>
      <x:c r="I95" s="51"/>
      <x:c r="J95" s="51" t="n">
        <x:f>ANN!A28</x:f>
        <x:v>22</x:v>
      </x:c>
      <x:c r="K95" s="52" t="n">
        <x:f>ANN!G28</x:f>
        <x:v>26003.2</x:v>
      </x:c>
      <x:c r="L95" s="52" t="n">
        <x:f>SIMPLE!G28</x:f>
        <x:v>23224.76</x:v>
      </x:c>
      <x:c r="M95" s="52" t="n">
        <x:f>RGM!G28</x:f>
        <x:v>32680.8</x:v>
      </x:c>
    </x:row>
    <x:row r="96">
      <x:c r="B96" s="51" t="n">
        <x:f>ANN!A28</x:f>
        <x:v>22</x:v>
      </x:c>
      <x:c r="C96" s="52" t="n">
        <x:f>ANN!H28</x:f>
        <x:v>3563419.52</x:v>
      </x:c>
      <x:c r="D96" s="52" t="n">
        <x:f>SIMPLE!H28</x:f>
        <x:v>3646037.89</x:v>
      </x:c>
      <x:c r="E96" s="52" t="n">
        <x:f>RGM!H28</x:f>
        <x:v>3405879.73</x:v>
      </x:c>
      <x:c r="F96" s="51"/>
      <x:c r="G96" s="51"/>
      <x:c r="H96" s="51"/>
      <x:c r="I96" s="51"/>
      <x:c r="J96" s="51" t="n">
        <x:f>ANN!A29</x:f>
        <x:v>23</x:v>
      </x:c>
      <x:c r="K96" s="52" t="n">
        <x:f>ANN!G29</x:f>
        <x:v>26003.2</x:v>
      </x:c>
      <x:c r="L96" s="52" t="n">
        <x:f>SIMPLE!G29</x:f>
        <x:v>22475.58</x:v>
      </x:c>
      <x:c r="M96" s="52" t="n">
        <x:f>RGM!G29</x:f>
        <x:v>31911.43</x:v>
      </x:c>
    </x:row>
    <x:row r="97">
      <x:c r="B97" s="51" t="n">
        <x:f>ANN!A29</x:f>
        <x:v>23</x:v>
      </x:c>
      <x:c r="C97" s="52" t="n">
        <x:f>ANN!H29</x:f>
        <x:v>3559382.6</x:v>
      </x:c>
      <x:c r="D97" s="52" t="n">
        <x:f>SIMPLE!H29</x:f>
        <x:v>3646037.89</x:v>
      </x:c>
      <x:c r="E97" s="52" t="n">
        <x:f>RGM!H29</x:f>
        <x:v>3394963.45</x:v>
      </x:c>
      <x:c r="F97" s="51"/>
      <x:c r="G97" s="51"/>
      <x:c r="H97" s="51"/>
      <x:c r="I97" s="51"/>
      <x:c r="J97" s="51" t="n">
        <x:f>ANN!A30</x:f>
        <x:v>24</x:v>
      </x:c>
      <x:c r="K97" s="52" t="n">
        <x:f>ANN!G30</x:f>
        <x:v>26003.2</x:v>
      </x:c>
      <x:c r="L97" s="52" t="n">
        <x:f>SIMPLE!G30</x:f>
        <x:v>23224.76</x:v>
      </x:c>
      <x:c r="M97" s="52" t="n">
        <x:f>RGM!G30</x:f>
        <x:v>32541.73</x:v>
      </x:c>
    </x:row>
    <x:row r="98">
      <x:c r="B98" s="51" t="n">
        <x:f>ANN!A30</x:f>
        <x:v>24</x:v>
      </x:c>
      <x:c r="C98" s="52" t="n">
        <x:f>ANN!H30</x:f>
        <x:v>3556052.18</x:v>
      </x:c>
      <x:c r="D98" s="52" t="n">
        <x:f>SIMPLE!H30</x:f>
        <x:v>3646037.89</x:v>
      </x:c>
      <x:c r="E98" s="52" t="n">
        <x:f>RGM!H30</x:f>
        <x:v>3384047.17</x:v>
      </x:c>
      <x:c r="F98" s="51"/>
      <x:c r="G98" s="51"/>
      <x:c r="H98" s="51"/>
      <x:c r="I98" s="51"/>
      <x:c r="J98" s="51" t="n">
        <x:f>ANN!A31</x:f>
        <x:v>25</x:v>
      </x:c>
      <x:c r="K98" s="52" t="n">
        <x:f>ANN!G31</x:f>
        <x:v>26003.2</x:v>
      </x:c>
      <x:c r="L98" s="52" t="n">
        <x:f>SIMPLE!G31</x:f>
        <x:v>23224.76</x:v>
      </x:c>
      <x:c r="M98" s="52" t="n">
        <x:f>RGM!G31</x:f>
        <x:v>32472.2</x:v>
      </x:c>
    </x:row>
    <x:row r="99">
      <x:c r="B99" s="51" t="n">
        <x:f>ANN!A31</x:f>
        <x:v>25</x:v>
      </x:c>
      <x:c r="C99" s="52" t="n">
        <x:f>ANN!H31</x:f>
        <x:v>3552700.55</x:v>
      </x:c>
      <x:c r="D99" s="52" t="n">
        <x:f>SIMPLE!H31</x:f>
        <x:v>3646037.89</x:v>
      </x:c>
      <x:c r="E99" s="52" t="n">
        <x:f>RGM!H31</x:f>
        <x:v>3373130.89</x:v>
      </x:c>
      <x:c r="F99" s="51"/>
      <x:c r="G99" s="51"/>
      <x:c r="H99" s="51"/>
      <x:c r="I99" s="51"/>
      <x:c r="J99" s="51" t="n">
        <x:f>ANN!A32</x:f>
        <x:v>26</x:v>
      </x:c>
      <x:c r="K99" s="52" t="n">
        <x:f>ANN!G32</x:f>
        <x:v>26003.2</x:v>
      </x:c>
      <x:c r="L99" s="52" t="n">
        <x:f>SIMPLE!G32</x:f>
        <x:v>22475.58</x:v>
      </x:c>
      <x:c r="M99" s="52" t="n">
        <x:f>RGM!G32</x:f>
        <x:v>31709.55</x:v>
      </x:c>
    </x:row>
    <x:row r="100">
      <x:c r="B100" s="51" t="n">
        <x:f>ANN!A32</x:f>
        <x:v>26</x:v>
      </x:c>
      <x:c r="C100" s="52" t="n">
        <x:f>ANN!H32</x:f>
        <x:v>3548597.56</x:v>
      </x:c>
      <x:c r="D100" s="52" t="n">
        <x:f>SIMPLE!H32</x:f>
        <x:v>3646037.89</x:v>
      </x:c>
      <x:c r="E100" s="52" t="n">
        <x:f>RGM!H32</x:f>
        <x:v>3362214.61</x:v>
      </x:c>
      <x:c r="F100" s="51"/>
      <x:c r="G100" s="51"/>
      <x:c r="H100" s="51"/>
      <x:c r="I100" s="51"/>
      <x:c r="J100" s="51" t="n">
        <x:f>ANN!A33</x:f>
        <x:v>27</x:v>
      </x:c>
      <x:c r="K100" s="52" t="n">
        <x:f>ANN!G33</x:f>
        <x:v>26003.2</x:v>
      </x:c>
      <x:c r="L100" s="52" t="n">
        <x:f>SIMPLE!G33</x:f>
        <x:v>23224.76</x:v>
      </x:c>
      <x:c r="M100" s="52" t="n">
        <x:f>RGM!G33</x:f>
        <x:v>32333.13</x:v>
      </x:c>
    </x:row>
    <x:row r="101">
      <x:c r="B101" s="51" t="n">
        <x:f>ANN!A33</x:f>
        <x:v>27</x:v>
      </x:c>
      <x:c r="C101" s="52" t="n">
        <x:f>ANN!H33</x:f>
        <x:v>3545198.44</x:v>
      </x:c>
      <x:c r="D101" s="52" t="n">
        <x:f>SIMPLE!H33</x:f>
        <x:v>3646037.89</x:v>
      </x:c>
      <x:c r="E101" s="52" t="n">
        <x:f>RGM!H33</x:f>
        <x:v>3351298.33</x:v>
      </x:c>
      <x:c r="F101" s="51"/>
      <x:c r="G101" s="51"/>
      <x:c r="H101" s="51"/>
      <x:c r="I101" s="51"/>
      <x:c r="J101" s="51" t="n">
        <x:f>ANN!A34</x:f>
        <x:v>28</x:v>
      </x:c>
      <x:c r="K101" s="52" t="n">
        <x:f>ANN!G34</x:f>
        <x:v>26003.2</x:v>
      </x:c>
      <x:c r="L101" s="52" t="n">
        <x:f>SIMPLE!G34</x:f>
        <x:v>22475.58</x:v>
      </x:c>
      <x:c r="M101" s="52" t="n">
        <x:f>RGM!G34</x:f>
        <x:v>31574.97</x:v>
      </x:c>
    </x:row>
    <x:row r="102">
      <x:c r="B102" s="51" t="n">
        <x:f>ANN!A34</x:f>
        <x:v>28</x:v>
      </x:c>
      <x:c r="C102" s="52" t="n">
        <x:f>ANN!H34</x:f>
        <x:v>3541049.2</x:v>
      </x:c>
      <x:c r="D102" s="52" t="n">
        <x:f>SIMPLE!H34</x:f>
        <x:v>3646037.89</x:v>
      </x:c>
      <x:c r="E102" s="52" t="n">
        <x:f>RGM!H34</x:f>
        <x:v>3340382.05</x:v>
      </x:c>
      <x:c r="F102" s="51"/>
      <x:c r="G102" s="51"/>
      <x:c r="H102" s="51"/>
      <x:c r="I102" s="51"/>
      <x:c r="J102" s="51" t="n">
        <x:f>ANN!A35</x:f>
        <x:v>29</x:v>
      </x:c>
      <x:c r="K102" s="52" t="n">
        <x:f>ANN!G35</x:f>
        <x:v>26003.2</x:v>
      </x:c>
      <x:c r="L102" s="52" t="n">
        <x:f>SIMPLE!G35</x:f>
        <x:v>23224.76</x:v>
      </x:c>
      <x:c r="M102" s="52" t="n">
        <x:f>RGM!G35</x:f>
        <x:v>32194.06</x:v>
      </x:c>
    </x:row>
    <x:row r="103">
      <x:c r="B103" s="51" t="n">
        <x:f>ANN!A35</x:f>
        <x:v>29</x:v>
      </x:c>
      <x:c r="C103" s="52" t="n">
        <x:f>ANN!H35</x:f>
        <x:v>3537602</x:v>
      </x:c>
      <x:c r="D103" s="52" t="n">
        <x:f>SIMPLE!H35</x:f>
        <x:v>3646037.89</x:v>
      </x:c>
      <x:c r="E103" s="52" t="n">
        <x:f>RGM!H35</x:f>
        <x:v>3329465.77</x:v>
      </x:c>
      <x:c r="F103" s="51"/>
      <x:c r="G103" s="51"/>
      <x:c r="H103" s="51"/>
      <x:c r="I103" s="51"/>
      <x:c r="J103" s="51" t="n">
        <x:f>ANN!A36</x:f>
        <x:v>30</x:v>
      </x:c>
      <x:c r="K103" s="52" t="n">
        <x:f>ANN!G36</x:f>
        <x:v>26003.2</x:v>
      </x:c>
      <x:c r="L103" s="52" t="n">
        <x:f>SIMPLE!G36</x:f>
        <x:v>23224.76</x:v>
      </x:c>
      <x:c r="M103" s="52" t="n">
        <x:f>RGM!G36</x:f>
        <x:v>32124.52</x:v>
      </x:c>
    </x:row>
    <x:row r="104">
      <x:c r="B104" s="51" t="n">
        <x:f>ANN!A36</x:f>
        <x:v>30</x:v>
      </x:c>
      <x:c r="C104" s="52" t="n">
        <x:f>ANN!H36</x:f>
        <x:v>3534132.84</x:v>
      </x:c>
      <x:c r="D104" s="52" t="n">
        <x:f>SIMPLE!H36</x:f>
        <x:v>3646037.89</x:v>
      </x:c>
      <x:c r="E104" s="52" t="n">
        <x:f>RGM!H36</x:f>
        <x:v>3318549.49</x:v>
      </x:c>
      <x:c r="F104" s="51"/>
      <x:c r="G104" s="51"/>
      <x:c r="H104" s="51"/>
      <x:c r="I104" s="51"/>
      <x:c r="J104" s="51" t="n">
        <x:f>ANN!A37</x:f>
        <x:v>31</x:v>
      </x:c>
      <x:c r="K104" s="52" t="n">
        <x:f>ANN!G37</x:f>
        <x:v>26003.2</x:v>
      </x:c>
      <x:c r="L104" s="52" t="n">
        <x:f>SIMPLE!G37</x:f>
        <x:v>20977.2</x:v>
      </x:c>
      <x:c r="M104" s="52" t="n">
        <x:f>RGM!G37</x:f>
        <x:v>30009.3</x:v>
      </x:c>
    </x:row>
    <x:row r="105">
      <x:c r="B105" s="51" t="n">
        <x:f>ANN!A37</x:f>
        <x:v>31</x:v>
      </x:c>
      <x:c r="C105" s="52" t="n">
        <x:f>ANN!H37</x:f>
        <x:v>3528463.01</x:v>
      </x:c>
      <x:c r="D105" s="52" t="n">
        <x:f>SIMPLE!H37</x:f>
        <x:v>3646037.89</x:v>
      </x:c>
      <x:c r="E105" s="52" t="n">
        <x:f>RGM!H37</x:f>
        <x:v>3307633.21</x:v>
      </x:c>
      <x:c r="F105" s="51"/>
      <x:c r="G105" s="51"/>
      <x:c r="H105" s="51"/>
      <x:c r="I105" s="51"/>
      <x:c r="J105" s="51" t="n">
        <x:f>ANN!A38</x:f>
        <x:v>32</x:v>
      </x:c>
      <x:c r="K105" s="52" t="n">
        <x:f>ANN!G38</x:f>
        <x:v>26003.2</x:v>
      </x:c>
      <x:c r="L105" s="52" t="n">
        <x:f>SIMPLE!G38</x:f>
        <x:v>23224.76</x:v>
      </x:c>
      <x:c r="M105" s="52" t="n">
        <x:f>RGM!G38</x:f>
        <x:v>31985.45</x:v>
      </x:c>
    </x:row>
    <x:row r="106">
      <x:c r="B106" s="51" t="n">
        <x:f>ANN!A38</x:f>
        <x:v>32</x:v>
      </x:c>
      <x:c r="C106" s="52" t="n">
        <x:f>ANN!H38</x:f>
        <x:v>3524935.64</x:v>
      </x:c>
      <x:c r="D106" s="52" t="n">
        <x:f>SIMPLE!H38</x:f>
        <x:v>3646037.89</x:v>
      </x:c>
      <x:c r="E106" s="52" t="n">
        <x:f>RGM!H38</x:f>
        <x:v>3296716.93</x:v>
      </x:c>
      <x:c r="F106" s="51"/>
      <x:c r="G106" s="51"/>
      <x:c r="H106" s="51"/>
      <x:c r="I106" s="51"/>
      <x:c r="J106" s="51" t="n">
        <x:f>ANN!A39</x:f>
        <x:v>33</x:v>
      </x:c>
      <x:c r="K106" s="52" t="n">
        <x:f>ANN!G39</x:f>
        <x:v>26003.2</x:v>
      </x:c>
      <x:c r="L106" s="52" t="n">
        <x:f>SIMPLE!G39</x:f>
        <x:v>22475.58</x:v>
      </x:c>
      <x:c r="M106" s="52" t="n">
        <x:f>RGM!G39</x:f>
        <x:v>31238.51</x:v>
      </x:c>
    </x:row>
    <x:row r="107">
      <x:c r="B107" s="51" t="n">
        <x:f>ANN!A39</x:f>
        <x:v>33</x:v>
      </x:c>
      <x:c r="C107" s="52" t="n">
        <x:f>ANN!H39</x:f>
        <x:v>3520661.5</x:v>
      </x:c>
      <x:c r="D107" s="52" t="n">
        <x:f>SIMPLE!H39</x:f>
        <x:v>3646037.89</x:v>
      </x:c>
      <x:c r="E107" s="52" t="n">
        <x:f>RGM!H39</x:f>
        <x:v>3285800.65</x:v>
      </x:c>
      <x:c r="F107" s="51"/>
      <x:c r="G107" s="51"/>
      <x:c r="H107" s="51"/>
      <x:c r="I107" s="51"/>
      <x:c r="J107" s="51" t="n">
        <x:f>ANN!A40</x:f>
        <x:v>34</x:v>
      </x:c>
      <x:c r="K107" s="52" t="n">
        <x:f>ANN!G40</x:f>
        <x:v>26003.2</x:v>
      </x:c>
      <x:c r="L107" s="52" t="n">
        <x:f>SIMPLE!G40</x:f>
        <x:v>23224.76</x:v>
      </x:c>
      <x:c r="M107" s="52" t="n">
        <x:f>RGM!G40</x:f>
        <x:v>31846.38</x:v>
      </x:c>
    </x:row>
    <x:row r="108">
      <x:c r="B108" s="51" t="n">
        <x:f>ANN!A40</x:f>
        <x:v>34</x:v>
      </x:c>
      <x:c r="C108" s="52" t="n">
        <x:f>ANN!H40</x:f>
        <x:v>3517084.43</x:v>
      </x:c>
      <x:c r="D108" s="52" t="n">
        <x:f>SIMPLE!H40</x:f>
        <x:v>3646037.89</x:v>
      </x:c>
      <x:c r="E108" s="52" t="n">
        <x:f>RGM!H40</x:f>
        <x:v>3274884.37</x:v>
      </x:c>
      <x:c r="F108" s="51"/>
      <x:c r="G108" s="51"/>
      <x:c r="H108" s="51"/>
      <x:c r="I108" s="51"/>
      <x:c r="J108" s="51" t="n">
        <x:f>ANN!A41</x:f>
        <x:v>35</x:v>
      </x:c>
      <x:c r="K108" s="52" t="n">
        <x:f>ANN!G41</x:f>
        <x:v>26003.2</x:v>
      </x:c>
      <x:c r="L108" s="52" t="n">
        <x:f>SIMPLE!G41</x:f>
        <x:v>22475.58</x:v>
      </x:c>
      <x:c r="M108" s="52" t="n">
        <x:f>RGM!G41</x:f>
        <x:v>31103.92</x:v>
      </x:c>
    </x:row>
    <x:row r="109">
      <x:c r="B109" s="51" t="n">
        <x:f>ANN!A41</x:f>
        <x:v>35</x:v>
      </x:c>
      <x:c r="C109" s="52" t="n">
        <x:f>ANN!H41</x:f>
        <x:v>3512761.89</x:v>
      </x:c>
      <x:c r="D109" s="52" t="n">
        <x:f>SIMPLE!H41</x:f>
        <x:v>3646037.89</x:v>
      </x:c>
      <x:c r="E109" s="52" t="n">
        <x:f>RGM!H41</x:f>
        <x:v>3263968.09</x:v>
      </x:c>
      <x:c r="F109" s="51"/>
      <x:c r="G109" s="51"/>
      <x:c r="H109" s="51"/>
      <x:c r="I109" s="51"/>
      <x:c r="J109" s="51" t="n">
        <x:f>ANN!A42</x:f>
        <x:v>36</x:v>
      </x:c>
      <x:c r="K109" s="52" t="n">
        <x:f>ANN!G42</x:f>
        <x:v>26003.2</x:v>
      </x:c>
      <x:c r="L109" s="52" t="n">
        <x:f>SIMPLE!G42</x:f>
        <x:v>23224.76</x:v>
      </x:c>
      <x:c r="M109" s="52" t="n">
        <x:f>RGM!G42</x:f>
        <x:v>31707.31</x:v>
      </x:c>
    </x:row>
    <x:row r="110">
      <x:c r="B110" s="51" t="n">
        <x:f>ANN!A42</x:f>
        <x:v>36</x:v>
      </x:c>
      <x:c r="C110" s="52" t="n">
        <x:f>ANN!H42</x:f>
        <x:v>3509134.5</x:v>
      </x:c>
      <x:c r="D110" s="52" t="n">
        <x:f>SIMPLE!H42</x:f>
        <x:v>3646037.89</x:v>
      </x:c>
      <x:c r="E110" s="52" t="n">
        <x:f>RGM!H42</x:f>
        <x:v>3253051.81</x:v>
      </x:c>
      <x:c r="F110" s="51"/>
      <x:c r="G110" s="51"/>
      <x:c r="H110" s="51"/>
      <x:c r="I110" s="51"/>
      <x:c r="J110" s="51" t="n">
        <x:f>ANN!A43</x:f>
        <x:v>37</x:v>
      </x:c>
      <x:c r="K110" s="52" t="n">
        <x:f>ANN!G43</x:f>
        <x:v>26003.2</x:v>
      </x:c>
      <x:c r="L110" s="52" t="n">
        <x:f>SIMPLE!G43</x:f>
        <x:v>23224.76</x:v>
      </x:c>
      <x:c r="M110" s="52" t="n">
        <x:f>RGM!G43</x:f>
        <x:v>31637.77</x:v>
      </x:c>
    </x:row>
    <x:row r="111">
      <x:c r="B111" s="51" t="n">
        <x:f>ANN!A43</x:f>
        <x:v>37</x:v>
      </x:c>
      <x:c r="C111" s="52" t="n">
        <x:f>ANN!H43</x:f>
        <x:v>3505484.01</x:v>
      </x:c>
      <x:c r="D111" s="52" t="n">
        <x:f>SIMPLE!H43</x:f>
        <x:v>3646037.89</x:v>
      </x:c>
      <x:c r="E111" s="52" t="n">
        <x:f>RGM!H43</x:f>
        <x:v>3242135.53</x:v>
      </x:c>
      <x:c r="F111" s="51"/>
      <x:c r="G111" s="51"/>
      <x:c r="H111" s="51"/>
      <x:c r="I111" s="51"/>
      <x:c r="J111" s="51" t="n">
        <x:f>ANN!A44</x:f>
        <x:v>38</x:v>
      </x:c>
      <x:c r="K111" s="52" t="n">
        <x:f>ANN!G44</x:f>
        <x:v>26003.2</x:v>
      </x:c>
      <x:c r="L111" s="52" t="n">
        <x:f>SIMPLE!G44</x:f>
        <x:v>22475.58</x:v>
      </x:c>
      <x:c r="M111" s="52" t="n">
        <x:f>RGM!G44</x:f>
        <x:v>30902.05</x:v>
      </x:c>
    </x:row>
    <x:row r="112">
      <x:c r="B112" s="51" t="n">
        <x:f>ANN!A44</x:f>
        <x:v>38</x:v>
      </x:c>
      <x:c r="C112" s="52" t="n">
        <x:f>ANN!H44</x:f>
        <x:v>3501089.96</x:v>
      </x:c>
      <x:c r="D112" s="52" t="n">
        <x:f>SIMPLE!H44</x:f>
        <x:v>3646037.89</x:v>
      </x:c>
      <x:c r="E112" s="52" t="n">
        <x:f>RGM!H44</x:f>
        <x:v>3231219.25</x:v>
      </x:c>
      <x:c r="F112" s="51"/>
      <x:c r="G112" s="51"/>
      <x:c r="H112" s="51"/>
      <x:c r="I112" s="51"/>
      <x:c r="J112" s="51" t="n">
        <x:f>ANN!A45</x:f>
        <x:v>39</x:v>
      </x:c>
      <x:c r="K112" s="52" t="n">
        <x:f>ANN!G45</x:f>
        <x:v>26003.2</x:v>
      </x:c>
      <x:c r="L112" s="52" t="n">
        <x:f>SIMPLE!G45</x:f>
        <x:v>23224.76</x:v>
      </x:c>
      <x:c r="M112" s="52" t="n">
        <x:f>RGM!G45</x:f>
        <x:v>31498.7</x:v>
      </x:c>
    </x:row>
    <x:row r="113">
      <x:c r="B113" s="51" t="n">
        <x:f>ANN!A45</x:f>
        <x:v>39</x:v>
      </x:c>
      <x:c r="C113" s="52" t="n">
        <x:f>ANN!H45</x:f>
        <x:v>3497388.22</x:v>
      </x:c>
      <x:c r="D113" s="52" t="n">
        <x:f>SIMPLE!H45</x:f>
        <x:v>3646037.89</x:v>
      </x:c>
      <x:c r="E113" s="52" t="n">
        <x:f>RGM!H45</x:f>
        <x:v>3220302.97</x:v>
      </x:c>
      <x:c r="F113" s="51"/>
      <x:c r="G113" s="51"/>
      <x:c r="H113" s="51"/>
      <x:c r="I113" s="51"/>
      <x:c r="J113" s="51" t="n">
        <x:f>ANN!A46</x:f>
        <x:v>40</x:v>
      </x:c>
      <x:c r="K113" s="52" t="n">
        <x:f>ANN!G46</x:f>
        <x:v>26003.2</x:v>
      </x:c>
      <x:c r="L113" s="52" t="n">
        <x:f>SIMPLE!G46</x:f>
        <x:v>22475.58</x:v>
      </x:c>
      <x:c r="M113" s="52" t="n">
        <x:f>RGM!G46</x:f>
        <x:v>30767.46</x:v>
      </x:c>
    </x:row>
    <x:row r="114">
      <x:c r="B114" s="51" t="n">
        <x:f>ANN!A46</x:f>
        <x:v>40</x:v>
      </x:c>
      <x:c r="C114" s="52" t="n">
        <x:f>ANN!H46</x:f>
        <x:v>3492944.26</x:v>
      </x:c>
      <x:c r="D114" s="52" t="n">
        <x:f>SIMPLE!H46</x:f>
        <x:v>3646037.89</x:v>
      </x:c>
      <x:c r="E114" s="52" t="n">
        <x:f>RGM!H46</x:f>
        <x:v>3209386.69</x:v>
      </x:c>
      <x:c r="F114" s="51"/>
      <x:c r="G114" s="51"/>
      <x:c r="H114" s="51"/>
      <x:c r="I114" s="51"/>
      <x:c r="J114" s="51" t="n">
        <x:f>ANN!A47</x:f>
        <x:v>41</x:v>
      </x:c>
      <x:c r="K114" s="52" t="n">
        <x:f>ANN!G47</x:f>
        <x:v>26003.2</x:v>
      </x:c>
      <x:c r="L114" s="52" t="n">
        <x:f>SIMPLE!G47</x:f>
        <x:v>23224.76</x:v>
      </x:c>
      <x:c r="M114" s="52" t="n">
        <x:f>RGM!G47</x:f>
        <x:v>31359.63</x:v>
      </x:c>
    </x:row>
    <x:row r="115">
      <x:c r="B115" s="51" t="n">
        <x:f>ANN!A47</x:f>
        <x:v>41</x:v>
      </x:c>
      <x:c r="C115" s="52" t="n">
        <x:f>ANN!H47</x:f>
        <x:v>3489190.64</x:v>
      </x:c>
      <x:c r="D115" s="52" t="n">
        <x:f>SIMPLE!H47</x:f>
        <x:v>3646037.89</x:v>
      </x:c>
      <x:c r="E115" s="52" t="n">
        <x:f>RGM!H47</x:f>
        <x:v>3198470.41</x:v>
      </x:c>
      <x:c r="F115" s="51"/>
      <x:c r="G115" s="51"/>
      <x:c r="H115" s="51"/>
      <x:c r="I115" s="51"/>
      <x:c r="J115" s="51" t="n">
        <x:f>ANN!A48</x:f>
        <x:v>42</x:v>
      </x:c>
      <x:c r="K115" s="52" t="n">
        <x:f>ANN!G48</x:f>
        <x:v>26003.2</x:v>
      </x:c>
      <x:c r="L115" s="52" t="n">
        <x:f>SIMPLE!G48</x:f>
        <x:v>23224.76</x:v>
      </x:c>
      <x:c r="M115" s="52" t="n">
        <x:f>RGM!G48</x:f>
        <x:v>31290.1</x:v>
      </x:c>
    </x:row>
    <x:row r="116">
      <x:c r="B116" s="51" t="n">
        <x:f>ANN!A48</x:f>
        <x:v>42</x:v>
      </x:c>
      <x:c r="C116" s="52" t="n">
        <x:f>ANN!H48</x:f>
        <x:v>3485413.11</x:v>
      </x:c>
      <x:c r="D116" s="52" t="n">
        <x:f>SIMPLE!H48</x:f>
        <x:v>3646037.89</x:v>
      </x:c>
      <x:c r="E116" s="52" t="n">
        <x:f>RGM!H48</x:f>
        <x:v>3187554.13</x:v>
      </x:c>
      <x:c r="F116" s="51"/>
      <x:c r="G116" s="51"/>
      <x:c r="H116" s="51"/>
      <x:c r="I116" s="51"/>
      <x:c r="J116" s="51" t="n">
        <x:f>ANN!A49</x:f>
        <x:v>43</x:v>
      </x:c>
      <x:c r="K116" s="52" t="n">
        <x:f>ANN!G49</x:f>
        <x:v>26003.2</x:v>
      </x:c>
      <x:c r="L116" s="52" t="n">
        <x:f>SIMPLE!G49</x:f>
        <x:v>20977.2</x:v>
      </x:c>
      <x:c r="M116" s="52" t="n">
        <x:f>RGM!G49</x:f>
        <x:v>29255.63</x:v>
      </x:c>
    </x:row>
    <x:row r="117">
      <x:c r="B117" s="51" t="n">
        <x:f>ANN!A49</x:f>
        <x:v>43</x:v>
      </x:c>
      <x:c r="C117" s="52" t="n">
        <x:f>ANN!H49</x:f>
        <x:v>3479462.97</x:v>
      </x:c>
      <x:c r="D117" s="52" t="n">
        <x:f>SIMPLE!H49</x:f>
        <x:v>3646037.89</x:v>
      </x:c>
      <x:c r="E117" s="52" t="n">
        <x:f>RGM!H49</x:f>
        <x:v>3176637.85</x:v>
      </x:c>
      <x:c r="F117" s="51"/>
      <x:c r="G117" s="51"/>
      <x:c r="H117" s="51"/>
      <x:c r="I117" s="51"/>
      <x:c r="J117" s="51" t="n">
        <x:f>ANN!A50</x:f>
        <x:v>44</x:v>
      </x:c>
      <x:c r="K117" s="52" t="n">
        <x:f>ANN!G50</x:f>
        <x:v>26003.2</x:v>
      </x:c>
      <x:c r="L117" s="52" t="n">
        <x:f>SIMPLE!G50</x:f>
        <x:v>23224.76</x:v>
      </x:c>
      <x:c r="M117" s="52" t="n">
        <x:f>RGM!G50</x:f>
        <x:v>31151.03</x:v>
      </x:c>
    </x:row>
    <x:row r="118">
      <x:c r="B118" s="51" t="n">
        <x:f>ANN!A50</x:f>
        <x:v>44</x:v>
      </x:c>
      <x:c r="C118" s="52" t="n">
        <x:f>ANN!H50</x:f>
        <x:v>3475623.47</x:v>
      </x:c>
      <x:c r="D118" s="52" t="n">
        <x:f>SIMPLE!H50</x:f>
        <x:v>3646037.89</x:v>
      </x:c>
      <x:c r="E118" s="52" t="n">
        <x:f>RGM!H50</x:f>
        <x:v>3165721.57</x:v>
      </x:c>
      <x:c r="F118" s="51"/>
      <x:c r="G118" s="51"/>
      <x:c r="H118" s="51"/>
      <x:c r="I118" s="51"/>
      <x:c r="J118" s="51" t="n">
        <x:f>ANN!A51</x:f>
        <x:v>45</x:v>
      </x:c>
      <x:c r="K118" s="52" t="n">
        <x:f>ANN!G51</x:f>
        <x:v>26003.2</x:v>
      </x:c>
      <x:c r="L118" s="52" t="n">
        <x:f>SIMPLE!G51</x:f>
        <x:v>22475.58</x:v>
      </x:c>
      <x:c r="M118" s="52" t="n">
        <x:f>RGM!G51</x:f>
        <x:v>30431</x:v>
      </x:c>
    </x:row>
    <x:row r="119">
      <x:c r="B119" s="51" t="n">
        <x:f>ANN!A51</x:f>
        <x:v>45</x:v>
      </x:c>
      <x:c r="C119" s="52" t="n">
        <x:f>ANN!H51</x:f>
        <x:v>3471045.35</x:v>
      </x:c>
      <x:c r="D119" s="52" t="n">
        <x:f>SIMPLE!H51</x:f>
        <x:v>3646037.89</x:v>
      </x:c>
      <x:c r="E119" s="52" t="n">
        <x:f>RGM!H51</x:f>
        <x:v>3154805.29</x:v>
      </x:c>
      <x:c r="F119" s="51"/>
      <x:c r="G119" s="51"/>
      <x:c r="H119" s="51"/>
      <x:c r="I119" s="51"/>
      <x:c r="J119" s="51" t="n">
        <x:f>ANN!A52</x:f>
        <x:v>46</x:v>
      </x:c>
      <x:c r="K119" s="52" t="n">
        <x:f>ANN!G52</x:f>
        <x:v>26003.2</x:v>
      </x:c>
      <x:c r="L119" s="52" t="n">
        <x:f>SIMPLE!G52</x:f>
        <x:v>23224.76</x:v>
      </x:c>
      <x:c r="M119" s="52" t="n">
        <x:f>RGM!G52</x:f>
        <x:v>31011.96</x:v>
      </x:c>
    </x:row>
    <x:row r="120">
      <x:c r="B120" s="51" t="n">
        <x:f>ANN!A52</x:f>
        <x:v>46</x:v>
      </x:c>
      <x:c r="C120" s="52" t="n">
        <x:f>ANN!H52</x:f>
        <x:v>3467152.23</x:v>
      </x:c>
      <x:c r="D120" s="52" t="n">
        <x:f>SIMPLE!H52</x:f>
        <x:v>3646037.89</x:v>
      </x:c>
      <x:c r="E120" s="52" t="n">
        <x:f>RGM!H52</x:f>
        <x:v>3143889.01</x:v>
      </x:c>
      <x:c r="F120" s="51"/>
      <x:c r="G120" s="51"/>
      <x:c r="H120" s="51"/>
      <x:c r="I120" s="51"/>
      <x:c r="J120" s="51" t="n">
        <x:f>ANN!A53</x:f>
        <x:v>47</x:v>
      </x:c>
      <x:c r="K120" s="52" t="n">
        <x:f>ANN!G53</x:f>
        <x:v>26003.2</x:v>
      </x:c>
      <x:c r="L120" s="52" t="n">
        <x:f>SIMPLE!G53</x:f>
        <x:v>22475.58</x:v>
      </x:c>
      <x:c r="M120" s="52" t="n">
        <x:f>RGM!G53</x:f>
        <x:v>30296.42</x:v>
      </x:c>
    </x:row>
    <x:row r="121">
      <x:c r="B121" s="51" t="n">
        <x:f>ANN!A53</x:f>
        <x:v>47</x:v>
      </x:c>
      <x:c r="C121" s="52" t="n">
        <x:f>ANN!H53</x:f>
        <x:v>3462521.89</x:v>
      </x:c>
      <x:c r="D121" s="52" t="n">
        <x:f>SIMPLE!H53</x:f>
        <x:v>3646037.89</x:v>
      </x:c>
      <x:c r="E121" s="52" t="n">
        <x:f>RGM!H53</x:f>
        <x:v>3132972.73</x:v>
      </x:c>
      <x:c r="F121" s="51"/>
      <x:c r="G121" s="51"/>
      <x:c r="H121" s="51"/>
      <x:c r="I121" s="51"/>
      <x:c r="J121" s="51" t="n">
        <x:f>ANN!A54</x:f>
        <x:v>48</x:v>
      </x:c>
      <x:c r="K121" s="52" t="n">
        <x:f>ANN!G54</x:f>
        <x:v>26003.2</x:v>
      </x:c>
      <x:c r="L121" s="52" t="n">
        <x:f>SIMPLE!G54</x:f>
        <x:v>23224.76</x:v>
      </x:c>
      <x:c r="M121" s="52" t="n">
        <x:f>RGM!G54</x:f>
        <x:v>30872.89</x:v>
      </x:c>
    </x:row>
    <x:row r="122">
      <x:c r="B122" s="51" t="n">
        <x:f>ANN!A54</x:f>
        <x:v>48</x:v>
      </x:c>
      <x:c r="C122" s="52" t="n">
        <x:f>ANN!H54</x:f>
        <x:v>3458574.48</x:v>
      </x:c>
      <x:c r="D122" s="52" t="n">
        <x:f>SIMPLE!H54</x:f>
        <x:v>3646037.89</x:v>
      </x:c>
      <x:c r="E122" s="52" t="n">
        <x:f>RGM!H54</x:f>
        <x:v>3122056.45</x:v>
      </x:c>
      <x:c r="F122" s="51"/>
      <x:c r="G122" s="51"/>
      <x:c r="H122" s="51"/>
      <x:c r="I122" s="51"/>
      <x:c r="J122" s="51" t="n">
        <x:f>ANN!A55</x:f>
        <x:v>49</x:v>
      </x:c>
      <x:c r="K122" s="52" t="n">
        <x:f>ANN!G55</x:f>
        <x:v>26003.2</x:v>
      </x:c>
      <x:c r="L122" s="52" t="n">
        <x:f>SIMPLE!G55</x:f>
        <x:v>23224.76</x:v>
      </x:c>
      <x:c r="M122" s="52" t="n">
        <x:f>RGM!G55</x:f>
        <x:v>30803.35</x:v>
      </x:c>
    </x:row>
    <x:row r="123">
      <x:c r="B123" s="51" t="n">
        <x:f>ANN!A55</x:f>
        <x:v>49</x:v>
      </x:c>
      <x:c r="C123" s="52" t="n">
        <x:f>ANN!H55</x:f>
        <x:v>3454601.93</x:v>
      </x:c>
      <x:c r="D123" s="52" t="n">
        <x:f>SIMPLE!H55</x:f>
        <x:v>3646037.89</x:v>
      </x:c>
      <x:c r="E123" s="52" t="n">
        <x:f>RGM!H55</x:f>
        <x:v>3111140.17</x:v>
      </x:c>
      <x:c r="F123" s="51"/>
      <x:c r="G123" s="51"/>
      <x:c r="H123" s="51"/>
      <x:c r="I123" s="51"/>
      <x:c r="J123" s="51" t="n">
        <x:f>ANN!A56</x:f>
        <x:v>50</x:v>
      </x:c>
      <x:c r="K123" s="52" t="n">
        <x:f>ANN!G56</x:f>
        <x:v>26003.2</x:v>
      </x:c>
      <x:c r="L123" s="52" t="n">
        <x:f>SIMPLE!G56</x:f>
        <x:v>22475.58</x:v>
      </x:c>
      <x:c r="M123" s="52" t="n">
        <x:f>RGM!G56</x:f>
        <x:v>30094.54</x:v>
      </x:c>
    </x:row>
    <x:row r="124">
      <x:c r="B124" s="51" t="n">
        <x:f>ANN!A56</x:f>
        <x:v>50</x:v>
      </x:c>
      <x:c r="C124" s="52" t="n">
        <x:f>ANN!H56</x:f>
        <x:v>3449894.22</x:v>
      </x:c>
      <x:c r="D124" s="52" t="n">
        <x:f>SIMPLE!H56</x:f>
        <x:v>3646037.89</x:v>
      </x:c>
      <x:c r="E124" s="52" t="n">
        <x:f>RGM!H56</x:f>
        <x:v>3100223.89</x:v>
      </x:c>
      <x:c r="F124" s="51"/>
      <x:c r="G124" s="51"/>
      <x:c r="H124" s="51"/>
      <x:c r="I124" s="51"/>
      <x:c r="J124" s="51" t="n">
        <x:f>ANN!A57</x:f>
        <x:v>51</x:v>
      </x:c>
      <x:c r="K124" s="52" t="n">
        <x:f>ANN!G57</x:f>
        <x:v>26003.2</x:v>
      </x:c>
      <x:c r="L124" s="52" t="n">
        <x:f>SIMPLE!G57</x:f>
        <x:v>23224.76</x:v>
      </x:c>
      <x:c r="M124" s="52" t="n">
        <x:f>RGM!G57</x:f>
        <x:v>30664.28</x:v>
      </x:c>
    </x:row>
    <x:row r="125">
      <x:c r="B125" s="51" t="n">
        <x:f>ANN!A57</x:f>
        <x:v>51</x:v>
      </x:c>
      <x:c r="C125" s="52" t="n">
        <x:f>ANN!H57</x:f>
        <x:v>3445866.37</x:v>
      </x:c>
      <x:c r="D125" s="52" t="n">
        <x:f>SIMPLE!H57</x:f>
        <x:v>3646037.89</x:v>
      </x:c>
      <x:c r="E125" s="52" t="n">
        <x:f>RGM!H57</x:f>
        <x:v>3089307.61</x:v>
      </x:c>
      <x:c r="F125" s="51"/>
      <x:c r="G125" s="51"/>
      <x:c r="H125" s="51"/>
      <x:c r="I125" s="51"/>
      <x:c r="J125" s="51" t="n">
        <x:f>ANN!A58</x:f>
        <x:v>52</x:v>
      </x:c>
      <x:c r="K125" s="52" t="n">
        <x:f>ANN!G58</x:f>
        <x:v>26003.2</x:v>
      </x:c>
      <x:c r="L125" s="52" t="n">
        <x:f>SIMPLE!G58</x:f>
        <x:v>22475.58</x:v>
      </x:c>
      <x:c r="M125" s="52" t="n">
        <x:f>RGM!G58</x:f>
        <x:v>29959.96</x:v>
      </x:c>
    </x:row>
    <x:row r="126">
      <x:c r="B126" s="51" t="n">
        <x:f>ANN!A58</x:f>
        <x:v>52</x:v>
      </x:c>
      <x:c r="C126" s="52" t="n">
        <x:f>ANN!H58</x:f>
        <x:v>3441104.81</x:v>
      </x:c>
      <x:c r="D126" s="52" t="n">
        <x:f>SIMPLE!H58</x:f>
        <x:v>3646037.89</x:v>
      </x:c>
      <x:c r="E126" s="52" t="n">
        <x:f>RGM!H58</x:f>
        <x:v>3078391.33</x:v>
      </x:c>
      <x:c r="F126" s="51"/>
      <x:c r="G126" s="51"/>
      <x:c r="H126" s="51"/>
      <x:c r="I126" s="51"/>
      <x:c r="J126" s="51" t="n">
        <x:f>ANN!A59</x:f>
        <x:v>53</x:v>
      </x:c>
      <x:c r="K126" s="52" t="n">
        <x:f>ANN!G59</x:f>
        <x:v>26003.2</x:v>
      </x:c>
      <x:c r="L126" s="52" t="n">
        <x:f>SIMPLE!G59</x:f>
        <x:v>23224.76</x:v>
      </x:c>
      <x:c r="M126" s="52" t="n">
        <x:f>RGM!G59</x:f>
        <x:v>30525.21</x:v>
      </x:c>
    </x:row>
    <x:row r="127">
      <x:c r="B127" s="51" t="n">
        <x:f>ANN!A59</x:f>
        <x:v>53</x:v>
      </x:c>
      <x:c r="C127" s="52" t="n">
        <x:f>ANN!H59</x:f>
        <x:v>3437020.98</x:v>
      </x:c>
      <x:c r="D127" s="52" t="n">
        <x:f>SIMPLE!H59</x:f>
        <x:v>3646037.89</x:v>
      </x:c>
      <x:c r="E127" s="52" t="n">
        <x:f>RGM!H59</x:f>
        <x:v>3067475.05</x:v>
      </x:c>
      <x:c r="F127" s="51"/>
      <x:c r="G127" s="51"/>
      <x:c r="H127" s="51"/>
      <x:c r="I127" s="51"/>
      <x:c r="J127" s="51" t="n">
        <x:f>ANN!A60</x:f>
        <x:v>54</x:v>
      </x:c>
      <x:c r="K127" s="52" t="n">
        <x:f>ANN!G60</x:f>
        <x:v>26003.2</x:v>
      </x:c>
      <x:c r="L127" s="52" t="n">
        <x:f>SIMPLE!G60</x:f>
        <x:v>23224.76</x:v>
      </x:c>
      <x:c r="M127" s="52" t="n">
        <x:f>RGM!G60</x:f>
        <x:v>30455.68</x:v>
      </x:c>
    </x:row>
    <x:row r="128">
      <x:c r="B128" s="51" t="n">
        <x:f>ANN!A60</x:f>
        <x:v>54</x:v>
      </x:c>
      <x:c r="C128" s="52" t="n">
        <x:f>ANN!H60</x:f>
        <x:v>3432911.13</x:v>
      </x:c>
      <x:c r="D128" s="52" t="n">
        <x:f>SIMPLE!H60</x:f>
        <x:v>3646037.89</x:v>
      </x:c>
      <x:c r="E128" s="52" t="n">
        <x:f>RGM!H60</x:f>
        <x:v>3056558.77</x:v>
      </x:c>
      <x:c r="F128" s="51"/>
      <x:c r="G128" s="51"/>
      <x:c r="H128" s="51"/>
      <x:c r="I128" s="51"/>
      <x:c r="J128" s="51" t="n">
        <x:f>ANN!A61</x:f>
        <x:v>55</x:v>
      </x:c>
      <x:c r="K128" s="52" t="n">
        <x:f>ANN!G61</x:f>
        <x:v>26003.2</x:v>
      </x:c>
      <x:c r="L128" s="52" t="n">
        <x:f>SIMPLE!G61</x:f>
        <x:v>20977.2</x:v>
      </x:c>
      <x:c r="M128" s="52" t="n">
        <x:f>RGM!G61</x:f>
        <x:v>28501.96</x:v>
      </x:c>
    </x:row>
    <x:row r="129">
      <x:c r="B129" s="51" t="n">
        <x:f>ANN!A61</x:f>
        <x:v>55</x:v>
      </x:c>
      <x:c r="C129" s="52" t="n">
        <x:f>ANN!H61</x:f>
        <x:v>3426658.93</x:v>
      </x:c>
      <x:c r="D129" s="52" t="n">
        <x:f>SIMPLE!H61</x:f>
        <x:v>3646037.89</x:v>
      </x:c>
      <x:c r="E129" s="52" t="n">
        <x:f>RGM!H61</x:f>
        <x:v>3045642.49</x:v>
      </x:c>
      <x:c r="F129" s="51"/>
      <x:c r="G129" s="51"/>
      <x:c r="H129" s="51"/>
      <x:c r="I129" s="51"/>
      <x:c r="J129" s="51" t="n">
        <x:f>ANN!A62</x:f>
        <x:v>56</x:v>
      </x:c>
      <x:c r="K129" s="52" t="n">
        <x:f>ANN!G62</x:f>
        <x:v>26003.2</x:v>
      </x:c>
      <x:c r="L129" s="52" t="n">
        <x:f>SIMPLE!G62</x:f>
        <x:v>23224.76</x:v>
      </x:c>
      <x:c r="M129" s="52" t="n">
        <x:f>RGM!G62</x:f>
        <x:v>30316.61</x:v>
      </x:c>
    </x:row>
    <x:row r="130">
      <x:c r="B130" s="51" t="n">
        <x:f>ANN!A62</x:f>
        <x:v>56</x:v>
      </x:c>
      <x:c r="C130" s="52" t="n">
        <x:f>ANN!H62</x:f>
        <x:v>3422483.08</x:v>
      </x:c>
      <x:c r="D130" s="52" t="n">
        <x:f>SIMPLE!H62</x:f>
        <x:v>3646037.89</x:v>
      </x:c>
      <x:c r="E130" s="52" t="n">
        <x:f>RGM!H62</x:f>
        <x:v>3034726.21</x:v>
      </x:c>
      <x:c r="F130" s="51"/>
      <x:c r="G130" s="51"/>
      <x:c r="H130" s="51"/>
      <x:c r="I130" s="51"/>
      <x:c r="J130" s="51" t="n">
        <x:f>ANN!A63</x:f>
        <x:v>57</x:v>
      </x:c>
      <x:c r="K130" s="52" t="n">
        <x:f>ANN!G63</x:f>
        <x:v>26003.2</x:v>
      </x:c>
      <x:c r="L130" s="52" t="n">
        <x:f>SIMPLE!G63</x:f>
        <x:v>22475.58</x:v>
      </x:c>
      <x:c r="M130" s="52" t="n">
        <x:f>RGM!G63</x:f>
        <x:v>29623.5</x:v>
      </x:c>
    </x:row>
    <x:row r="131">
      <x:c r="B131" s="51" t="n">
        <x:f>ANN!A63</x:f>
        <x:v>57</x:v>
      </x:c>
      <x:c r="C131" s="52" t="n">
        <x:f>ANN!H63</x:f>
        <x:v>3417577.38</x:v>
      </x:c>
      <x:c r="D131" s="52" t="n">
        <x:f>SIMPLE!H63</x:f>
        <x:v>3646037.89</x:v>
      </x:c>
      <x:c r="E131" s="52" t="n">
        <x:f>RGM!H63</x:f>
        <x:v>3023809.93</x:v>
      </x:c>
      <x:c r="F131" s="51"/>
      <x:c r="G131" s="51"/>
      <x:c r="H131" s="51"/>
      <x:c r="I131" s="51"/>
      <x:c r="J131" s="51" t="n">
        <x:f>ANN!A64</x:f>
        <x:v>58</x:v>
      </x:c>
      <x:c r="K131" s="52" t="n">
        <x:f>ANN!G64</x:f>
        <x:v>26003.2</x:v>
      </x:c>
      <x:c r="L131" s="52" t="n">
        <x:f>SIMPLE!G64</x:f>
        <x:v>23224.76</x:v>
      </x:c>
      <x:c r="M131" s="52" t="n">
        <x:f>RGM!G64</x:f>
        <x:v>30177.54</x:v>
      </x:c>
    </x:row>
    <x:row r="132">
      <x:c r="B132" s="51" t="n">
        <x:f>ANN!A64</x:f>
        <x:v>58</x:v>
      </x:c>
      <x:c r="C132" s="52" t="n">
        <x:f>ANN!H64</x:f>
        <x:v>3413343.68</x:v>
      </x:c>
      <x:c r="D132" s="52" t="n">
        <x:f>SIMPLE!H64</x:f>
        <x:v>3646037.89</x:v>
      </x:c>
      <x:c r="E132" s="52" t="n">
        <x:f>RGM!H64</x:f>
        <x:v>3012893.65</x:v>
      </x:c>
      <x:c r="F132" s="51"/>
      <x:c r="G132" s="51"/>
      <x:c r="H132" s="51"/>
      <x:c r="I132" s="51"/>
      <x:c r="J132" s="51" t="n">
        <x:f>ANN!A65</x:f>
        <x:v>59</x:v>
      </x:c>
      <x:c r="K132" s="52" t="n">
        <x:f>ANN!G65</x:f>
        <x:v>26003.2</x:v>
      </x:c>
      <x:c r="L132" s="52" t="n">
        <x:f>SIMPLE!G65</x:f>
        <x:v>22475.58</x:v>
      </x:c>
      <x:c r="M132" s="52" t="n">
        <x:f>RGM!G65</x:f>
        <x:v>29488.91</x:v>
      </x:c>
    </x:row>
    <x:row r="133">
      <x:c r="B133" s="51" t="n">
        <x:f>ANN!A65</x:f>
        <x:v>59</x:v>
      </x:c>
      <x:c r="C133" s="52" t="n">
        <x:f>ANN!H65</x:f>
        <x:v>3408381.64</x:v>
      </x:c>
      <x:c r="D133" s="52" t="n">
        <x:f>SIMPLE!H65</x:f>
        <x:v>3646037.89</x:v>
      </x:c>
      <x:c r="E133" s="52" t="n">
        <x:f>RGM!H65</x:f>
        <x:v>3001977.37</x:v>
      </x:c>
      <x:c r="F133" s="51"/>
      <x:c r="G133" s="51"/>
      <x:c r="H133" s="51"/>
      <x:c r="I133" s="51"/>
      <x:c r="J133" s="51" t="n">
        <x:f>ANN!A66</x:f>
        <x:v>60</x:v>
      </x:c>
      <x:c r="K133" s="52" t="n">
        <x:f>ANN!G66</x:f>
        <x:v>26003.2</x:v>
      </x:c>
      <x:c r="L133" s="52" t="n">
        <x:f>SIMPLE!G66</x:f>
        <x:v>23224.76</x:v>
      </x:c>
      <x:c r="M133" s="52" t="n">
        <x:f>RGM!G66</x:f>
        <x:v>30038.46</x:v>
      </x:c>
    </x:row>
    <x:row r="134">
      <x:c r="B134" s="51" t="n">
        <x:f>ANN!A66</x:f>
        <x:v>60</x:v>
      </x:c>
      <x:c r="C134" s="52" t="n">
        <x:f>ANN!H66</x:f>
        <x:v>3404089.36</x:v>
      </x:c>
      <x:c r="D134" s="52" t="n">
        <x:f>SIMPLE!H66</x:f>
        <x:v>3646037.89</x:v>
      </x:c>
      <x:c r="E134" s="52" t="n">
        <x:f>RGM!H66</x:f>
        <x:v>2991061.09</x:v>
      </x:c>
      <x:c r="F134" s="51"/>
      <x:c r="G134" s="51"/>
      <x:c r="H134" s="51"/>
      <x:c r="I134" s="51"/>
      <x:c r="J134" s="51" t="n">
        <x:f>ANN!A67</x:f>
        <x:v>61</x:v>
      </x:c>
      <x:c r="K134" s="52" t="n">
        <x:f>ANN!G67</x:f>
        <x:v>26003.2</x:v>
      </x:c>
      <x:c r="L134" s="52" t="n">
        <x:f>SIMPLE!G67</x:f>
        <x:v>23224.76</x:v>
      </x:c>
      <x:c r="M134" s="52" t="n">
        <x:f>RGM!G67</x:f>
        <x:v>29968.93</x:v>
      </x:c>
    </x:row>
    <x:row r="135">
      <x:c r="B135" s="51" t="n">
        <x:f>ANN!A67</x:f>
        <x:v>61</x:v>
      </x:c>
      <x:c r="C135" s="52" t="n">
        <x:f>ANN!H67</x:f>
        <x:v>3399769.74</x:v>
      </x:c>
      <x:c r="D135" s="52" t="n">
        <x:f>SIMPLE!H67</x:f>
        <x:v>3646037.89</x:v>
      </x:c>
      <x:c r="E135" s="52" t="n">
        <x:f>RGM!H67</x:f>
        <x:v>2980144.81</x:v>
      </x:c>
      <x:c r="F135" s="51"/>
      <x:c r="G135" s="51"/>
      <x:c r="H135" s="51"/>
      <x:c r="I135" s="51"/>
      <x:c r="J135" s="51" t="n">
        <x:f>ANN!A68</x:f>
        <x:v>62</x:v>
      </x:c>
      <x:c r="K135" s="52" t="n">
        <x:f>ANN!G68</x:f>
        <x:v>26003.2</x:v>
      </x:c>
      <x:c r="L135" s="52" t="n">
        <x:f>SIMPLE!G68</x:f>
        <x:v>22475.58</x:v>
      </x:c>
      <x:c r="M135" s="52" t="n">
        <x:f>RGM!G68</x:f>
        <x:v>29287.04</x:v>
      </x:c>
    </x:row>
    <x:row r="136">
      <x:c r="B136" s="51" t="n">
        <x:f>ANN!A68</x:f>
        <x:v>62</x:v>
      </x:c>
      <x:c r="C136" s="52" t="n">
        <x:f>ANN!H68</x:f>
        <x:v>3394724.02</x:v>
      </x:c>
      <x:c r="D136" s="52" t="n">
        <x:f>SIMPLE!H68</x:f>
        <x:v>3646037.89</x:v>
      </x:c>
      <x:c r="E136" s="52" t="n">
        <x:f>RGM!H68</x:f>
        <x:v>2969228.53</x:v>
      </x:c>
      <x:c r="F136" s="51"/>
      <x:c r="G136" s="51"/>
      <x:c r="H136" s="51"/>
      <x:c r="I136" s="51"/>
      <x:c r="J136" s="51" t="n">
        <x:f>ANN!A69</x:f>
        <x:v>63</x:v>
      </x:c>
      <x:c r="K136" s="52" t="n">
        <x:f>ANN!G69</x:f>
        <x:v>26003.2</x:v>
      </x:c>
      <x:c r="L136" s="52" t="n">
        <x:f>SIMPLE!G69</x:f>
        <x:v>23224.76</x:v>
      </x:c>
      <x:c r="M136" s="52" t="n">
        <x:f>RGM!G69</x:f>
        <x:v>29829.86</x:v>
      </x:c>
    </x:row>
    <x:row r="137">
      <x:c r="B137" s="51" t="n">
        <x:f>ANN!A69</x:f>
        <x:v>63</x:v>
      </x:c>
      <x:c r="C137" s="52" t="n">
        <x:f>ANN!H69</x:f>
        <x:v>3390344.75</x:v>
      </x:c>
      <x:c r="D137" s="52" t="n">
        <x:f>SIMPLE!H69</x:f>
        <x:v>3646037.89</x:v>
      </x:c>
      <x:c r="E137" s="52" t="n">
        <x:f>RGM!H69</x:f>
        <x:v>2958312.25</x:v>
      </x:c>
      <x:c r="F137" s="51"/>
      <x:c r="G137" s="51"/>
      <x:c r="H137" s="51"/>
      <x:c r="I137" s="51"/>
      <x:c r="J137" s="51" t="n">
        <x:f>ANN!A70</x:f>
        <x:v>64</x:v>
      </x:c>
      <x:c r="K137" s="52" t="n">
        <x:f>ANN!G70</x:f>
        <x:v>26003.2</x:v>
      </x:c>
      <x:c r="L137" s="52" t="n">
        <x:f>SIMPLE!G70</x:f>
        <x:v>22475.58</x:v>
      </x:c>
      <x:c r="M137" s="52" t="n">
        <x:f>RGM!G70</x:f>
        <x:v>29152.45</x:v>
      </x:c>
    </x:row>
    <x:row r="138">
      <x:c r="B138" s="51" t="n">
        <x:f>ANN!A70</x:f>
        <x:v>64</x:v>
      </x:c>
      <x:c r="C138" s="52" t="n">
        <x:f>ANN!H70</x:f>
        <x:v>3385240.94</x:v>
      </x:c>
      <x:c r="D138" s="52" t="n">
        <x:f>SIMPLE!H70</x:f>
        <x:v>3646037.89</x:v>
      </x:c>
      <x:c r="E138" s="52" t="n">
        <x:f>RGM!H70</x:f>
        <x:v>2947395.97</x:v>
      </x:c>
      <x:c r="F138" s="51"/>
      <x:c r="G138" s="51"/>
      <x:c r="H138" s="51"/>
      <x:c r="I138" s="51"/>
      <x:c r="J138" s="51" t="n">
        <x:f>ANN!A71</x:f>
        <x:v>65</x:v>
      </x:c>
      <x:c r="K138" s="52" t="n">
        <x:f>ANN!G71</x:f>
        <x:v>26003.2</x:v>
      </x:c>
      <x:c r="L138" s="52" t="n">
        <x:f>SIMPLE!G71</x:f>
        <x:v>23224.76</x:v>
      </x:c>
      <x:c r="M138" s="52" t="n">
        <x:f>RGM!G71</x:f>
        <x:v>29690.79</x:v>
      </x:c>
    </x:row>
    <x:row r="139">
      <x:c r="B139" s="51" t="n">
        <x:f>ANN!A71</x:f>
        <x:v>65</x:v>
      </x:c>
      <x:c r="C139" s="52" t="n">
        <x:f>ANN!H71</x:f>
        <x:v>3380801.26</x:v>
      </x:c>
      <x:c r="D139" s="52" t="n">
        <x:f>SIMPLE!H71</x:f>
        <x:v>3646037.89</x:v>
      </x:c>
      <x:c r="E139" s="52" t="n">
        <x:f>RGM!H71</x:f>
        <x:v>2936479.69</x:v>
      </x:c>
      <x:c r="F139" s="51"/>
      <x:c r="G139" s="51"/>
      <x:c r="H139" s="51"/>
      <x:c r="I139" s="51"/>
      <x:c r="J139" s="51" t="n">
        <x:f>ANN!A72</x:f>
        <x:v>66</x:v>
      </x:c>
      <x:c r="K139" s="52" t="n">
        <x:f>ANN!G72</x:f>
        <x:v>26003.2</x:v>
      </x:c>
      <x:c r="L139" s="52" t="n">
        <x:f>SIMPLE!G72</x:f>
        <x:v>23224.76</x:v>
      </x:c>
      <x:c r="M139" s="52" t="n">
        <x:f>RGM!G72</x:f>
        <x:v>29621.25</x:v>
      </x:c>
    </x:row>
    <x:row r="140">
      <x:c r="B140" s="51" t="n">
        <x:f>ANN!A72</x:f>
        <x:v>66</x:v>
      </x:c>
      <x:c r="C140" s="52" t="n">
        <x:f>ANN!H72</x:f>
        <x:v>3376333.3</x:v>
      </x:c>
      <x:c r="D140" s="52" t="n">
        <x:f>SIMPLE!H72</x:f>
        <x:v>3646037.89</x:v>
      </x:c>
      <x:c r="E140" s="52" t="n">
        <x:f>RGM!H72</x:f>
        <x:v>2925563.41</x:v>
      </x:c>
      <x:c r="F140" s="51"/>
      <x:c r="G140" s="51"/>
      <x:c r="H140" s="51"/>
      <x:c r="I140" s="51"/>
      <x:c r="J140" s="51" t="n">
        <x:f>ANN!A73</x:f>
        <x:v>67</x:v>
      </x:c>
      <x:c r="K140" s="52" t="n">
        <x:f>ANN!G73</x:f>
        <x:v>26003.2</x:v>
      </x:c>
      <x:c r="L140" s="52" t="n">
        <x:f>SIMPLE!G73</x:f>
        <x:v>21726.39</x:v>
      </x:c>
      <x:c r="M140" s="52" t="n">
        <x:f>RGM!G73</x:f>
        <x:v>28349.43</x:v>
      </x:c>
    </x:row>
    <x:row r="141">
      <x:c r="B141" s="51" t="n">
        <x:f>ANN!A73</x:f>
        <x:v>67</x:v>
      </x:c>
      <x:c r="C141" s="52" t="n">
        <x:f>ANN!H73</x:f>
        <x:v>3370449.35</x:v>
      </x:c>
      <x:c r="D141" s="52" t="n">
        <x:f>SIMPLE!H73</x:f>
        <x:v>3646037.89</x:v>
      </x:c>
      <x:c r="E141" s="52" t="n">
        <x:f>RGM!H73</x:f>
        <x:v>2914647.13</x:v>
      </x:c>
      <x:c r="F141" s="51"/>
      <x:c r="G141" s="51"/>
      <x:c r="H141" s="51"/>
      <x:c r="I141" s="51"/>
      <x:c r="J141" s="51" t="n">
        <x:f>ANN!A74</x:f>
        <x:v>68</x:v>
      </x:c>
      <x:c r="K141" s="52" t="n">
        <x:f>ANN!G74</x:f>
        <x:v>26003.2</x:v>
      </x:c>
      <x:c r="L141" s="52" t="n">
        <x:f>SIMPLE!G74</x:f>
        <x:v>23224.76</x:v>
      </x:c>
      <x:c r="M141" s="52" t="n">
        <x:f>RGM!G74</x:f>
        <x:v>29482.18</x:v>
      </x:c>
    </x:row>
    <x:row r="142">
      <x:c r="B142" s="51" t="n">
        <x:f>ANN!A74</x:f>
        <x:v>68</x:v>
      </x:c>
      <x:c r="C142" s="52" t="n">
        <x:f>ANN!H74</x:f>
        <x:v>3365915.45</x:v>
      </x:c>
      <x:c r="D142" s="52" t="n">
        <x:f>SIMPLE!H74</x:f>
        <x:v>3646037.89</x:v>
      </x:c>
      <x:c r="E142" s="52" t="n">
        <x:f>RGM!H74</x:f>
        <x:v>2903730.85</x:v>
      </x:c>
      <x:c r="F142" s="51"/>
      <x:c r="G142" s="51"/>
      <x:c r="H142" s="51"/>
      <x:c r="I142" s="51"/>
      <x:c r="J142" s="51" t="n">
        <x:f>ANN!A75</x:f>
        <x:v>69</x:v>
      </x:c>
      <x:c r="K142" s="52" t="n">
        <x:f>ANN!G75</x:f>
        <x:v>26003.2</x:v>
      </x:c>
      <x:c r="L142" s="52" t="n">
        <x:f>SIMPLE!G75</x:f>
        <x:v>22475.58</x:v>
      </x:c>
      <x:c r="M142" s="52" t="n">
        <x:f>RGM!G75</x:f>
        <x:v>28815.99</x:v>
      </x:c>
    </x:row>
    <x:row r="143">
      <x:c r="B143" s="51" t="n">
        <x:f>ANN!A75</x:f>
        <x:v>69</x:v>
      </x:c>
      <x:c r="C143" s="52" t="n">
        <x:f>ANN!H75</x:f>
        <x:v>3360661.04</x:v>
      </x:c>
      <x:c r="D143" s="52" t="n">
        <x:f>SIMPLE!H75</x:f>
        <x:v>3646037.89</x:v>
      </x:c>
      <x:c r="E143" s="52" t="n">
        <x:f>RGM!H75</x:f>
        <x:v>2892814.57</x:v>
      </x:c>
      <x:c r="F143" s="51"/>
      <x:c r="G143" s="51"/>
      <x:c r="H143" s="51"/>
      <x:c r="I143" s="51"/>
      <x:c r="J143" s="51" t="n">
        <x:f>ANN!A76</x:f>
        <x:v>70</x:v>
      </x:c>
      <x:c r="K143" s="52" t="n">
        <x:f>ANN!G76</x:f>
        <x:v>26003.2</x:v>
      </x:c>
      <x:c r="L143" s="52" t="n">
        <x:f>SIMPLE!G76</x:f>
        <x:v>23224.76</x:v>
      </x:c>
      <x:c r="M143" s="52" t="n">
        <x:f>RGM!G76</x:f>
        <x:v>29343.11</x:v>
      </x:c>
    </x:row>
    <x:row r="144">
      <x:c r="B144" s="51" t="n">
        <x:f>ANN!A76</x:f>
        <x:v>70</x:v>
      </x:c>
      <x:c r="C144" s="52" t="n">
        <x:f>ANN!H76</x:f>
        <x:v>3356064.79</x:v>
      </x:c>
      <x:c r="D144" s="52" t="n">
        <x:f>SIMPLE!H76</x:f>
        <x:v>3646037.89</x:v>
      </x:c>
      <x:c r="E144" s="52" t="n">
        <x:f>RGM!H76</x:f>
        <x:v>2881898.29</x:v>
      </x:c>
      <x:c r="F144" s="51"/>
      <x:c r="G144" s="51"/>
      <x:c r="H144" s="51"/>
      <x:c r="I144" s="51"/>
      <x:c r="J144" s="51" t="n">
        <x:f>ANN!A77</x:f>
        <x:v>71</x:v>
      </x:c>
      <x:c r="K144" s="52" t="n">
        <x:f>ANN!G77</x:f>
        <x:v>26003.2</x:v>
      </x:c>
      <x:c r="L144" s="52" t="n">
        <x:f>SIMPLE!G77</x:f>
        <x:v>22475.58</x:v>
      </x:c>
      <x:c r="M144" s="52" t="n">
        <x:f>RGM!G77</x:f>
        <x:v>28681.41</x:v>
      </x:c>
    </x:row>
    <x:row r="145">
      <x:c r="B145" s="51" t="n">
        <x:f>ANN!A77</x:f>
        <x:v>71</x:v>
      </x:c>
      <x:c r="C145" s="52" t="n">
        <x:f>ANN!H77</x:f>
        <x:v>3350749.66</x:v>
      </x:c>
      <x:c r="D145" s="52" t="n">
        <x:f>SIMPLE!H77</x:f>
        <x:v>3646037.89</x:v>
      </x:c>
      <x:c r="E145" s="52" t="n">
        <x:f>RGM!H77</x:f>
        <x:v>2870982.01</x:v>
      </x:c>
      <x:c r="F145" s="51"/>
      <x:c r="G145" s="51"/>
      <x:c r="H145" s="51"/>
      <x:c r="I145" s="51"/>
      <x:c r="J145" s="51" t="n">
        <x:f>ANN!A78</x:f>
        <x:v>72</x:v>
      </x:c>
      <x:c r="K145" s="52" t="n">
        <x:f>ANN!G78</x:f>
        <x:v>26003.2</x:v>
      </x:c>
      <x:c r="L145" s="52" t="n">
        <x:f>SIMPLE!G78</x:f>
        <x:v>23224.76</x:v>
      </x:c>
      <x:c r="M145" s="52" t="n">
        <x:f>RGM!G78</x:f>
        <x:v>29204.04</x:v>
      </x:c>
    </x:row>
    <x:row r="146">
      <x:c r="B146" s="51" t="n">
        <x:f>ANN!A78</x:f>
        <x:v>72</x:v>
      </x:c>
      <x:c r="C146" s="52" t="n">
        <x:f>ANN!H78</x:f>
        <x:v>3346090.28</x:v>
      </x:c>
      <x:c r="D146" s="52" t="n">
        <x:f>SIMPLE!H78</x:f>
        <x:v>3646037.89</x:v>
      </x:c>
      <x:c r="E146" s="52" t="n">
        <x:f>RGM!H78</x:f>
        <x:v>2860065.73</x:v>
      </x:c>
      <x:c r="F146" s="51"/>
      <x:c r="G146" s="51"/>
      <x:c r="H146" s="51"/>
      <x:c r="I146" s="51"/>
      <x:c r="J146" s="51" t="n">
        <x:f>ANN!A79</x:f>
        <x:v>73</x:v>
      </x:c>
      <x:c r="K146" s="52" t="n">
        <x:f>ANN!G79</x:f>
        <x:v>26003.2</x:v>
      </x:c>
      <x:c r="L146" s="52" t="n">
        <x:f>SIMPLE!G79</x:f>
        <x:v>23224.76</x:v>
      </x:c>
      <x:c r="M146" s="52" t="n">
        <x:f>RGM!G79</x:f>
        <x:v>29134.51</x:v>
      </x:c>
    </x:row>
    <x:row r="147">
      <x:c r="B147" s="51" t="n">
        <x:f>ANN!A79</x:f>
        <x:v>73</x:v>
      </x:c>
      <x:c r="C147" s="52" t="n">
        <x:f>ANN!H79</x:f>
        <x:v>3341401.22</x:v>
      </x:c>
      <x:c r="D147" s="52" t="n">
        <x:f>SIMPLE!H79</x:f>
        <x:v>3646037.89</x:v>
      </x:c>
      <x:c r="E147" s="52" t="n">
        <x:f>RGM!H79</x:f>
        <x:v>2849149.45</x:v>
      </x:c>
      <x:c r="F147" s="51"/>
      <x:c r="G147" s="51"/>
      <x:c r="H147" s="51"/>
      <x:c r="I147" s="51"/>
      <x:c r="J147" s="51" t="n">
        <x:f>ANN!A80</x:f>
        <x:v>74</x:v>
      </x:c>
      <x:c r="K147" s="52" t="n">
        <x:f>ANN!G80</x:f>
        <x:v>26003.2</x:v>
      </x:c>
      <x:c r="L147" s="52" t="n">
        <x:f>SIMPLE!G80</x:f>
        <x:v>22475.58</x:v>
      </x:c>
      <x:c r="M147" s="52" t="n">
        <x:f>RGM!G80</x:f>
        <x:v>28479.53</x:v>
      </x:c>
    </x:row>
    <x:row r="148">
      <x:c r="B148" s="51" t="n">
        <x:f>ANN!A80</x:f>
        <x:v>74</x:v>
      </x:c>
      <x:c r="C148" s="52" t="n">
        <x:f>ANN!H80</x:f>
        <x:v>3335995.7</x:v>
      </x:c>
      <x:c r="D148" s="52" t="n">
        <x:f>SIMPLE!H80</x:f>
        <x:v>3646037.89</x:v>
      </x:c>
      <x:c r="E148" s="52" t="n">
        <x:f>RGM!H80</x:f>
        <x:v>2838233.17</x:v>
      </x:c>
      <x:c r="F148" s="51"/>
      <x:c r="G148" s="51"/>
      <x:c r="H148" s="51"/>
      <x:c r="I148" s="51"/>
      <x:c r="J148" s="51" t="n">
        <x:f>ANN!A81</x:f>
        <x:v>75</x:v>
      </x:c>
      <x:c r="K148" s="52" t="n">
        <x:f>ANN!G81</x:f>
        <x:v>26003.2</x:v>
      </x:c>
      <x:c r="L148" s="52" t="n">
        <x:f>SIMPLE!G81</x:f>
        <x:v>23224.76</x:v>
      </x:c>
      <x:c r="M148" s="52" t="n">
        <x:f>RGM!G81</x:f>
        <x:v>28995.44</x:v>
      </x:c>
    </x:row>
    <x:row r="149">
      <x:c r="B149" s="51" t="n">
        <x:f>ANN!A81</x:f>
        <x:v>75</x:v>
      </x:c>
      <x:c r="C149" s="52" t="n">
        <x:f>ANN!H81</x:f>
        <x:v>3331242.34</x:v>
      </x:c>
      <x:c r="D149" s="52" t="n">
        <x:f>SIMPLE!H81</x:f>
        <x:v>3646037.89</x:v>
      </x:c>
      <x:c r="E149" s="52" t="n">
        <x:f>RGM!H81</x:f>
        <x:v>2827316.89</x:v>
      </x:c>
      <x:c r="F149" s="51"/>
      <x:c r="G149" s="51"/>
      <x:c r="H149" s="51"/>
      <x:c r="I149" s="51"/>
      <x:c r="J149" s="51" t="n">
        <x:f>ANN!A82</x:f>
        <x:v>76</x:v>
      </x:c>
      <x:c r="K149" s="52" t="n">
        <x:f>ANN!G82</x:f>
        <x:v>26003.2</x:v>
      </x:c>
      <x:c r="L149" s="52" t="n">
        <x:f>SIMPLE!G82</x:f>
        <x:v>22475.58</x:v>
      </x:c>
      <x:c r="M149" s="52" t="n">
        <x:f>RGM!G82</x:f>
        <x:v>28344.95</x:v>
      </x:c>
    </x:row>
    <x:row r="150">
      <x:c r="B150" s="51" t="n">
        <x:f>ANN!A82</x:f>
        <x:v>76</x:v>
      </x:c>
      <x:c r="C150" s="52" t="n">
        <x:f>ANN!H82</x:f>
        <x:v>3325774.2</x:v>
      </x:c>
      <x:c r="D150" s="52" t="n">
        <x:f>SIMPLE!H82</x:f>
        <x:v>3646037.89</x:v>
      </x:c>
      <x:c r="E150" s="52" t="n">
        <x:f>RGM!H82</x:f>
        <x:v>2816400.61</x:v>
      </x:c>
      <x:c r="F150" s="51"/>
      <x:c r="G150" s="51"/>
      <x:c r="H150" s="51"/>
      <x:c r="I150" s="51"/>
      <x:c r="J150" s="51" t="n">
        <x:f>ANN!A83</x:f>
        <x:v>77</x:v>
      </x:c>
      <x:c r="K150" s="52" t="n">
        <x:f>ANN!G83</x:f>
        <x:v>26003.2</x:v>
      </x:c>
      <x:c r="L150" s="52" t="n">
        <x:f>SIMPLE!G83</x:f>
        <x:v>23224.76</x:v>
      </x:c>
      <x:c r="M150" s="52" t="n">
        <x:f>RGM!G83</x:f>
        <x:v>28856.37</x:v>
      </x:c>
    </x:row>
    <x:row r="151">
      <x:c r="B151" s="51" t="n">
        <x:f>ANN!A83</x:f>
        <x:v>77</x:v>
      </x:c>
      <x:c r="C151" s="52" t="n">
        <x:f>ANN!H83</x:f>
        <x:v>3320955.73</x:v>
      </x:c>
      <x:c r="D151" s="52" t="n">
        <x:f>SIMPLE!H83</x:f>
        <x:v>3646037.89</x:v>
      </x:c>
      <x:c r="E151" s="52" t="n">
        <x:f>RGM!H83</x:f>
        <x:v>2805484.33</x:v>
      </x:c>
      <x:c r="F151" s="51"/>
      <x:c r="G151" s="51"/>
      <x:c r="H151" s="51"/>
      <x:c r="I151" s="51"/>
      <x:c r="J151" s="51" t="n">
        <x:f>ANN!A84</x:f>
        <x:v>78</x:v>
      </x:c>
      <x:c r="K151" s="52" t="n">
        <x:f>ANN!G84</x:f>
        <x:v>26003.2</x:v>
      </x:c>
      <x:c r="L151" s="52" t="n">
        <x:f>SIMPLE!G84</x:f>
        <x:v>23224.76</x:v>
      </x:c>
      <x:c r="M151" s="52" t="n">
        <x:f>RGM!G84</x:f>
        <x:v>28786.83</x:v>
      </x:c>
    </x:row>
    <x:row r="152">
      <x:c r="B152" s="51" t="n">
        <x:f>ANN!A84</x:f>
        <x:v>78</x:v>
      </x:c>
      <x:c r="C152" s="52" t="n">
        <x:f>ANN!H84</x:f>
        <x:v>3316106.56</x:v>
      </x:c>
      <x:c r="D152" s="52" t="n">
        <x:f>SIMPLE!H84</x:f>
        <x:v>3646037.89</x:v>
      </x:c>
      <x:c r="E152" s="52" t="n">
        <x:f>RGM!H84</x:f>
        <x:v>2794568.05</x:v>
      </x:c>
      <x:c r="F152" s="51"/>
      <x:c r="G152" s="51"/>
      <x:c r="H152" s="51"/>
      <x:c r="I152" s="51"/>
      <x:c r="J152" s="51" t="n">
        <x:f>ANN!A85</x:f>
        <x:v>79</x:v>
      </x:c>
      <x:c r="K152" s="52" t="n">
        <x:f>ANN!G85</x:f>
        <x:v>26003.2</x:v>
      </x:c>
      <x:c r="L152" s="52" t="n">
        <x:f>SIMPLE!G85</x:f>
        <x:v>20977.2</x:v>
      </x:c>
      <x:c r="M152" s="52" t="n">
        <x:f>RGM!G85</x:f>
        <x:v>26994.62</x:v>
      </x:c>
    </x:row>
    <x:row r="153">
      <x:c r="B153" s="51" t="n">
        <x:f>ANN!A85</x:f>
        <x:v>79</x:v>
      </x:c>
      <x:c r="C153" s="52" t="n">
        <x:f>ANN!H85</x:f>
        <x:v>3309182.33</x:v>
      </x:c>
      <x:c r="D153" s="52" t="n">
        <x:f>SIMPLE!H85</x:f>
        <x:v>3646037.89</x:v>
      </x:c>
      <x:c r="E153" s="52" t="n">
        <x:f>RGM!H85</x:f>
        <x:v>2783651.77</x:v>
      </x:c>
      <x:c r="F153" s="51"/>
      <x:c r="G153" s="51"/>
      <x:c r="H153" s="51"/>
      <x:c r="I153" s="51"/>
      <x:c r="J153" s="51" t="n">
        <x:f>ANN!A86</x:f>
        <x:v>80</x:v>
      </x:c>
      <x:c r="K153" s="52" t="n">
        <x:f>ANN!G86</x:f>
        <x:v>26003.2</x:v>
      </x:c>
      <x:c r="L153" s="52" t="n">
        <x:f>SIMPLE!G86</x:f>
        <x:v>23224.76</x:v>
      </x:c>
      <x:c r="M153" s="52" t="n">
        <x:f>RGM!G86</x:f>
        <x:v>28647.76</x:v>
      </x:c>
    </x:row>
    <x:row r="154">
      <x:c r="B154" s="51" t="n">
        <x:f>ANN!A86</x:f>
        <x:v>80</x:v>
      </x:c>
      <x:c r="C154" s="52" t="n">
        <x:f>ANN!H86</x:f>
        <x:v>3304258.17</x:v>
      </x:c>
      <x:c r="D154" s="52" t="n">
        <x:f>SIMPLE!H86</x:f>
        <x:v>3646037.89</x:v>
      </x:c>
      <x:c r="E154" s="52" t="n">
        <x:f>RGM!H86</x:f>
        <x:v>2772735.49</x:v>
      </x:c>
      <x:c r="F154" s="51"/>
      <x:c r="G154" s="51"/>
      <x:c r="H154" s="51"/>
      <x:c r="I154" s="51"/>
      <x:c r="J154" s="51" t="n">
        <x:f>ANN!A87</x:f>
        <x:v>81</x:v>
      </x:c>
      <x:c r="K154" s="52" t="n">
        <x:f>ANN!G87</x:f>
        <x:v>26003.2</x:v>
      </x:c>
      <x:c r="L154" s="52" t="n">
        <x:f>SIMPLE!G87</x:f>
        <x:v>22475.58</x:v>
      </x:c>
      <x:c r="M154" s="52" t="n">
        <x:f>RGM!G87</x:f>
        <x:v>28008.49</x:v>
      </x:c>
    </x:row>
    <x:row r="155">
      <x:c r="B155" s="51" t="n">
        <x:f>ANN!A87</x:f>
        <x:v>81</x:v>
      </x:c>
      <x:c r="C155" s="52" t="n">
        <x:f>ANN!H87</x:f>
        <x:v>3298623.68</x:v>
      </x:c>
      <x:c r="D155" s="52" t="n">
        <x:f>SIMPLE!H87</x:f>
        <x:v>3646037.89</x:v>
      </x:c>
      <x:c r="E155" s="52" t="n">
        <x:f>RGM!H87</x:f>
        <x:v>2761819.21</x:v>
      </x:c>
      <x:c r="F155" s="51"/>
      <x:c r="G155" s="51"/>
      <x:c r="H155" s="51"/>
      <x:c r="I155" s="51"/>
      <x:c r="J155" s="51" t="n">
        <x:f>ANN!A88</x:f>
        <x:v>82</x:v>
      </x:c>
      <x:c r="K155" s="52" t="n">
        <x:f>ANN!G88</x:f>
        <x:v>26003.2</x:v>
      </x:c>
      <x:c r="L155" s="52" t="n">
        <x:f>SIMPLE!G88</x:f>
        <x:v>23224.76</x:v>
      </x:c>
      <x:c r="M155" s="52" t="n">
        <x:f>RGM!G88</x:f>
        <x:v>28508.69</x:v>
      </x:c>
    </x:row>
    <x:row r="156">
      <x:c r="B156" s="51" t="n">
        <x:f>ANN!A88</x:f>
        <x:v>82</x:v>
      </x:c>
      <x:c r="C156" s="52" t="n">
        <x:f>ANN!H88</x:f>
        <x:v>3293632.26</x:v>
      </x:c>
      <x:c r="D156" s="52" t="n">
        <x:f>SIMPLE!H88</x:f>
        <x:v>3646037.89</x:v>
      </x:c>
      <x:c r="E156" s="52" t="n">
        <x:f>RGM!H88</x:f>
        <x:v>2750902.93</x:v>
      </x:c>
      <x:c r="F156" s="51"/>
      <x:c r="G156" s="51"/>
      <x:c r="H156" s="51"/>
      <x:c r="I156" s="51"/>
      <x:c r="J156" s="51" t="n">
        <x:f>ANN!A89</x:f>
        <x:v>83</x:v>
      </x:c>
      <x:c r="K156" s="52" t="n">
        <x:f>ANN!G89</x:f>
        <x:v>26003.2</x:v>
      </x:c>
      <x:c r="L156" s="52" t="n">
        <x:f>SIMPLE!G89</x:f>
        <x:v>22475.58</x:v>
      </x:c>
      <x:c r="M156" s="52" t="n">
        <x:f>RGM!G89</x:f>
        <x:v>27873.9</x:v>
      </x:c>
    </x:row>
    <x:row r="157">
      <x:c r="B157" s="51" t="n">
        <x:f>ANN!A89</x:f>
        <x:v>83</x:v>
      </x:c>
      <x:c r="C157" s="52" t="n">
        <x:f>ANN!H89</x:f>
        <x:v>3287932.27</x:v>
      </x:c>
      <x:c r="D157" s="52" t="n">
        <x:f>SIMPLE!H89</x:f>
        <x:v>3646037.89</x:v>
      </x:c>
      <x:c r="E157" s="52" t="n">
        <x:f>RGM!H89</x:f>
        <x:v>2739986.65</x:v>
      </x:c>
      <x:c r="F157" s="51"/>
      <x:c r="G157" s="51"/>
      <x:c r="H157" s="51"/>
      <x:c r="I157" s="51"/>
      <x:c r="J157" s="51" t="n">
        <x:f>ANN!A90</x:f>
        <x:v>84</x:v>
      </x:c>
      <x:c r="K157" s="52" t="n">
        <x:f>ANN!G90</x:f>
        <x:v>26003.2</x:v>
      </x:c>
      <x:c r="L157" s="52" t="n">
        <x:f>SIMPLE!G90</x:f>
        <x:v>23224.76</x:v>
      </x:c>
      <x:c r="M157" s="52" t="n">
        <x:f>RGM!G90</x:f>
        <x:v>28369.62</x:v>
      </x:c>
    </x:row>
    <x:row r="158">
      <x:c r="B158" s="51" t="n">
        <x:f>ANN!A90</x:f>
        <x:v>84</x:v>
      </x:c>
      <x:c r="C158" s="52" t="n">
        <x:f>ANN!H90</x:f>
        <x:v>3282872.75</x:v>
      </x:c>
      <x:c r="D158" s="52" t="n">
        <x:f>SIMPLE!H90</x:f>
        <x:v>3646037.89</x:v>
      </x:c>
      <x:c r="E158" s="52" t="n">
        <x:f>RGM!H90</x:f>
        <x:v>2729070.37</x:v>
      </x:c>
      <x:c r="F158" s="51"/>
      <x:c r="G158" s="51"/>
      <x:c r="H158" s="51"/>
      <x:c r="I158" s="51"/>
      <x:c r="J158" s="51" t="n">
        <x:f>ANN!A91</x:f>
        <x:v>85</x:v>
      </x:c>
      <x:c r="K158" s="52" t="n">
        <x:f>ANN!G91</x:f>
        <x:v>26003.2</x:v>
      </x:c>
      <x:c r="L158" s="52" t="n">
        <x:f>SIMPLE!G91</x:f>
        <x:v>23224.76</x:v>
      </x:c>
      <x:c r="M158" s="52" t="n">
        <x:f>RGM!G91</x:f>
        <x:v>28300.08</x:v>
      </x:c>
    </x:row>
    <x:row r="159">
      <x:c r="B159" s="51" t="n">
        <x:f>ANN!A91</x:f>
        <x:v>85</x:v>
      </x:c>
      <x:c r="C159" s="52" t="n">
        <x:f>ANN!H91</x:f>
        <x:v>3277781</x:v>
      </x:c>
      <x:c r="D159" s="52" t="n">
        <x:f>SIMPLE!H91</x:f>
        <x:v>3646037.89</x:v>
      </x:c>
      <x:c r="E159" s="52" t="n">
        <x:f>RGM!H91</x:f>
        <x:v>2718154.09</x:v>
      </x:c>
      <x:c r="F159" s="51"/>
      <x:c r="G159" s="51"/>
      <x:c r="H159" s="51"/>
      <x:c r="I159" s="51"/>
      <x:c r="J159" s="51" t="n">
        <x:f>ANN!A92</x:f>
        <x:v>86</x:v>
      </x:c>
      <x:c r="K159" s="52" t="n">
        <x:f>ANN!G92</x:f>
        <x:v>26003.2</x:v>
      </x:c>
      <x:c r="L159" s="52" t="n">
        <x:f>SIMPLE!G92</x:f>
        <x:v>22475.58</x:v>
      </x:c>
      <x:c r="M159" s="52" t="n">
        <x:f>RGM!G92</x:f>
        <x:v>27672.02</x:v>
      </x:c>
    </x:row>
    <x:row r="160">
      <x:c r="B160" s="51" t="n">
        <x:f>ANN!A92</x:f>
        <x:v>86</x:v>
      </x:c>
      <x:c r="C160" s="52" t="n">
        <x:f>ANN!H92</x:f>
        <x:v>3271983.3</x:v>
      </x:c>
      <x:c r="D160" s="52" t="n">
        <x:f>SIMPLE!H92</x:f>
        <x:v>3646037.89</x:v>
      </x:c>
      <x:c r="E160" s="52" t="n">
        <x:f>RGM!H92</x:f>
        <x:v>2707237.81</x:v>
      </x:c>
      <x:c r="F160" s="51"/>
      <x:c r="G160" s="51"/>
      <x:c r="H160" s="51"/>
      <x:c r="I160" s="51"/>
      <x:c r="J160" s="51" t="n">
        <x:f>ANN!A93</x:f>
        <x:v>87</x:v>
      </x:c>
      <x:c r="K160" s="52" t="n">
        <x:f>ANN!G93</x:f>
        <x:v>26003.2</x:v>
      </x:c>
      <x:c r="L160" s="52" t="n">
        <x:f>SIMPLE!G93</x:f>
        <x:v>23224.76</x:v>
      </x:c>
      <x:c r="M160" s="52" t="n">
        <x:f>RGM!G93</x:f>
        <x:v>28161.01</x:v>
      </x:c>
    </x:row>
    <x:row r="161">
      <x:c r="B161" s="51" t="n">
        <x:f>ANN!A93</x:f>
        <x:v>87</x:v>
      </x:c>
      <x:c r="C161" s="52" t="n">
        <x:f>ANN!H93</x:f>
        <x:v>3266822.19</x:v>
      </x:c>
      <x:c r="D161" s="52" t="n">
        <x:f>SIMPLE!H93</x:f>
        <x:v>3646037.89</x:v>
      </x:c>
      <x:c r="E161" s="52" t="n">
        <x:f>RGM!H93</x:f>
        <x:v>2696321.53</x:v>
      </x:c>
      <x:c r="F161" s="51"/>
      <x:c r="G161" s="51"/>
      <x:c r="H161" s="51"/>
      <x:c r="I161" s="51"/>
      <x:c r="J161" s="51" t="n">
        <x:f>ANN!A94</x:f>
        <x:v>88</x:v>
      </x:c>
      <x:c r="K161" s="52" t="n">
        <x:f>ANN!G94</x:f>
        <x:v>26003.2</x:v>
      </x:c>
      <x:c r="L161" s="52" t="n">
        <x:f>SIMPLE!G94</x:f>
        <x:v>22475.58</x:v>
      </x:c>
      <x:c r="M161" s="52" t="n">
        <x:f>RGM!G94</x:f>
        <x:v>27537.44</x:v>
      </x:c>
    </x:row>
    <x:row r="162">
      <x:c r="B162" s="51" t="n">
        <x:f>ANN!A94</x:f>
        <x:v>88</x:v>
      </x:c>
      <x:c r="C162" s="52" t="n">
        <x:f>ANN!H94</x:f>
        <x:v>3260956.94</x:v>
      </x:c>
      <x:c r="D162" s="52" t="n">
        <x:f>SIMPLE!H94</x:f>
        <x:v>3646037.89</x:v>
      </x:c>
      <x:c r="E162" s="52" t="n">
        <x:f>RGM!H94</x:f>
        <x:v>2685405.25</x:v>
      </x:c>
      <x:c r="F162" s="51"/>
      <x:c r="G162" s="51"/>
      <x:c r="H162" s="51"/>
      <x:c r="I162" s="51"/>
      <x:c r="J162" s="51" t="n">
        <x:f>ANN!A95</x:f>
        <x:v>89</x:v>
      </x:c>
      <x:c r="K162" s="52" t="n">
        <x:f>ANN!G95</x:f>
        <x:v>26003.2</x:v>
      </x:c>
      <x:c r="L162" s="52" t="n">
        <x:f>SIMPLE!G95</x:f>
        <x:v>23224.76</x:v>
      </x:c>
      <x:c r="M162" s="52" t="n">
        <x:f>RGM!G95</x:f>
        <x:v>28021.94</x:v>
      </x:c>
    </x:row>
    <x:row r="163">
      <x:c r="B163" s="51" t="n">
        <x:f>ANN!A95</x:f>
        <x:v>89</x:v>
      </x:c>
      <x:c r="C163" s="52" t="n">
        <x:f>ANN!H95</x:f>
        <x:v>3255725.59</x:v>
      </x:c>
      <x:c r="D163" s="52" t="n">
        <x:f>SIMPLE!H95</x:f>
        <x:v>3646037.89</x:v>
      </x:c>
      <x:c r="E163" s="52" t="n">
        <x:f>RGM!H95</x:f>
        <x:v>2674488.97</x:v>
      </x:c>
      <x:c r="F163" s="51"/>
      <x:c r="G163" s="51"/>
      <x:c r="H163" s="51"/>
      <x:c r="I163" s="51"/>
      <x:c r="J163" s="51" t="n">
        <x:f>ANN!A96</x:f>
        <x:v>90</x:v>
      </x:c>
      <x:c r="K163" s="52" t="n">
        <x:f>ANN!G96</x:f>
        <x:v>26003.2</x:v>
      </x:c>
      <x:c r="L163" s="52" t="n">
        <x:f>SIMPLE!G96</x:f>
        <x:v>23224.76</x:v>
      </x:c>
      <x:c r="M163" s="52" t="n">
        <x:f>RGM!G96</x:f>
        <x:v>27952.41</x:v>
      </x:c>
    </x:row>
    <x:row r="164">
      <x:c r="B164" s="51" t="n">
        <x:f>ANN!A96</x:f>
        <x:v>90</x:v>
      </x:c>
      <x:c r="C164" s="52" t="n">
        <x:f>ANN!H96</x:f>
        <x:v>3250460.92</x:v>
      </x:c>
      <x:c r="D164" s="52" t="n">
        <x:f>SIMPLE!H96</x:f>
        <x:v>3646037.89</x:v>
      </x:c>
      <x:c r="E164" s="52" t="n">
        <x:f>RGM!H96</x:f>
        <x:v>2663572.69</x:v>
      </x:c>
      <x:c r="F164" s="51"/>
      <x:c r="G164" s="51"/>
      <x:c r="H164" s="51"/>
      <x:c r="I164" s="51"/>
      <x:c r="J164" s="51" t="n">
        <x:f>ANN!A97</x:f>
        <x:v>91</x:v>
      </x:c>
      <x:c r="K164" s="52" t="n">
        <x:f>ANN!G97</x:f>
        <x:v>26003.2</x:v>
      </x:c>
      <x:c r="L164" s="52" t="n">
        <x:f>SIMPLE!G97</x:f>
        <x:v>20977.2</x:v>
      </x:c>
      <x:c r="M164" s="52" t="n">
        <x:f>RGM!G97</x:f>
        <x:v>26240.94</x:v>
      </x:c>
    </x:row>
    <x:row r="165">
      <x:c r="B165" s="51" t="n">
        <x:f>ANN!A97</x:f>
        <x:v>91</x:v>
      </x:c>
      <x:c r="C165" s="52" t="n">
        <x:f>ANN!H97</x:f>
        <x:v>3243159</x:v>
      </x:c>
      <x:c r="D165" s="52" t="n">
        <x:f>SIMPLE!H97</x:f>
        <x:v>3646037.89</x:v>
      </x:c>
      <x:c r="E165" s="52" t="n">
        <x:f>RGM!H97</x:f>
        <x:v>2652656.41</x:v>
      </x:c>
      <x:c r="F165" s="51"/>
      <x:c r="G165" s="51"/>
      <x:c r="H165" s="51"/>
      <x:c r="I165" s="51"/>
      <x:c r="J165" s="51" t="n">
        <x:f>ANN!A98</x:f>
        <x:v>92</x:v>
      </x:c>
      <x:c r="K165" s="52" t="n">
        <x:f>ANN!G98</x:f>
        <x:v>26003.2</x:v>
      </x:c>
      <x:c r="L165" s="52" t="n">
        <x:f>SIMPLE!G98</x:f>
        <x:v>23224.76</x:v>
      </x:c>
      <x:c r="M165" s="52" t="n">
        <x:f>RGM!G98</x:f>
        <x:v>27813.34</x:v>
      </x:c>
    </x:row>
    <x:row r="166">
      <x:c r="B166" s="51" t="n">
        <x:f>ANN!A98</x:f>
        <x:v>92</x:v>
      </x:c>
      <x:c r="C166" s="52" t="n">
        <x:f>ANN!H98</x:f>
        <x:v>3237814.28</x:v>
      </x:c>
      <x:c r="D166" s="52" t="n">
        <x:f>SIMPLE!H98</x:f>
        <x:v>3646037.89</x:v>
      </x:c>
      <x:c r="E166" s="52" t="n">
        <x:f>RGM!H98</x:f>
        <x:v>2641740.13</x:v>
      </x:c>
      <x:c r="F166" s="51"/>
      <x:c r="G166" s="51"/>
      <x:c r="H166" s="51"/>
      <x:c r="I166" s="51"/>
      <x:c r="J166" s="51" t="n">
        <x:f>ANN!A99</x:f>
        <x:v>93</x:v>
      </x:c>
      <x:c r="K166" s="52" t="n">
        <x:f>ANN!G99</x:f>
        <x:v>26003.2</x:v>
      </x:c>
      <x:c r="L166" s="52" t="n">
        <x:f>SIMPLE!G99</x:f>
        <x:v>22475.58</x:v>
      </x:c>
      <x:c r="M166" s="52" t="n">
        <x:f>RGM!G99</x:f>
        <x:v>27200.98</x:v>
      </x:c>
    </x:row>
    <x:row r="167">
      <x:c r="B167" s="51" t="n">
        <x:f>ANN!A99</x:f>
        <x:v>93</x:v>
      </x:c>
      <x:c r="C167" s="52" t="n">
        <x:f>ANN!H99</x:f>
        <x:v>3231770.21</x:v>
      </x:c>
      <x:c r="D167" s="52" t="n">
        <x:f>SIMPLE!H99</x:f>
        <x:v>3646037.89</x:v>
      </x:c>
      <x:c r="E167" s="52" t="n">
        <x:f>RGM!H99</x:f>
        <x:v>2630823.85</x:v>
      </x:c>
      <x:c r="F167" s="51"/>
      <x:c r="G167" s="51"/>
      <x:c r="H167" s="51"/>
      <x:c r="I167" s="51"/>
      <x:c r="J167" s="51" t="n">
        <x:f>ANN!A100</x:f>
        <x:v>94</x:v>
      </x:c>
      <x:c r="K167" s="52" t="n">
        <x:f>ANN!G100</x:f>
        <x:v>26003.2</x:v>
      </x:c>
      <x:c r="L167" s="52" t="n">
        <x:f>SIMPLE!G100</x:f>
        <x:v>23224.76</x:v>
      </x:c>
      <x:c r="M167" s="52" t="n">
        <x:f>RGM!G100</x:f>
        <x:v>27674.27</x:v>
      </x:c>
    </x:row>
    <x:row r="168">
      <x:c r="B168" s="51" t="n">
        <x:f>ANN!A100</x:f>
        <x:v>94</x:v>
      </x:c>
      <x:c r="C168" s="52" t="n">
        <x:f>ANN!H100</x:f>
        <x:v>3226352.94</x:v>
      </x:c>
      <x:c r="D168" s="52" t="n">
        <x:f>SIMPLE!H100</x:f>
        <x:v>3646037.89</x:v>
      </x:c>
      <x:c r="E168" s="52" t="n">
        <x:f>RGM!H100</x:f>
        <x:v>2619907.57</x:v>
      </x:c>
      <x:c r="F168" s="51"/>
      <x:c r="G168" s="51"/>
      <x:c r="H168" s="51"/>
      <x:c r="I168" s="51"/>
      <x:c r="J168" s="51" t="n">
        <x:f>ANN!A101</x:f>
        <x:v>95</x:v>
      </x:c>
      <x:c r="K168" s="52" t="n">
        <x:f>ANN!G101</x:f>
        <x:v>26003.2</x:v>
      </x:c>
      <x:c r="L168" s="52" t="n">
        <x:f>SIMPLE!G101</x:f>
        <x:v>22475.58</x:v>
      </x:c>
      <x:c r="M168" s="52" t="n">
        <x:f>RGM!G101</x:f>
        <x:v>27066.4</x:v>
      </x:c>
    </x:row>
    <x:row r="169">
      <x:c r="B169" s="51" t="n">
        <x:f>ANN!A101</x:f>
        <x:v>95</x:v>
      </x:c>
      <x:c r="C169" s="52" t="n">
        <x:f>ANN!H101</x:f>
        <x:v>3220238.22</x:v>
      </x:c>
      <x:c r="D169" s="52" t="n">
        <x:f>SIMPLE!H101</x:f>
        <x:v>3646037.89</x:v>
      </x:c>
      <x:c r="E169" s="52" t="n">
        <x:f>RGM!H101</x:f>
        <x:v>2608991.29</x:v>
      </x:c>
      <x:c r="F169" s="51"/>
      <x:c r="G169" s="51"/>
      <x:c r="H169" s="51"/>
      <x:c r="I169" s="51"/>
      <x:c r="J169" s="51" t="n">
        <x:f>ANN!A102</x:f>
        <x:v>96</x:v>
      </x:c>
      <x:c r="K169" s="52" t="n">
        <x:f>ANN!G102</x:f>
        <x:v>26003.2</x:v>
      </x:c>
      <x:c r="L169" s="52" t="n">
        <x:f>SIMPLE!G102</x:f>
        <x:v>23224.76</x:v>
      </x:c>
      <x:c r="M169" s="52" t="n">
        <x:f>RGM!G102</x:f>
        <x:v>27535.2</x:v>
      </x:c>
    </x:row>
    <x:row r="170">
      <x:c r="B170" s="51" t="n">
        <x:f>ANN!A102</x:f>
        <x:v>96</x:v>
      </x:c>
      <x:c r="C170" s="52" t="n">
        <x:f>ANN!H102</x:f>
        <x:v>3214747.5</x:v>
      </x:c>
      <x:c r="D170" s="52" t="n">
        <x:f>SIMPLE!H102</x:f>
        <x:v>3646037.89</x:v>
      </x:c>
      <x:c r="E170" s="52" t="n">
        <x:f>RGM!H102</x:f>
        <x:v>2598075.01</x:v>
      </x:c>
      <x:c r="F170" s="51"/>
      <x:c r="G170" s="51"/>
      <x:c r="H170" s="51"/>
      <x:c r="I170" s="51"/>
      <x:c r="J170" s="51" t="n">
        <x:f>ANN!A103</x:f>
        <x:v>97</x:v>
      </x:c>
      <x:c r="K170" s="52" t="n">
        <x:f>ANN!G103</x:f>
        <x:v>26003.2</x:v>
      </x:c>
      <x:c r="L170" s="52" t="n">
        <x:f>SIMPLE!G103</x:f>
        <x:v>23224.76</x:v>
      </x:c>
      <x:c r="M170" s="52" t="n">
        <x:f>RGM!G103</x:f>
        <x:v>27465.66</x:v>
      </x:c>
    </x:row>
    <x:row r="171">
      <x:c r="B171" s="51" t="n">
        <x:f>ANN!A103</x:f>
        <x:v>97</x:v>
      </x:c>
      <x:c r="C171" s="52" t="n">
        <x:f>ANN!H103</x:f>
        <x:v>3209221.8</x:v>
      </x:c>
      <x:c r="D171" s="52" t="n">
        <x:f>SIMPLE!H103</x:f>
        <x:v>3646037.89</x:v>
      </x:c>
      <x:c r="E171" s="52" t="n">
        <x:f>RGM!H103</x:f>
        <x:v>2587158.73</x:v>
      </x:c>
      <x:c r="F171" s="51"/>
      <x:c r="G171" s="51"/>
      <x:c r="H171" s="51"/>
      <x:c r="I171" s="51"/>
      <x:c r="J171" s="51" t="n">
        <x:f>ANN!A104</x:f>
        <x:v>98</x:v>
      </x:c>
      <x:c r="K171" s="52" t="n">
        <x:f>ANN!G104</x:f>
        <x:v>26003.2</x:v>
      </x:c>
      <x:c r="L171" s="52" t="n">
        <x:f>SIMPLE!G104</x:f>
        <x:v>22475.58</x:v>
      </x:c>
      <x:c r="M171" s="52" t="n">
        <x:f>RGM!G104</x:f>
        <x:v>26864.52</x:v>
      </x:c>
    </x:row>
    <x:row r="172">
      <x:c r="B172" s="51" t="n">
        <x:f>ANN!A104</x:f>
        <x:v>98</x:v>
      </x:c>
      <x:c r="C172" s="52" t="n">
        <x:f>ANN!H104</x:f>
        <x:v>3203001.47</x:v>
      </x:c>
      <x:c r="D172" s="52" t="n">
        <x:f>SIMPLE!H104</x:f>
        <x:v>3646037.89</x:v>
      </x:c>
      <x:c r="E172" s="52" t="n">
        <x:f>RGM!H104</x:f>
        <x:v>2576242.45</x:v>
      </x:c>
      <x:c r="F172" s="51"/>
      <x:c r="G172" s="51"/>
      <x:c r="H172" s="51"/>
      <x:c r="I172" s="51"/>
      <x:c r="J172" s="51" t="n">
        <x:f>ANN!A105</x:f>
        <x:v>99</x:v>
      </x:c>
      <x:c r="K172" s="52" t="n">
        <x:f>ANN!G105</x:f>
        <x:v>26003.2</x:v>
      </x:c>
      <x:c r="L172" s="52" t="n">
        <x:f>SIMPLE!G105</x:f>
        <x:v>23224.76</x:v>
      </x:c>
      <x:c r="M172" s="52" t="n">
        <x:f>RGM!G105</x:f>
        <x:v>27326.59</x:v>
      </x:c>
    </x:row>
    <x:row r="173">
      <x:c r="B173" s="51" t="n">
        <x:f>ANN!A105</x:f>
        <x:v>99</x:v>
      </x:c>
      <x:c r="C173" s="52" t="n">
        <x:f>ANN!H105</x:f>
        <x:v>3197400.95</x:v>
      </x:c>
      <x:c r="D173" s="52" t="n">
        <x:f>SIMPLE!H105</x:f>
        <x:v>3646037.89</x:v>
      </x:c>
      <x:c r="E173" s="52" t="n">
        <x:f>RGM!H105</x:f>
        <x:v>2565326.17</x:v>
      </x:c>
      <x:c r="F173" s="51"/>
      <x:c r="G173" s="51"/>
      <x:c r="H173" s="51"/>
      <x:c r="I173" s="51"/>
      <x:c r="J173" s="51" t="n">
        <x:f>ANN!A106</x:f>
        <x:v>100</x:v>
      </x:c>
      <x:c r="K173" s="52" t="n">
        <x:f>ANN!G106</x:f>
        <x:v>26003.2</x:v>
      </x:c>
      <x:c r="L173" s="52" t="n">
        <x:f>SIMPLE!G106</x:f>
        <x:v>22475.58</x:v>
      </x:c>
      <x:c r="M173" s="52" t="n">
        <x:f>RGM!G106</x:f>
        <x:v>26729.93</x:v>
      </x:c>
    </x:row>
    <x:row r="174">
      <x:c r="B174" s="51" t="n">
        <x:f>ANN!A106</x:f>
        <x:v>100</x:v>
      </x:c>
      <x:c r="C174" s="52" t="n">
        <x:f>ANN!H106</x:f>
        <x:v>3191107.76</x:v>
      </x:c>
      <x:c r="D174" s="52" t="n">
        <x:f>SIMPLE!H106</x:f>
        <x:v>3646037.89</x:v>
      </x:c>
      <x:c r="E174" s="52" t="n">
        <x:f>RGM!H106</x:f>
        <x:v>2554409.89</x:v>
      </x:c>
      <x:c r="F174" s="51"/>
      <x:c r="G174" s="51"/>
      <x:c r="H174" s="51"/>
      <x:c r="I174" s="51"/>
      <x:c r="J174" s="51" t="n">
        <x:f>ANN!A107</x:f>
        <x:v>101</x:v>
      </x:c>
      <x:c r="K174" s="52" t="n">
        <x:f>ANN!G107</x:f>
        <x:v>26003.2</x:v>
      </x:c>
      <x:c r="L174" s="52" t="n">
        <x:f>SIMPLE!G107</x:f>
        <x:v>23224.76</x:v>
      </x:c>
      <x:c r="M174" s="52" t="n">
        <x:f>RGM!G107</x:f>
        <x:v>27187.52</x:v>
      </x:c>
    </x:row>
    <x:row r="175">
      <x:c r="B175" s="51" t="n">
        <x:f>ANN!A107</x:f>
        <x:v>101</x:v>
      </x:c>
      <x:c r="C175" s="52" t="n">
        <x:f>ANN!H107</x:f>
        <x:v>3185431.48</x:v>
      </x:c>
      <x:c r="D175" s="52" t="n">
        <x:f>SIMPLE!H107</x:f>
        <x:v>3646037.89</x:v>
      </x:c>
      <x:c r="E175" s="52" t="n">
        <x:f>RGM!H107</x:f>
        <x:v>2543493.61</x:v>
      </x:c>
      <x:c r="F175" s="51"/>
      <x:c r="G175" s="51"/>
      <x:c r="H175" s="51"/>
      <x:c r="I175" s="51"/>
      <x:c r="J175" s="51" t="n">
        <x:f>ANN!A108</x:f>
        <x:v>102</x:v>
      </x:c>
      <x:c r="K175" s="52" t="n">
        <x:f>ANN!G108</x:f>
        <x:v>26003.2</x:v>
      </x:c>
      <x:c r="L175" s="52" t="n">
        <x:f>SIMPLE!G108</x:f>
        <x:v>23224.76</x:v>
      </x:c>
      <x:c r="M175" s="52" t="n">
        <x:f>RGM!G108</x:f>
        <x:v>27117.99</x:v>
      </x:c>
    </x:row>
    <x:row r="176">
      <x:c r="B176" s="51" t="n">
        <x:f>ANN!A108</x:f>
        <x:v>102</x:v>
      </x:c>
      <x:c r="C176" s="52" t="n">
        <x:f>ANN!H108</x:f>
        <x:v>3179719.04</x:v>
      </x:c>
      <x:c r="D176" s="52" t="n">
        <x:f>SIMPLE!H108</x:f>
        <x:v>3646037.89</x:v>
      </x:c>
      <x:c r="E176" s="52" t="n">
        <x:f>RGM!H108</x:f>
        <x:v>2532577.33</x:v>
      </x:c>
      <x:c r="F176" s="51"/>
      <x:c r="G176" s="51"/>
      <x:c r="H176" s="51"/>
      <x:c r="I176" s="51"/>
      <x:c r="J176" s="51" t="n">
        <x:f>ANN!A109</x:f>
        <x:v>103</x:v>
      </x:c>
      <x:c r="K176" s="52" t="n">
        <x:f>ANN!G109</x:f>
        <x:v>26003.2</x:v>
      </x:c>
      <x:c r="L176" s="52" t="n">
        <x:f>SIMPLE!G109</x:f>
        <x:v>20977.2</x:v>
      </x:c>
      <x:c r="M176" s="52" t="n">
        <x:f>RGM!G109</x:f>
        <x:v>25487.27</x:v>
      </x:c>
    </x:row>
    <x:row r="177">
      <x:c r="B177" s="51" t="n">
        <x:f>ANN!A109</x:f>
        <x:v>103</x:v>
      </x:c>
      <x:c r="C177" s="52" t="n">
        <x:f>ANN!H109</x:f>
        <x:v>3172010.11</x:v>
      </x:c>
      <x:c r="D177" s="52" t="n">
        <x:f>SIMPLE!H109</x:f>
        <x:v>3646037.89</x:v>
      </x:c>
      <x:c r="E177" s="52" t="n">
        <x:f>RGM!H109</x:f>
        <x:v>2521661.05</x:v>
      </x:c>
      <x:c r="F177" s="51"/>
      <x:c r="G177" s="51"/>
      <x:c r="H177" s="51"/>
      <x:c r="I177" s="51"/>
      <x:c r="J177" s="51" t="n">
        <x:f>ANN!A110</x:f>
        <x:v>104</x:v>
      </x:c>
      <x:c r="K177" s="52" t="n">
        <x:f>ANN!G110</x:f>
        <x:v>26003.2</x:v>
      </x:c>
      <x:c r="L177" s="52" t="n">
        <x:f>SIMPLE!G110</x:f>
        <x:v>23224.76</x:v>
      </x:c>
      <x:c r="M177" s="52" t="n">
        <x:f>RGM!G110</x:f>
        <x:v>26978.92</x:v>
      </x:c>
    </x:row>
    <x:row r="178">
      <x:c r="B178" s="51" t="n">
        <x:f>ANN!A110</x:f>
        <x:v>104</x:v>
      </x:c>
      <x:c r="C178" s="52" t="n">
        <x:f>ANN!H110</x:f>
        <x:v>3166212.18</x:v>
      </x:c>
      <x:c r="D178" s="52" t="n">
        <x:f>SIMPLE!H110</x:f>
        <x:v>3646037.89</x:v>
      </x:c>
      <x:c r="E178" s="52" t="n">
        <x:f>RGM!H110</x:f>
        <x:v>2510744.77</x:v>
      </x:c>
      <x:c r="F178" s="51"/>
      <x:c r="G178" s="51"/>
      <x:c r="H178" s="51"/>
      <x:c r="I178" s="51"/>
      <x:c r="J178" s="51" t="n">
        <x:f>ANN!A111</x:f>
        <x:v>105</x:v>
      </x:c>
      <x:c r="K178" s="52" t="n">
        <x:f>ANN!G111</x:f>
        <x:v>26003.2</x:v>
      </x:c>
      <x:c r="L178" s="52" t="n">
        <x:f>SIMPLE!G111</x:f>
        <x:v>22475.58</x:v>
      </x:c>
      <x:c r="M178" s="52" t="n">
        <x:f>RGM!G111</x:f>
        <x:v>26393.47</x:v>
      </x:c>
    </x:row>
    <x:row r="179">
      <x:c r="B179" s="51" t="n">
        <x:f>ANN!A111</x:f>
        <x:v>105</x:v>
      </x:c>
      <x:c r="C179" s="52" t="n">
        <x:f>ANN!H111</x:f>
        <x:v>3159726.73</x:v>
      </x:c>
      <x:c r="D179" s="52" t="n">
        <x:f>SIMPLE!H111</x:f>
        <x:v>3646037.89</x:v>
      </x:c>
      <x:c r="E179" s="52" t="n">
        <x:f>RGM!H111</x:f>
        <x:v>2499828.49</x:v>
      </x:c>
      <x:c r="F179" s="51"/>
      <x:c r="G179" s="51"/>
      <x:c r="H179" s="51"/>
      <x:c r="I179" s="51"/>
      <x:c r="J179" s="51" t="n">
        <x:f>ANN!A112</x:f>
        <x:v>106</x:v>
      </x:c>
      <x:c r="K179" s="52" t="n">
        <x:f>ANN!G112</x:f>
        <x:v>26003.2</x:v>
      </x:c>
      <x:c r="L179" s="52" t="n">
        <x:f>SIMPLE!G112</x:f>
        <x:v>23224.76</x:v>
      </x:c>
      <x:c r="M179" s="52" t="n">
        <x:f>RGM!G112</x:f>
        <x:v>26839.85</x:v>
      </x:c>
    </x:row>
    <x:row r="180">
      <x:c r="B180" s="51" t="n">
        <x:f>ANN!A112</x:f>
        <x:v>106</x:v>
      </x:c>
      <x:c r="C180" s="52" t="n">
        <x:f>ANN!H112</x:f>
        <x:v>3153850.56</x:v>
      </x:c>
      <x:c r="D180" s="52" t="n">
        <x:f>SIMPLE!H112</x:f>
        <x:v>3646037.89</x:v>
      </x:c>
      <x:c r="E180" s="52" t="n">
        <x:f>RGM!H112</x:f>
        <x:v>2488912.21</x:v>
      </x:c>
      <x:c r="F180" s="51"/>
      <x:c r="G180" s="51"/>
      <x:c r="H180" s="51"/>
      <x:c r="I180" s="51"/>
      <x:c r="J180" s="51" t="n">
        <x:f>ANN!A113</x:f>
        <x:v>107</x:v>
      </x:c>
      <x:c r="K180" s="52" t="n">
        <x:f>ANN!G113</x:f>
        <x:v>26003.2</x:v>
      </x:c>
      <x:c r="L180" s="52" t="n">
        <x:f>SIMPLE!G113</x:f>
        <x:v>22475.58</x:v>
      </x:c>
      <x:c r="M180" s="52" t="n">
        <x:f>RGM!G113</x:f>
        <x:v>26258.89</x:v>
      </x:c>
    </x:row>
    <x:row r="181">
      <x:c r="B181" s="51" t="n">
        <x:f>ANN!A113</x:f>
        <x:v>107</x:v>
      </x:c>
      <x:c r="C181" s="52" t="n">
        <x:f>ANN!H113</x:f>
        <x:v>3147288.9</x:v>
      </x:c>
      <x:c r="D181" s="52" t="n">
        <x:f>SIMPLE!H113</x:f>
        <x:v>3646037.89</x:v>
      </x:c>
      <x:c r="E181" s="52" t="n">
        <x:f>RGM!H113</x:f>
        <x:v>2477995.93</x:v>
      </x:c>
      <x:c r="F181" s="51"/>
      <x:c r="G181" s="51"/>
      <x:c r="H181" s="51"/>
      <x:c r="I181" s="51"/>
      <x:c r="J181" s="51" t="n">
        <x:f>ANN!A114</x:f>
        <x:v>108</x:v>
      </x:c>
      <x:c r="K181" s="52" t="n">
        <x:f>ANN!G114</x:f>
        <x:v>26003.2</x:v>
      </x:c>
      <x:c r="L181" s="52" t="n">
        <x:f>SIMPLE!G114</x:f>
        <x:v>23224.76</x:v>
      </x:c>
      <x:c r="M181" s="52" t="n">
        <x:f>RGM!G114</x:f>
        <x:v>26700.77</x:v>
      </x:c>
    </x:row>
    <x:row r="182">
      <x:c r="B182" s="51" t="n">
        <x:f>ANN!A114</x:f>
        <x:v>108</x:v>
      </x:c>
      <x:c r="C182" s="52" t="n">
        <x:f>ANN!H114</x:f>
        <x:v>3141333.5</x:v>
      </x:c>
      <x:c r="D182" s="52" t="n">
        <x:f>SIMPLE!H114</x:f>
        <x:v>3646037.89</x:v>
      </x:c>
      <x:c r="E182" s="52" t="n">
        <x:f>RGM!H114</x:f>
        <x:v>2467079.65</x:v>
      </x:c>
      <x:c r="F182" s="51"/>
      <x:c r="G182" s="51"/>
      <x:c r="H182" s="51"/>
      <x:c r="I182" s="51"/>
      <x:c r="J182" s="51" t="n">
        <x:f>ANN!A115</x:f>
        <x:v>109</x:v>
      </x:c>
      <x:c r="K182" s="52" t="n">
        <x:f>ANN!G115</x:f>
        <x:v>26003.2</x:v>
      </x:c>
      <x:c r="L182" s="52" t="n">
        <x:f>SIMPLE!G115</x:f>
        <x:v>23224.76</x:v>
      </x:c>
      <x:c r="M182" s="52" t="n">
        <x:f>RGM!G115</x:f>
        <x:v>26631.24</x:v>
      </x:c>
    </x:row>
    <x:row r="183">
      <x:c r="B183" s="51" t="n">
        <x:f>ANN!A115</x:f>
        <x:v>109</x:v>
      </x:c>
      <x:c r="C183" s="52" t="n">
        <x:f>ANN!H115</x:f>
        <x:v>3135340.16</x:v>
      </x:c>
      <x:c r="D183" s="52" t="n">
        <x:f>SIMPLE!H115</x:f>
        <x:v>3646037.89</x:v>
      </x:c>
      <x:c r="E183" s="52" t="n">
        <x:f>RGM!H115</x:f>
        <x:v>2456163.37</x:v>
      </x:c>
      <x:c r="F183" s="51"/>
      <x:c r="G183" s="51"/>
      <x:c r="H183" s="51"/>
      <x:c r="I183" s="51"/>
      <x:c r="J183" s="51" t="n">
        <x:f>ANN!A116</x:f>
        <x:v>110</x:v>
      </x:c>
      <x:c r="K183" s="52" t="n">
        <x:f>ANN!G116</x:f>
        <x:v>26003.2</x:v>
      </x:c>
      <x:c r="L183" s="52" t="n">
        <x:f>SIMPLE!G116</x:f>
        <x:v>22475.58</x:v>
      </x:c>
      <x:c r="M183" s="52" t="n">
        <x:f>RGM!G116</x:f>
        <x:v>26057.01</x:v>
      </x:c>
    </x:row>
    <x:row r="184">
      <x:c r="B184" s="51" t="n">
        <x:f>ANN!A116</x:f>
        <x:v>110</x:v>
      </x:c>
      <x:c r="C184" s="52" t="n">
        <x:f>ANN!H116</x:f>
        <x:v>3128664.4</x:v>
      </x:c>
      <x:c r="D184" s="52" t="n">
        <x:f>SIMPLE!H116</x:f>
        <x:v>3646037.89</x:v>
      </x:c>
      <x:c r="E184" s="52" t="n">
        <x:f>RGM!H116</x:f>
        <x:v>2445247.09</x:v>
      </x:c>
      <x:c r="F184" s="51"/>
      <x:c r="G184" s="51"/>
      <x:c r="H184" s="51"/>
      <x:c r="I184" s="51"/>
      <x:c r="J184" s="51" t="n">
        <x:f>ANN!A117</x:f>
        <x:v>111</x:v>
      </x:c>
      <x:c r="K184" s="52" t="n">
        <x:f>ANN!G117</x:f>
        <x:v>26003.2</x:v>
      </x:c>
      <x:c r="L184" s="52" t="n">
        <x:f>SIMPLE!G117</x:f>
        <x:v>23224.76</x:v>
      </x:c>
      <x:c r="M184" s="52" t="n">
        <x:f>RGM!G117</x:f>
        <x:v>26492.17</x:v>
      </x:c>
    </x:row>
    <x:row r="185">
      <x:c r="B185" s="51" t="n">
        <x:f>ANN!A117</x:f>
        <x:v>111</x:v>
      </x:c>
      <x:c r="C185" s="52" t="n">
        <x:f>ANN!H117</x:f>
        <x:v>3122590.36</x:v>
      </x:c>
      <x:c r="D185" s="52" t="n">
        <x:f>SIMPLE!H117</x:f>
        <x:v>3646037.89</x:v>
      </x:c>
      <x:c r="E185" s="52" t="n">
        <x:f>RGM!H117</x:f>
        <x:v>2434330.81</x:v>
      </x:c>
      <x:c r="F185" s="51"/>
      <x:c r="G185" s="51"/>
      <x:c r="H185" s="51"/>
      <x:c r="I185" s="51"/>
      <x:c r="J185" s="51" t="n">
        <x:f>ANN!A118</x:f>
        <x:v>112</x:v>
      </x:c>
      <x:c r="K185" s="52" t="n">
        <x:f>ANN!G118</x:f>
        <x:v>26003.2</x:v>
      </x:c>
      <x:c r="L185" s="52" t="n">
        <x:f>SIMPLE!G118</x:f>
        <x:v>22475.58</x:v>
      </x:c>
      <x:c r="M185" s="52" t="n">
        <x:f>RGM!G118</x:f>
        <x:v>25922.43</x:v>
      </x:c>
    </x:row>
    <x:row r="186">
      <x:c r="B186" s="51" t="n">
        <x:f>ANN!A118</x:f>
        <x:v>112</x:v>
      </x:c>
      <x:c r="C186" s="52" t="n">
        <x:f>ANN!H118</x:f>
        <x:v>3115836</x:v>
      </x:c>
      <x:c r="D186" s="52" t="n">
        <x:f>SIMPLE!H118</x:f>
        <x:v>3646037.89</x:v>
      </x:c>
      <x:c r="E186" s="52" t="n">
        <x:f>RGM!H118</x:f>
        <x:v>2423414.53</x:v>
      </x:c>
      <x:c r="F186" s="51"/>
      <x:c r="G186" s="51"/>
      <x:c r="H186" s="51"/>
      <x:c r="I186" s="51"/>
      <x:c r="J186" s="51" t="n">
        <x:f>ANN!A119</x:f>
        <x:v>113</x:v>
      </x:c>
      <x:c r="K186" s="52" t="n">
        <x:f>ANN!G119</x:f>
        <x:v>26003.2</x:v>
      </x:c>
      <x:c r="L186" s="52" t="n">
        <x:f>SIMPLE!G119</x:f>
        <x:v>23224.76</x:v>
      </x:c>
      <x:c r="M186" s="52" t="n">
        <x:f>RGM!G119</x:f>
        <x:v>26353.1</x:v>
      </x:c>
    </x:row>
    <x:row r="187">
      <x:c r="B187" s="51" t="n">
        <x:f>ANN!A119</x:f>
        <x:v>113</x:v>
      </x:c>
      <x:c r="C187" s="52" t="n">
        <x:f>ANN!H119</x:f>
        <x:v>3109680.25</x:v>
      </x:c>
      <x:c r="D187" s="52" t="n">
        <x:f>SIMPLE!H119</x:f>
        <x:v>3646037.89</x:v>
      </x:c>
      <x:c r="E187" s="52" t="n">
        <x:f>RGM!H119</x:f>
        <x:v>2412498.25</x:v>
      </x:c>
      <x:c r="F187" s="51"/>
      <x:c r="G187" s="51"/>
      <x:c r="H187" s="51"/>
      <x:c r="I187" s="51"/>
      <x:c r="J187" s="51" t="n">
        <x:f>ANN!A120</x:f>
        <x:v>114</x:v>
      </x:c>
      <x:c r="K187" s="52" t="n">
        <x:f>ANN!G120</x:f>
        <x:v>26003.2</x:v>
      </x:c>
      <x:c r="L187" s="52" t="n">
        <x:f>SIMPLE!G120</x:f>
        <x:v>23224.76</x:v>
      </x:c>
      <x:c r="M187" s="52" t="n">
        <x:f>RGM!G120</x:f>
        <x:v>26283.56</x:v>
      </x:c>
    </x:row>
    <x:row r="188">
      <x:c r="B188" s="51" t="n">
        <x:f>ANN!A120</x:f>
        <x:v>114</x:v>
      </x:c>
      <x:c r="C188" s="52" t="n">
        <x:f>ANN!H120</x:f>
        <x:v>3103485.29</x:v>
      </x:c>
      <x:c r="D188" s="52" t="n">
        <x:f>SIMPLE!H120</x:f>
        <x:v>3646037.89</x:v>
      </x:c>
      <x:c r="E188" s="52" t="n">
        <x:f>RGM!H120</x:f>
        <x:v>2401581.97</x:v>
      </x:c>
      <x:c r="F188" s="51"/>
      <x:c r="G188" s="51"/>
      <x:c r="H188" s="51"/>
      <x:c r="I188" s="51"/>
      <x:c r="J188" s="51" t="n">
        <x:f>ANN!A121</x:f>
        <x:v>115</x:v>
      </x:c>
      <x:c r="K188" s="52" t="n">
        <x:f>ANN!G121</x:f>
        <x:v>26003.2</x:v>
      </x:c>
      <x:c r="L188" s="52" t="n">
        <x:f>SIMPLE!G121</x:f>
        <x:v>21726.39</x:v>
      </x:c>
      <x:c r="M188" s="52" t="n">
        <x:f>RGM!G121</x:f>
        <x:v>25227.08</x:v>
      </x:c>
    </x:row>
    <x:row r="189">
      <x:c r="B189" s="51" t="n">
        <x:f>ANN!A121</x:f>
        <x:v>115</x:v>
      </x:c>
      <x:c r="C189" s="52" t="n">
        <x:f>ANN!H121</x:f>
        <x:v>3095975.46</x:v>
      </x:c>
      <x:c r="D189" s="52" t="n">
        <x:f>SIMPLE!H121</x:f>
        <x:v>3646037.89</x:v>
      </x:c>
      <x:c r="E189" s="52" t="n">
        <x:f>RGM!H121</x:f>
        <x:v>2390665.69</x:v>
      </x:c>
      <x:c r="F189" s="51"/>
      <x:c r="G189" s="51"/>
      <x:c r="H189" s="51"/>
      <x:c r="I189" s="51"/>
      <x:c r="J189" s="51" t="n">
        <x:f>ANN!A122</x:f>
        <x:v>116</x:v>
      </x:c>
      <x:c r="K189" s="52" t="n">
        <x:f>ANN!G122</x:f>
        <x:v>26003.2</x:v>
      </x:c>
      <x:c r="L189" s="52" t="n">
        <x:f>SIMPLE!G122</x:f>
        <x:v>23224.76</x:v>
      </x:c>
      <x:c r="M189" s="52" t="n">
        <x:f>RGM!G122</x:f>
        <x:v>26144.49</x:v>
      </x:c>
    </x:row>
    <x:row r="190">
      <x:c r="B190" s="51" t="n">
        <x:f>ANN!A122</x:f>
        <x:v>116</x:v>
      </x:c>
      <x:c r="C190" s="52" t="n">
        <x:f>ANN!H122</x:f>
        <x:v>3089693.2</x:v>
      </x:c>
      <x:c r="D190" s="52" t="n">
        <x:f>SIMPLE!H122</x:f>
        <x:v>3646037.89</x:v>
      </x:c>
      <x:c r="E190" s="52" t="n">
        <x:f>RGM!H122</x:f>
        <x:v>2379749.41</x:v>
      </x:c>
      <x:c r="F190" s="51"/>
      <x:c r="G190" s="51"/>
      <x:c r="H190" s="51"/>
      <x:c r="I190" s="51"/>
      <x:c r="J190" s="51" t="n">
        <x:f>ANN!A123</x:f>
        <x:v>117</x:v>
      </x:c>
      <x:c r="K190" s="52" t="n">
        <x:f>ANN!G123</x:f>
        <x:v>26003.2</x:v>
      </x:c>
      <x:c r="L190" s="52" t="n">
        <x:f>SIMPLE!G123</x:f>
        <x:v>22475.58</x:v>
      </x:c>
      <x:c r="M190" s="52" t="n">
        <x:f>RGM!G123</x:f>
        <x:v>25585.97</x:v>
      </x:c>
    </x:row>
    <x:row r="191">
      <x:c r="B191" s="51" t="n">
        <x:f>ANN!A123</x:f>
        <x:v>117</x:v>
      </x:c>
      <x:c r="C191" s="52" t="n">
        <x:f>ANN!H123</x:f>
        <x:v>3082736.05</x:v>
      </x:c>
      <x:c r="D191" s="52" t="n">
        <x:f>SIMPLE!H123</x:f>
        <x:v>3646037.89</x:v>
      </x:c>
      <x:c r="E191" s="52" t="n">
        <x:f>RGM!H123</x:f>
        <x:v>2368833.13</x:v>
      </x:c>
      <x:c r="F191" s="51"/>
      <x:c r="G191" s="51"/>
      <x:c r="H191" s="51"/>
      <x:c r="I191" s="51"/>
      <x:c r="J191" s="51" t="n">
        <x:f>ANN!A124</x:f>
        <x:v>118</x:v>
      </x:c>
      <x:c r="K191" s="52" t="n">
        <x:f>ANN!G124</x:f>
        <x:v>26003.2</x:v>
      </x:c>
      <x:c r="L191" s="52" t="n">
        <x:f>SIMPLE!G124</x:f>
        <x:v>23224.76</x:v>
      </x:c>
      <x:c r="M191" s="52" t="n">
        <x:f>RGM!G124</x:f>
        <x:v>26005.42</x:v>
      </x:c>
    </x:row>
    <x:row r="192">
      <x:c r="B192" s="51" t="n">
        <x:f>ANN!A124</x:f>
        <x:v>118</x:v>
      </x:c>
      <x:c r="C192" s="52" t="n">
        <x:f>ANN!H124</x:f>
        <x:v>3076369.46</x:v>
      </x:c>
      <x:c r="D192" s="52" t="n">
        <x:f>SIMPLE!H124</x:f>
        <x:v>3646037.89</x:v>
      </x:c>
      <x:c r="E192" s="52" t="n">
        <x:f>RGM!H124</x:f>
        <x:v>2357916.85</x:v>
      </x:c>
      <x:c r="F192" s="51"/>
      <x:c r="G192" s="51"/>
      <x:c r="H192" s="51"/>
      <x:c r="I192" s="51"/>
      <x:c r="J192" s="51" t="n">
        <x:f>ANN!A125</x:f>
        <x:v>119</x:v>
      </x:c>
      <x:c r="K192" s="52" t="n">
        <x:f>ANN!G125</x:f>
        <x:v>26003.2</x:v>
      </x:c>
      <x:c r="L192" s="52" t="n">
        <x:f>SIMPLE!G125</x:f>
        <x:v>22475.58</x:v>
      </x:c>
      <x:c r="M192" s="52" t="n">
        <x:f>RGM!G125</x:f>
        <x:v>25451.38</x:v>
      </x:c>
    </x:row>
    <x:row r="193">
      <x:c r="B193" s="51" t="n">
        <x:f>ANN!A125</x:f>
        <x:v>119</x:v>
      </x:c>
      <x:c r="C193" s="52" t="n">
        <x:f>ANN!H125</x:f>
        <x:v>3069330.18</x:v>
      </x:c>
      <x:c r="D193" s="52" t="n">
        <x:f>SIMPLE!H125</x:f>
        <x:v>3646037.89</x:v>
      </x:c>
      <x:c r="E193" s="52" t="n">
        <x:f>RGM!H125</x:f>
        <x:v>2347000.57</x:v>
      </x:c>
      <x:c r="F193" s="51"/>
      <x:c r="G193" s="51"/>
      <x:c r="H193" s="51"/>
      <x:c r="I193" s="51"/>
      <x:c r="J193" s="51" t="n">
        <x:f>ANN!A126</x:f>
        <x:v>120</x:v>
      </x:c>
      <x:c r="K193" s="52" t="n">
        <x:f>ANN!G126</x:f>
        <x:v>26003.2</x:v>
      </x:c>
      <x:c r="L193" s="52" t="n">
        <x:f>SIMPLE!G126</x:f>
        <x:v>23224.76</x:v>
      </x:c>
      <x:c r="M193" s="52" t="n">
        <x:f>RGM!G126</x:f>
        <x:v>25866.35</x:v>
      </x:c>
    </x:row>
    <x:row r="194">
      <x:c r="B194" s="51" t="n">
        <x:f>ANN!A126</x:f>
        <x:v>120</x:v>
      </x:c>
      <x:c r="C194" s="52" t="n">
        <x:f>ANN!H126</x:f>
        <x:v>3062878.19</x:v>
      </x:c>
      <x:c r="D194" s="52" t="n">
        <x:f>SIMPLE!H126</x:f>
        <x:v>3646037.89</x:v>
      </x:c>
      <x:c r="E194" s="52" t="n">
        <x:f>RGM!H126</x:f>
        <x:v>2336084.29</x:v>
      </x:c>
      <x:c r="F194" s="51"/>
      <x:c r="G194" s="51"/>
      <x:c r="H194" s="51"/>
      <x:c r="I194" s="51"/>
      <x:c r="J194" s="51" t="n">
        <x:f>ANN!A127</x:f>
        <x:v>121</x:v>
      </x:c>
      <x:c r="K194" s="52" t="n">
        <x:f>ANN!G127</x:f>
        <x:v>26003.2</x:v>
      </x:c>
      <x:c r="L194" s="52" t="n">
        <x:f>SIMPLE!G127</x:f>
        <x:v>23224.76</x:v>
      </x:c>
      <x:c r="M194" s="52" t="n">
        <x:f>RGM!G127</x:f>
        <x:v>25796.82</x:v>
      </x:c>
    </x:row>
    <x:row r="195">
      <x:c r="B195" s="51" t="n">
        <x:f>ANN!A127</x:f>
        <x:v>121</x:v>
      </x:c>
      <x:c r="C195" s="52" t="n">
        <x:f>ANN!H127</x:f>
        <x:v>3056385.1</x:v>
      </x:c>
      <x:c r="D195" s="52" t="n">
        <x:f>SIMPLE!H127</x:f>
        <x:v>3646037.89</x:v>
      </x:c>
      <x:c r="E195" s="52" t="n">
        <x:f>RGM!H127</x:f>
        <x:v>2325168.01</x:v>
      </x:c>
      <x:c r="F195" s="51"/>
      <x:c r="G195" s="51"/>
      <x:c r="H195" s="51"/>
      <x:c r="I195" s="51"/>
      <x:c r="J195" s="51" t="n">
        <x:f>ANN!A128</x:f>
        <x:v>122</x:v>
      </x:c>
      <x:c r="K195" s="52" t="n">
        <x:f>ANN!G128</x:f>
        <x:v>26003.2</x:v>
      </x:c>
      <x:c r="L195" s="52" t="n">
        <x:f>SIMPLE!G128</x:f>
        <x:v>22475.58</x:v>
      </x:c>
      <x:c r="M195" s="52" t="n">
        <x:f>RGM!G128</x:f>
        <x:v>25249.51</x:v>
      </x:c>
    </x:row>
    <x:row r="196">
      <x:c r="B196" s="51" t="n">
        <x:f>ANN!A128</x:f>
        <x:v>122</x:v>
      </x:c>
      <x:c r="C196" s="52" t="n">
        <x:f>ANN!H128</x:f>
        <x:v>3049222.63</x:v>
      </x:c>
      <x:c r="D196" s="52" t="n">
        <x:f>SIMPLE!H128</x:f>
        <x:v>3646037.89</x:v>
      </x:c>
      <x:c r="E196" s="52" t="n">
        <x:f>RGM!H128</x:f>
        <x:v>2314251.73</x:v>
      </x:c>
      <x:c r="F196" s="51"/>
      <x:c r="G196" s="51"/>
      <x:c r="H196" s="51"/>
      <x:c r="I196" s="51"/>
      <x:c r="J196" s="51" t="n">
        <x:f>ANN!A129</x:f>
        <x:v>123</x:v>
      </x:c>
      <x:c r="K196" s="52" t="n">
        <x:f>ANN!G129</x:f>
        <x:v>26003.2</x:v>
      </x:c>
      <x:c r="L196" s="52" t="n">
        <x:f>SIMPLE!G129</x:f>
        <x:v>23224.76</x:v>
      </x:c>
      <x:c r="M196" s="52" t="n">
        <x:f>RGM!G129</x:f>
        <x:v>25657.75</x:v>
      </x:c>
    </x:row>
    <x:row r="197">
      <x:c r="B197" s="51" t="n">
        <x:f>ANN!A129</x:f>
        <x:v>123</x:v>
      </x:c>
      <x:c r="C197" s="52" t="n">
        <x:f>ANN!H129</x:f>
        <x:v>3042642.56</x:v>
      </x:c>
      <x:c r="D197" s="52" t="n">
        <x:f>SIMPLE!H129</x:f>
        <x:v>3646037.89</x:v>
      </x:c>
      <x:c r="E197" s="52" t="n">
        <x:f>RGM!H129</x:f>
        <x:v>2303335.45</x:v>
      </x:c>
      <x:c r="F197" s="51"/>
      <x:c r="G197" s="51"/>
      <x:c r="H197" s="51"/>
      <x:c r="I197" s="51"/>
      <x:c r="J197" s="51" t="n">
        <x:f>ANN!A130</x:f>
        <x:v>124</x:v>
      </x:c>
      <x:c r="K197" s="52" t="n">
        <x:f>ANN!G130</x:f>
        <x:v>26003.2</x:v>
      </x:c>
      <x:c r="L197" s="52" t="n">
        <x:f>SIMPLE!G130</x:f>
        <x:v>22475.58</x:v>
      </x:c>
      <x:c r="M197" s="52" t="n">
        <x:f>RGM!G130</x:f>
        <x:v>25114.92</x:v>
      </x:c>
    </x:row>
    <x:row r="198">
      <x:c r="B198" s="51" t="n">
        <x:f>ANN!A130</x:f>
        <x:v>124</x:v>
      </x:c>
      <x:c r="C198" s="52" t="n">
        <x:f>ANN!H130</x:f>
        <x:v>3035395.38</x:v>
      </x:c>
      <x:c r="D198" s="52" t="n">
        <x:f>SIMPLE!H130</x:f>
        <x:v>3646037.89</x:v>
      </x:c>
      <x:c r="E198" s="52" t="n">
        <x:f>RGM!H130</x:f>
        <x:v>2292419.17</x:v>
      </x:c>
      <x:c r="F198" s="51"/>
      <x:c r="G198" s="51"/>
      <x:c r="H198" s="51"/>
      <x:c r="I198" s="51"/>
      <x:c r="J198" s="51" t="n">
        <x:f>ANN!A131</x:f>
        <x:v>125</x:v>
      </x:c>
      <x:c r="K198" s="52" t="n">
        <x:f>ANN!G131</x:f>
        <x:v>26003.2</x:v>
      </x:c>
      <x:c r="L198" s="52" t="n">
        <x:f>SIMPLE!G131</x:f>
        <x:v>23224.76</x:v>
      </x:c>
      <x:c r="M198" s="52" t="n">
        <x:f>RGM!G131</x:f>
        <x:v>25518.68</x:v>
      </x:c>
    </x:row>
    <x:row r="199">
      <x:c r="B199" s="51" t="n">
        <x:f>ANN!A131</x:f>
        <x:v>125</x:v>
      </x:c>
      <x:c r="C199" s="52" t="n">
        <x:f>ANN!H131</x:f>
        <x:v>3028727.23</x:v>
      </x:c>
      <x:c r="D199" s="52" t="n">
        <x:f>SIMPLE!H131</x:f>
        <x:v>3646037.89</x:v>
      </x:c>
      <x:c r="E199" s="52" t="n">
        <x:f>RGM!H131</x:f>
        <x:v>2281502.89</x:v>
      </x:c>
      <x:c r="F199" s="51"/>
      <x:c r="G199" s="51"/>
      <x:c r="H199" s="51"/>
      <x:c r="I199" s="51"/>
      <x:c r="J199" s="51" t="n">
        <x:f>ANN!A132</x:f>
        <x:v>126</x:v>
      </x:c>
      <x:c r="K199" s="52" t="n">
        <x:f>ANN!G132</x:f>
        <x:v>26003.2</x:v>
      </x:c>
      <x:c r="L199" s="52" t="n">
        <x:f>SIMPLE!G132</x:f>
        <x:v>23224.76</x:v>
      </x:c>
      <x:c r="M199" s="52" t="n">
        <x:f>RGM!G132</x:f>
        <x:v>25449.14</x:v>
      </x:c>
    </x:row>
    <x:row r="200">
      <x:c r="B200" s="51" t="n">
        <x:f>ANN!A132</x:f>
        <x:v>126</x:v>
      </x:c>
      <x:c r="C200" s="52" t="n">
        <x:f>ANN!H132</x:f>
        <x:v>3022016.61</x:v>
      </x:c>
      <x:c r="D200" s="52" t="n">
        <x:f>SIMPLE!H132</x:f>
        <x:v>3646037.89</x:v>
      </x:c>
      <x:c r="E200" s="52" t="n">
        <x:f>RGM!H132</x:f>
        <x:v>2270586.61</x:v>
      </x:c>
      <x:c r="F200" s="51"/>
      <x:c r="G200" s="51"/>
      <x:c r="H200" s="51"/>
      <x:c r="I200" s="51"/>
      <x:c r="J200" s="51" t="n">
        <x:f>ANN!A133</x:f>
        <x:v>127</x:v>
      </x:c>
      <x:c r="K200" s="52" t="n">
        <x:f>ANN!G133</x:f>
        <x:v>26003.2</x:v>
      </x:c>
      <x:c r="L200" s="52" t="n">
        <x:f>SIMPLE!G133</x:f>
        <x:v>20977.2</x:v>
      </x:c>
      <x:c r="M200" s="52" t="n">
        <x:f>RGM!G133</x:f>
        <x:v>23979.93</x:v>
      </x:c>
    </x:row>
    <x:row r="201">
      <x:c r="B201" s="51" t="n">
        <x:f>ANN!A133</x:f>
        <x:v>127</x:v>
      </x:c>
      <x:c r="C201" s="52" t="n">
        <x:f>ANN!H133</x:f>
        <x:v>3013400.35</x:v>
      </x:c>
      <x:c r="D201" s="52" t="n">
        <x:f>SIMPLE!H133</x:f>
        <x:v>3646037.89</x:v>
      </x:c>
      <x:c r="E201" s="52" t="n">
        <x:f>RGM!H133</x:f>
        <x:v>2259670.33</x:v>
      </x:c>
      <x:c r="F201" s="51"/>
      <x:c r="G201" s="51"/>
      <x:c r="H201" s="51"/>
      <x:c r="I201" s="51"/>
      <x:c r="J201" s="51" t="n">
        <x:f>ANN!A134</x:f>
        <x:v>128</x:v>
      </x:c>
      <x:c r="K201" s="52" t="n">
        <x:f>ANN!G134</x:f>
        <x:v>26003.2</x:v>
      </x:c>
      <x:c r="L201" s="52" t="n">
        <x:f>SIMPLE!G134</x:f>
        <x:v>23224.76</x:v>
      </x:c>
      <x:c r="M201" s="52" t="n">
        <x:f>RGM!G134</x:f>
        <x:v>25310.07</x:v>
      </x:c>
    </x:row>
    <x:row r="202">
      <x:c r="B202" s="51" t="n">
        <x:f>ANN!A134</x:f>
        <x:v>128</x:v>
      </x:c>
      <x:c r="C202" s="52" t="n">
        <x:f>ANN!H134</x:f>
        <x:v>3006592.1</x:v>
      </x:c>
      <x:c r="D202" s="52" t="n">
        <x:f>SIMPLE!H134</x:f>
        <x:v>3646037.89</x:v>
      </x:c>
      <x:c r="E202" s="52" t="n">
        <x:f>RGM!H134</x:f>
        <x:v>2248754.05</x:v>
      </x:c>
      <x:c r="F202" s="51"/>
      <x:c r="G202" s="51"/>
      <x:c r="H202" s="51"/>
      <x:c r="I202" s="51"/>
      <x:c r="J202" s="51" t="n">
        <x:f>ANN!A135</x:f>
        <x:v>129</x:v>
      </x:c>
      <x:c r="K202" s="52" t="n">
        <x:f>ANN!G135</x:f>
        <x:v>26003.2</x:v>
      </x:c>
      <x:c r="L202" s="52" t="n">
        <x:f>SIMPLE!G135</x:f>
        <x:v>22475.58</x:v>
      </x:c>
      <x:c r="M202" s="52" t="n">
        <x:f>RGM!G135</x:f>
        <x:v>24778.46</x:v>
      </x:c>
    </x:row>
    <x:row r="203">
      <x:c r="B203" s="51" t="n">
        <x:f>ANN!A135</x:f>
        <x:v>129</x:v>
      </x:c>
      <x:c r="C203" s="52" t="n">
        <x:f>ANN!H135</x:f>
        <x:v>2999122.69</x:v>
      </x:c>
      <x:c r="D203" s="52" t="n">
        <x:f>SIMPLE!H135</x:f>
        <x:v>3646037.89</x:v>
      </x:c>
      <x:c r="E203" s="52" t="n">
        <x:f>RGM!H135</x:f>
        <x:v>2237837.77</x:v>
      </x:c>
      <x:c r="F203" s="51"/>
      <x:c r="G203" s="51"/>
      <x:c r="H203" s="51"/>
      <x:c r="I203" s="51"/>
      <x:c r="J203" s="51" t="n">
        <x:f>ANN!A136</x:f>
        <x:v>130</x:v>
      </x:c>
      <x:c r="K203" s="52" t="n">
        <x:f>ANN!G136</x:f>
        <x:v>26003.2</x:v>
      </x:c>
      <x:c r="L203" s="52" t="n">
        <x:f>SIMPLE!G136</x:f>
        <x:v>23224.76</x:v>
      </x:c>
      <x:c r="M203" s="52" t="n">
        <x:f>RGM!G136</x:f>
        <x:v>25171</x:v>
      </x:c>
    </x:row>
    <x:row r="204">
      <x:c r="B204" s="51" t="n">
        <x:f>ANN!A136</x:f>
        <x:v>130</x:v>
      </x:c>
      <x:c r="C204" s="52" t="n">
        <x:f>ANN!H136</x:f>
        <x:v>2992223.49</x:v>
      </x:c>
      <x:c r="D204" s="52" t="n">
        <x:f>SIMPLE!H136</x:f>
        <x:v>3646037.89</x:v>
      </x:c>
      <x:c r="E204" s="52" t="n">
        <x:f>RGM!H136</x:f>
        <x:v>2226921.49</x:v>
      </x:c>
      <x:c r="F204" s="51"/>
      <x:c r="G204" s="51"/>
      <x:c r="H204" s="51"/>
      <x:c r="I204" s="51"/>
      <x:c r="J204" s="51" t="n">
        <x:f>ANN!A137</x:f>
        <x:v>131</x:v>
      </x:c>
      <x:c r="K204" s="52" t="n">
        <x:f>ANN!G137</x:f>
        <x:v>26003.2</x:v>
      </x:c>
      <x:c r="L204" s="52" t="n">
        <x:f>SIMPLE!G137</x:f>
        <x:v>22475.58</x:v>
      </x:c>
      <x:c r="M204" s="52" t="n">
        <x:f>RGM!G137</x:f>
        <x:v>24643.88</x:v>
      </x:c>
    </x:row>
    <x:row r="205">
      <x:c r="B205" s="51" t="n">
        <x:f>ANN!A137</x:f>
        <x:v>131</x:v>
      </x:c>
      <x:c r="C205" s="52" t="n">
        <x:f>ANN!H137</x:f>
        <x:v>2984665.5</x:v>
      </x:c>
      <x:c r="D205" s="52" t="n">
        <x:f>SIMPLE!H137</x:f>
        <x:v>3646037.89</x:v>
      </x:c>
      <x:c r="E205" s="52" t="n">
        <x:f>RGM!H137</x:f>
        <x:v>2216005.21</x:v>
      </x:c>
      <x:c r="F205" s="51"/>
      <x:c r="G205" s="51"/>
      <x:c r="H205" s="51"/>
      <x:c r="I205" s="51"/>
      <x:c r="J205" s="51" t="n">
        <x:f>ANN!A138</x:f>
        <x:v>132</x:v>
      </x:c>
      <x:c r="K205" s="52" t="n">
        <x:f>ANN!G138</x:f>
        <x:v>26003.2</x:v>
      </x:c>
      <x:c r="L205" s="52" t="n">
        <x:f>SIMPLE!G138</x:f>
        <x:v>23224.76</x:v>
      </x:c>
      <x:c r="M205" s="52" t="n">
        <x:f>RGM!G138</x:f>
        <x:v>25031.93</x:v>
      </x:c>
    </x:row>
    <x:row r="206">
      <x:c r="B206" s="51" t="n">
        <x:f>ANN!A138</x:f>
        <x:v>132</x:v>
      </x:c>
      <x:c r="C206" s="52" t="n">
        <x:f>ANN!H138</x:f>
        <x:v>2977674.21</x:v>
      </x:c>
      <x:c r="D206" s="52" t="n">
        <x:f>SIMPLE!H138</x:f>
        <x:v>3646037.89</x:v>
      </x:c>
      <x:c r="E206" s="52" t="n">
        <x:f>RGM!H138</x:f>
        <x:v>2205088.93</x:v>
      </x:c>
      <x:c r="F206" s="51"/>
      <x:c r="G206" s="51"/>
      <x:c r="H206" s="51"/>
      <x:c r="I206" s="51"/>
      <x:c r="J206" s="51" t="n">
        <x:f>ANN!A139</x:f>
        <x:v>133</x:v>
      </x:c>
      <x:c r="K206" s="52" t="n">
        <x:f>ANN!G139</x:f>
        <x:v>26003.2</x:v>
      </x:c>
      <x:c r="L206" s="52" t="n">
        <x:f>SIMPLE!G139</x:f>
        <x:v>23224.76</x:v>
      </x:c>
      <x:c r="M206" s="52" t="n">
        <x:f>RGM!G139</x:f>
        <x:v>24962.39</x:v>
      </x:c>
    </x:row>
    <x:row r="207">
      <x:c r="B207" s="51" t="n">
        <x:f>ANN!A139</x:f>
        <x:v>133</x:v>
      </x:c>
      <x:c r="C207" s="52" t="n">
        <x:f>ANN!H139</x:f>
        <x:v>2970638.39</x:v>
      </x:c>
      <x:c r="D207" s="52" t="n">
        <x:f>SIMPLE!H139</x:f>
        <x:v>3646037.89</x:v>
      </x:c>
      <x:c r="E207" s="52" t="n">
        <x:f>RGM!H139</x:f>
        <x:v>2194172.65</x:v>
      </x:c>
      <x:c r="F207" s="51"/>
      <x:c r="G207" s="51"/>
      <x:c r="H207" s="51"/>
      <x:c r="I207" s="51"/>
      <x:c r="J207" s="51" t="n">
        <x:f>ANN!A140</x:f>
        <x:v>134</x:v>
      </x:c>
      <x:c r="K207" s="52" t="n">
        <x:f>ANN!G140</x:f>
        <x:v>26003.2</x:v>
      </x:c>
      <x:c r="L207" s="52" t="n">
        <x:f>SIMPLE!G140</x:f>
        <x:v>22475.58</x:v>
      </x:c>
      <x:c r="M207" s="52" t="n">
        <x:f>RGM!G140</x:f>
        <x:v>24442</x:v>
      </x:c>
    </x:row>
    <x:row r="208">
      <x:c r="B208" s="51" t="n">
        <x:f>ANN!A140</x:f>
        <x:v>134</x:v>
      </x:c>
      <x:c r="C208" s="52" t="n">
        <x:f>ANN!H140</x:f>
        <x:v>2962947.34</x:v>
      </x:c>
      <x:c r="D208" s="52" t="n">
        <x:f>SIMPLE!H140</x:f>
        <x:v>3646037.89</x:v>
      </x:c>
      <x:c r="E208" s="52" t="n">
        <x:f>RGM!H140</x:f>
        <x:v>2183256.37</x:v>
      </x:c>
      <x:c r="F208" s="51"/>
      <x:c r="G208" s="51"/>
      <x:c r="H208" s="51"/>
      <x:c r="I208" s="51"/>
      <x:c r="J208" s="51" t="n">
        <x:f>ANN!A141</x:f>
        <x:v>135</x:v>
      </x:c>
      <x:c r="K208" s="52" t="n">
        <x:f>ANN!G141</x:f>
        <x:v>26003.2</x:v>
      </x:c>
      <x:c r="L208" s="52" t="n">
        <x:f>SIMPLE!G141</x:f>
        <x:v>23224.76</x:v>
      </x:c>
      <x:c r="M208" s="52" t="n">
        <x:f>RGM!G141</x:f>
        <x:v>24823.32</x:v>
      </x:c>
    </x:row>
    <x:row r="209">
      <x:c r="B209" s="51" t="n">
        <x:f>ANN!A141</x:f>
        <x:v>135</x:v>
      </x:c>
      <x:c r="C209" s="52" t="n">
        <x:f>ANN!H141</x:f>
        <x:v>2955817.71</x:v>
      </x:c>
      <x:c r="D209" s="52" t="n">
        <x:f>SIMPLE!H141</x:f>
        <x:v>3646037.89</x:v>
      </x:c>
      <x:c r="E209" s="52" t="n">
        <x:f>RGM!H141</x:f>
        <x:v>2172340.09</x:v>
      </x:c>
      <x:c r="F209" s="51"/>
      <x:c r="G209" s="51"/>
      <x:c r="H209" s="51"/>
      <x:c r="I209" s="51"/>
      <x:c r="J209" s="51" t="n">
        <x:f>ANN!A142</x:f>
        <x:v>136</x:v>
      </x:c>
      <x:c r="K209" s="52" t="n">
        <x:f>ANN!G142</x:f>
        <x:v>26003.2</x:v>
      </x:c>
      <x:c r="L209" s="52" t="n">
        <x:f>SIMPLE!G142</x:f>
        <x:v>22475.58</x:v>
      </x:c>
      <x:c r="M209" s="52" t="n">
        <x:f>RGM!G142</x:f>
        <x:v>24307.42</x:v>
      </x:c>
    </x:row>
    <x:row r="210">
      <x:c r="B210" s="51" t="n">
        <x:f>ANN!A142</x:f>
        <x:v>136</x:v>
      </x:c>
      <x:c r="C210" s="52" t="n">
        <x:f>ANN!H142</x:f>
        <x:v>2948035.3</x:v>
      </x:c>
      <x:c r="D210" s="52" t="n">
        <x:f>SIMPLE!H142</x:f>
        <x:v>3646037.89</x:v>
      </x:c>
      <x:c r="E210" s="52" t="n">
        <x:f>RGM!H142</x:f>
        <x:v>2161423.81</x:v>
      </x:c>
      <x:c r="F210" s="51"/>
      <x:c r="G210" s="51"/>
      <x:c r="H210" s="51"/>
      <x:c r="I210" s="51"/>
      <x:c r="J210" s="51" t="n">
        <x:f>ANN!A143</x:f>
        <x:v>137</x:v>
      </x:c>
      <x:c r="K210" s="52" t="n">
        <x:f>ANN!G143</x:f>
        <x:v>26003.2</x:v>
      </x:c>
      <x:c r="L210" s="52" t="n">
        <x:f>SIMPLE!G143</x:f>
        <x:v>23224.76</x:v>
      </x:c>
      <x:c r="M210" s="52" t="n">
        <x:f>RGM!G143</x:f>
        <x:v>24684.25</x:v>
      </x:c>
    </x:row>
    <x:row r="211">
      <x:c r="B211" s="51" t="n">
        <x:f>ANN!A143</x:f>
        <x:v>137</x:v>
      </x:c>
      <x:c r="C211" s="52" t="n">
        <x:f>ANN!H143</x:f>
        <x:v>2940810.68</x:v>
      </x:c>
      <x:c r="D211" s="52" t="n">
        <x:f>SIMPLE!H143</x:f>
        <x:v>3646037.89</x:v>
      </x:c>
      <x:c r="E211" s="52" t="n">
        <x:f>RGM!H143</x:f>
        <x:v>2150507.53</x:v>
      </x:c>
      <x:c r="F211" s="51"/>
      <x:c r="G211" s="51"/>
      <x:c r="H211" s="51"/>
      <x:c r="I211" s="51"/>
      <x:c r="J211" s="51" t="n">
        <x:f>ANN!A144</x:f>
        <x:v>138</x:v>
      </x:c>
      <x:c r="K211" s="52" t="n">
        <x:f>ANN!G144</x:f>
        <x:v>26003.2</x:v>
      </x:c>
      <x:c r="L211" s="52" t="n">
        <x:f>SIMPLE!G144</x:f>
        <x:v>23224.76</x:v>
      </x:c>
      <x:c r="M211" s="52" t="n">
        <x:f>RGM!G144</x:f>
        <x:v>24614.72</x:v>
      </x:c>
    </x:row>
    <x:row r="212">
      <x:c r="B212" s="51" t="n">
        <x:f>ANN!A144</x:f>
        <x:v>138</x:v>
      </x:c>
      <x:c r="C212" s="52" t="n">
        <x:f>ANN!H144</x:f>
        <x:v>2933540.04</x:v>
      </x:c>
      <x:c r="D212" s="52" t="n">
        <x:f>SIMPLE!H144</x:f>
        <x:v>3646037.89</x:v>
      </x:c>
      <x:c r="E212" s="52" t="n">
        <x:f>RGM!H144</x:f>
        <x:v>2139591.25</x:v>
      </x:c>
      <x:c r="F212" s="51"/>
      <x:c r="G212" s="51"/>
      <x:c r="H212" s="51"/>
      <x:c r="I212" s="51"/>
      <x:c r="J212" s="51" t="n">
        <x:f>ANN!A145</x:f>
        <x:v>139</x:v>
      </x:c>
      <x:c r="K212" s="52" t="n">
        <x:f>ANN!G145</x:f>
        <x:v>26003.2</x:v>
      </x:c>
      <x:c r="L212" s="52" t="n">
        <x:f>SIMPLE!G145</x:f>
        <x:v>20977.2</x:v>
      </x:c>
      <x:c r="M212" s="52" t="n">
        <x:f>RGM!G145</x:f>
        <x:v>23226.26</x:v>
      </x:c>
    </x:row>
    <x:row r="213">
      <x:c r="B213" s="51" t="n">
        <x:f>ANN!A145</x:f>
        <x:v>139</x:v>
      </x:c>
      <x:c r="C213" s="52" t="n">
        <x:f>ANN!H145</x:f>
        <x:v>2924414.74</x:v>
      </x:c>
      <x:c r="D213" s="52" t="n">
        <x:f>SIMPLE!H145</x:f>
        <x:v>3646037.89</x:v>
      </x:c>
      <x:c r="E213" s="52" t="n">
        <x:f>RGM!H145</x:f>
        <x:v>2128674.97</x:v>
      </x:c>
      <x:c r="F213" s="51"/>
      <x:c r="G213" s="51"/>
      <x:c r="H213" s="51"/>
      <x:c r="I213" s="51"/>
      <x:c r="J213" s="51" t="n">
        <x:f>ANN!A146</x:f>
        <x:v>140</x:v>
      </x:c>
      <x:c r="K213" s="52" t="n">
        <x:f>ANN!G146</x:f>
        <x:v>26003.2</x:v>
      </x:c>
      <x:c r="L213" s="52" t="n">
        <x:f>SIMPLE!G146</x:f>
        <x:v>23224.76</x:v>
      </x:c>
      <x:c r="M213" s="52" t="n">
        <x:f>RGM!G146</x:f>
        <x:v>24475.65</x:v>
      </x:c>
    </x:row>
    <x:row r="214">
      <x:c r="B214" s="51" t="n">
        <x:f>ANN!A146</x:f>
        <x:v>140</x:v>
      </x:c>
      <x:c r="C214" s="52" t="n">
        <x:f>ANN!H146</x:f>
        <x:v>2917039.66</x:v>
      </x:c>
      <x:c r="D214" s="52" t="n">
        <x:f>SIMPLE!H146</x:f>
        <x:v>3646037.89</x:v>
      </x:c>
      <x:c r="E214" s="52" t="n">
        <x:f>RGM!H146</x:f>
        <x:v>2117758.69</x:v>
      </x:c>
      <x:c r="F214" s="51"/>
      <x:c r="G214" s="51"/>
      <x:c r="H214" s="51"/>
      <x:c r="I214" s="51"/>
      <x:c r="J214" s="51" t="n">
        <x:f>ANN!A147</x:f>
        <x:v>141</x:v>
      </x:c>
      <x:c r="K214" s="52" t="n">
        <x:f>ANN!G147</x:f>
        <x:v>26003.2</x:v>
      </x:c>
      <x:c r="L214" s="52" t="n">
        <x:f>SIMPLE!G147</x:f>
        <x:v>22475.58</x:v>
      </x:c>
      <x:c r="M214" s="52" t="n">
        <x:f>RGM!G147</x:f>
        <x:v>23970.96</x:v>
      </x:c>
    </x:row>
    <x:row r="215">
      <x:c r="B215" s="51" t="n">
        <x:f>ANN!A147</x:f>
        <x:v>141</x:v>
      </x:c>
      <x:c r="C215" s="52" t="n">
        <x:f>ANN!H147</x:f>
        <x:v>2909018.21</x:v>
      </x:c>
      <x:c r="D215" s="52" t="n">
        <x:f>SIMPLE!H147</x:f>
        <x:v>3646037.89</x:v>
      </x:c>
      <x:c r="E215" s="52" t="n">
        <x:f>RGM!H147</x:f>
        <x:v>2106842.41</x:v>
      </x:c>
      <x:c r="F215" s="51"/>
      <x:c r="G215" s="51"/>
      <x:c r="H215" s="51"/>
      <x:c r="I215" s="51"/>
      <x:c r="J215" s="51" t="n">
        <x:f>ANN!A148</x:f>
        <x:v>142</x:v>
      </x:c>
      <x:c r="K215" s="52" t="n">
        <x:f>ANN!G148</x:f>
        <x:v>26003.2</x:v>
      </x:c>
      <x:c r="L215" s="52" t="n">
        <x:f>SIMPLE!G148</x:f>
        <x:v>23224.76</x:v>
      </x:c>
      <x:c r="M215" s="52" t="n">
        <x:f>RGM!G148</x:f>
        <x:v>24336.58</x:v>
      </x:c>
    </x:row>
    <x:row r="216">
      <x:c r="B216" s="51" t="n">
        <x:f>ANN!A148</x:f>
        <x:v>142</x:v>
      </x:c>
      <x:c r="C216" s="52" t="n">
        <x:f>ANN!H148</x:f>
        <x:v>2901545.06</x:v>
      </x:c>
      <x:c r="D216" s="52" t="n">
        <x:f>SIMPLE!H148</x:f>
        <x:v>3646037.89</x:v>
      </x:c>
      <x:c r="E216" s="52" t="n">
        <x:f>RGM!H148</x:f>
        <x:v>2095926.13</x:v>
      </x:c>
      <x:c r="F216" s="51"/>
      <x:c r="G216" s="51"/>
      <x:c r="H216" s="51"/>
      <x:c r="I216" s="51"/>
      <x:c r="J216" s="51" t="n">
        <x:f>ANN!A149</x:f>
        <x:v>143</x:v>
      </x:c>
      <x:c r="K216" s="52" t="n">
        <x:f>ANN!G149</x:f>
        <x:v>26003.2</x:v>
      </x:c>
      <x:c r="L216" s="52" t="n">
        <x:f>SIMPLE!G149</x:f>
        <x:v>22475.58</x:v>
      </x:c>
      <x:c r="M216" s="52" t="n">
        <x:f>RGM!G149</x:f>
        <x:v>23836.37</x:v>
      </x:c>
    </x:row>
    <x:row r="217">
      <x:c r="B217" s="51" t="n">
        <x:f>ANN!A149</x:f>
        <x:v>143</x:v>
      </x:c>
      <x:c r="C217" s="52" t="n">
        <x:f>ANN!H149</x:f>
        <x:v>2893428.1</x:v>
      </x:c>
      <x:c r="D217" s="52" t="n">
        <x:f>SIMPLE!H149</x:f>
        <x:v>3646037.89</x:v>
      </x:c>
      <x:c r="E217" s="52" t="n">
        <x:f>RGM!H149</x:f>
        <x:v>2085009.85</x:v>
      </x:c>
      <x:c r="F217" s="51"/>
      <x:c r="G217" s="51"/>
      <x:c r="H217" s="51"/>
      <x:c r="I217" s="51"/>
      <x:c r="J217" s="51" t="n">
        <x:f>ANN!A150</x:f>
        <x:v>144</x:v>
      </x:c>
      <x:c r="K217" s="52" t="n">
        <x:f>ANN!G150</x:f>
        <x:v>26003.2</x:v>
      </x:c>
      <x:c r="L217" s="52" t="n">
        <x:f>SIMPLE!G150</x:f>
        <x:v>23224.76</x:v>
      </x:c>
      <x:c r="M217" s="52" t="n">
        <x:f>RGM!G150</x:f>
        <x:v>24197.51</x:v>
      </x:c>
    </x:row>
    <x:row r="218">
      <x:c r="B218" s="51" t="n">
        <x:f>ANN!A150</x:f>
        <x:v>144</x:v>
      </x:c>
      <x:c r="C218" s="52" t="n">
        <x:f>ANN!H150</x:f>
        <x:v>2885855.64</x:v>
      </x:c>
      <x:c r="D218" s="52" t="n">
        <x:f>SIMPLE!H150</x:f>
        <x:v>3646037.89</x:v>
      </x:c>
      <x:c r="E218" s="52" t="n">
        <x:f>RGM!H150</x:f>
        <x:v>2074093.57</x:v>
      </x:c>
      <x:c r="F218" s="51"/>
      <x:c r="G218" s="51"/>
      <x:c r="H218" s="51"/>
      <x:c r="I218" s="51"/>
      <x:c r="J218" s="51" t="n">
        <x:f>ANN!A151</x:f>
        <x:v>145</x:v>
      </x:c>
      <x:c r="K218" s="52" t="n">
        <x:f>ANN!G151</x:f>
        <x:v>26003.2</x:v>
      </x:c>
      <x:c r="L218" s="52" t="n">
        <x:f>SIMPLE!G151</x:f>
        <x:v>23224.76</x:v>
      </x:c>
      <x:c r="M218" s="52" t="n">
        <x:f>RGM!G151</x:f>
        <x:v>24127.97</x:v>
      </x:c>
    </x:row>
    <x:row r="219">
      <x:c r="B219" s="51" t="n">
        <x:f>ANN!A151</x:f>
        <x:v>145</x:v>
      </x:c>
      <x:c r="C219" s="52" t="n">
        <x:f>ANN!H151</x:f>
        <x:v>2878234.95</x:v>
      </x:c>
      <x:c r="D219" s="52" t="n">
        <x:f>SIMPLE!H151</x:f>
        <x:v>3646037.89</x:v>
      </x:c>
      <x:c r="E219" s="52" t="n">
        <x:f>RGM!H151</x:f>
        <x:v>2063177.29</x:v>
      </x:c>
      <x:c r="F219" s="51"/>
      <x:c r="G219" s="51"/>
      <x:c r="H219" s="51"/>
      <x:c r="I219" s="51"/>
      <x:c r="J219" s="51" t="n">
        <x:f>ANN!A152</x:f>
        <x:v>146</x:v>
      </x:c>
      <x:c r="K219" s="52" t="n">
        <x:f>ANN!G152</x:f>
        <x:v>26003.2</x:v>
      </x:c>
      <x:c r="L219" s="52" t="n">
        <x:f>SIMPLE!G152</x:f>
        <x:v>22475.58</x:v>
      </x:c>
      <x:c r="M219" s="52" t="n">
        <x:f>RGM!G152</x:f>
        <x:v>23634.5</x:v>
      </x:c>
    </x:row>
    <x:row r="220">
      <x:c r="B220" s="51" t="n">
        <x:f>ANN!A152</x:f>
        <x:v>146</x:v>
      </x:c>
      <x:c r="C220" s="52" t="n">
        <x:f>ANN!H152</x:f>
        <x:v>2869974.29</x:v>
      </x:c>
      <x:c r="D220" s="52" t="n">
        <x:f>SIMPLE!H152</x:f>
        <x:v>3646037.89</x:v>
      </x:c>
      <x:c r="E220" s="52" t="n">
        <x:f>RGM!H152</x:f>
        <x:v>2052261.01</x:v>
      </x:c>
      <x:c r="F220" s="51"/>
      <x:c r="G220" s="51"/>
      <x:c r="H220" s="51"/>
      <x:c r="I220" s="51"/>
      <x:c r="J220" s="51" t="n">
        <x:f>ANN!A153</x:f>
        <x:v>147</x:v>
      </x:c>
      <x:c r="K220" s="52" t="n">
        <x:f>ANN!G153</x:f>
        <x:v>26003.2</x:v>
      </x:c>
      <x:c r="L220" s="52" t="n">
        <x:f>SIMPLE!G153</x:f>
        <x:v>23224.76</x:v>
      </x:c>
      <x:c r="M220" s="52" t="n">
        <x:f>RGM!G153</x:f>
        <x:v>23988.9</x:v>
      </x:c>
    </x:row>
    <x:row r="221">
      <x:c r="B221" s="51" t="n">
        <x:f>ANN!A153</x:f>
        <x:v>147</x:v>
      </x:c>
      <x:c r="C221" s="52" t="n">
        <x:f>ANN!H153</x:f>
        <x:v>2862252.43</x:v>
      </x:c>
      <x:c r="D221" s="52" t="n">
        <x:f>SIMPLE!H153</x:f>
        <x:v>3646037.89</x:v>
      </x:c>
      <x:c r="E221" s="52" t="n">
        <x:f>RGM!H153</x:f>
        <x:v>2041344.73</x:v>
      </x:c>
      <x:c r="F221" s="51"/>
      <x:c r="G221" s="51"/>
      <x:c r="H221" s="51"/>
      <x:c r="I221" s="51"/>
      <x:c r="J221" s="51" t="n">
        <x:f>ANN!A154</x:f>
        <x:v>148</x:v>
      </x:c>
      <x:c r="K221" s="52" t="n">
        <x:f>ANN!G154</x:f>
        <x:v>26003.2</x:v>
      </x:c>
      <x:c r="L221" s="52" t="n">
        <x:f>SIMPLE!G154</x:f>
        <x:v>22475.58</x:v>
      </x:c>
      <x:c r="M221" s="52" t="n">
        <x:f>RGM!G154</x:f>
        <x:v>23499.91</x:v>
      </x:c>
    </x:row>
    <x:row r="222">
      <x:c r="B222" s="51" t="n">
        <x:f>ANN!A154</x:f>
        <x:v>148</x:v>
      </x:c>
      <x:c r="C222" s="52" t="n">
        <x:f>ANN!H154</x:f>
        <x:v>2853893.25</x:v>
      </x:c>
      <x:c r="D222" s="52" t="n">
        <x:f>SIMPLE!H154</x:f>
        <x:v>3646037.89</x:v>
      </x:c>
      <x:c r="E222" s="52" t="n">
        <x:f>RGM!H154</x:f>
        <x:v>2030428.45</x:v>
      </x:c>
      <x:c r="F222" s="51"/>
      <x:c r="G222" s="51"/>
      <x:c r="H222" s="51"/>
      <x:c r="I222" s="51"/>
      <x:c r="J222" s="51" t="n">
        <x:f>ANN!A155</x:f>
        <x:v>149</x:v>
      </x:c>
      <x:c r="K222" s="52" t="n">
        <x:f>ANN!G155</x:f>
        <x:v>26003.2</x:v>
      </x:c>
      <x:c r="L222" s="52" t="n">
        <x:f>SIMPLE!G155</x:f>
        <x:v>23224.76</x:v>
      </x:c>
      <x:c r="M222" s="52" t="n">
        <x:f>RGM!G155</x:f>
        <x:v>23849.83</x:v>
      </x:c>
    </x:row>
    <x:row r="223">
      <x:c r="B223" s="51" t="n">
        <x:f>ANN!A155</x:f>
        <x:v>149</x:v>
      </x:c>
      <x:c r="C223" s="52" t="n">
        <x:f>ANN!H155</x:f>
        <x:v>2846068.96</x:v>
      </x:c>
      <x:c r="D223" s="52" t="n">
        <x:f>SIMPLE!H155</x:f>
        <x:v>3646037.89</x:v>
      </x:c>
      <x:c r="E223" s="52" t="n">
        <x:f>RGM!H155</x:f>
        <x:v>2019512.17</x:v>
      </x:c>
      <x:c r="F223" s="51"/>
      <x:c r="G223" s="51"/>
      <x:c r="H223" s="51"/>
      <x:c r="I223" s="51"/>
      <x:c r="J223" s="51" t="n">
        <x:f>ANN!A156</x:f>
        <x:v>150</x:v>
      </x:c>
      <x:c r="K223" s="52" t="n">
        <x:f>ANN!G156</x:f>
        <x:v>26003.2</x:v>
      </x:c>
      <x:c r="L223" s="52" t="n">
        <x:f>SIMPLE!G156</x:f>
        <x:v>23224.76</x:v>
      </x:c>
      <x:c r="M223" s="52" t="n">
        <x:f>RGM!G156</x:f>
        <x:v>23780.3</x:v>
      </x:c>
    </x:row>
    <x:row r="224">
      <x:c r="B224" s="51" t="n">
        <x:f>ANN!A156</x:f>
        <x:v>150</x:v>
      </x:c>
      <x:c r="C224" s="52" t="n">
        <x:f>ANN!H156</x:f>
        <x:v>2838194.83</x:v>
      </x:c>
      <x:c r="D224" s="52" t="n">
        <x:f>SIMPLE!H156</x:f>
        <x:v>3646037.89</x:v>
      </x:c>
      <x:c r="E224" s="52" t="n">
        <x:f>RGM!H156</x:f>
        <x:v>2008595.89</x:v>
      </x:c>
      <x:c r="F224" s="51"/>
      <x:c r="G224" s="51"/>
      <x:c r="H224" s="51"/>
      <x:c r="I224" s="51"/>
      <x:c r="J224" s="51" t="n">
        <x:f>ANN!A157</x:f>
        <x:v>151</x:v>
      </x:c>
      <x:c r="K224" s="52" t="n">
        <x:f>ANN!G157</x:f>
        <x:v>26003.2</x:v>
      </x:c>
      <x:c r="L224" s="52" t="n">
        <x:f>SIMPLE!G157</x:f>
        <x:v>20977.2</x:v>
      </x:c>
      <x:c r="M224" s="52" t="n">
        <x:f>RGM!G157</x:f>
        <x:v>22472.59</x:v>
      </x:c>
    </x:row>
    <x:row r="225">
      <x:c r="B225" s="51" t="n">
        <x:f>ANN!A157</x:f>
        <x:v>151</x:v>
      </x:c>
      <x:c r="C225" s="52" t="n">
        <x:f>ANN!H157</x:f>
        <x:v>2828520.97</x:v>
      </x:c>
      <x:c r="D225" s="52" t="n">
        <x:f>SIMPLE!H157</x:f>
        <x:v>3646037.89</x:v>
      </x:c>
      <x:c r="E225" s="52" t="n">
        <x:f>RGM!H157</x:f>
        <x:v>1997679.61</x:v>
      </x:c>
      <x:c r="F225" s="51"/>
      <x:c r="G225" s="51"/>
      <x:c r="H225" s="51"/>
      <x:c r="I225" s="51"/>
      <x:c r="J225" s="51" t="n">
        <x:f>ANN!A158</x:f>
        <x:v>152</x:v>
      </x:c>
      <x:c r="K225" s="52" t="n">
        <x:f>ANN!G158</x:f>
        <x:v>26003.2</x:v>
      </x:c>
      <x:c r="L225" s="52" t="n">
        <x:f>SIMPLE!G158</x:f>
        <x:v>23224.76</x:v>
      </x:c>
      <x:c r="M225" s="52" t="n">
        <x:f>RGM!G158</x:f>
        <x:v>23641.23</x:v>
      </x:c>
    </x:row>
    <x:row r="226">
      <x:c r="B226" s="51" t="n">
        <x:f>ANN!A158</x:f>
        <x:v>152</x:v>
      </x:c>
      <x:c r="C226" s="52" t="n">
        <x:f>ANN!H158</x:f>
        <x:v>2820535.06</x:v>
      </x:c>
      <x:c r="D226" s="52" t="n">
        <x:f>SIMPLE!H158</x:f>
        <x:v>3646037.89</x:v>
      </x:c>
      <x:c r="E226" s="52" t="n">
        <x:f>RGM!H158</x:f>
        <x:v>1986763.33</x:v>
      </x:c>
      <x:c r="F226" s="51"/>
      <x:c r="G226" s="51"/>
      <x:c r="H226" s="51"/>
      <x:c r="I226" s="51"/>
      <x:c r="J226" s="51" t="n">
        <x:f>ANN!A159</x:f>
        <x:v>153</x:v>
      </x:c>
      <x:c r="K226" s="52" t="n">
        <x:f>ANN!G159</x:f>
        <x:v>26003.2</x:v>
      </x:c>
      <x:c r="L226" s="52" t="n">
        <x:f>SIMPLE!G159</x:f>
        <x:v>22475.58</x:v>
      </x:c>
      <x:c r="M226" s="52" t="n">
        <x:f>RGM!G159</x:f>
        <x:v>23163.45</x:v>
      </x:c>
    </x:row>
    <x:row r="227">
      <x:c r="B227" s="51" t="n">
        <x:f>ANN!A159</x:f>
        <x:v>153</x:v>
      </x:c>
      <x:c r="C227" s="52" t="n">
        <x:f>ANN!H159</x:f>
        <x:v>2811918.72</x:v>
      </x:c>
      <x:c r="D227" s="52" t="n">
        <x:f>SIMPLE!H159</x:f>
        <x:v>3646037.89</x:v>
      </x:c>
      <x:c r="E227" s="52" t="n">
        <x:f>RGM!H159</x:f>
        <x:v>1975847.05</x:v>
      </x:c>
      <x:c r="F227" s="51"/>
      <x:c r="G227" s="51"/>
      <x:c r="H227" s="51"/>
      <x:c r="I227" s="51"/>
      <x:c r="J227" s="51" t="n">
        <x:f>ANN!A160</x:f>
        <x:v>154</x:v>
      </x:c>
      <x:c r="K227" s="52" t="n">
        <x:f>ANN!G160</x:f>
        <x:v>26003.2</x:v>
      </x:c>
      <x:c r="L227" s="52" t="n">
        <x:f>SIMPLE!G160</x:f>
        <x:v>23224.76</x:v>
      </x:c>
      <x:c r="M227" s="52" t="n">
        <x:f>RGM!G160</x:f>
        <x:v>23502.16</x:v>
      </x:c>
    </x:row>
    <x:row r="228">
      <x:c r="B228" s="51" t="n">
        <x:f>ANN!A160</x:f>
        <x:v>154</x:v>
      </x:c>
      <x:c r="C228" s="52" t="n">
        <x:f>ANN!H160</x:f>
        <x:v>2803827.06</x:v>
      </x:c>
      <x:c r="D228" s="52" t="n">
        <x:f>SIMPLE!H160</x:f>
        <x:v>3646037.89</x:v>
      </x:c>
      <x:c r="E228" s="52" t="n">
        <x:f>RGM!H160</x:f>
        <x:v>1964930.77</x:v>
      </x:c>
      <x:c r="F228" s="51"/>
      <x:c r="G228" s="51"/>
      <x:c r="H228" s="51"/>
      <x:c r="I228" s="51"/>
      <x:c r="J228" s="51" t="n">
        <x:f>ANN!A161</x:f>
        <x:v>155</x:v>
      </x:c>
      <x:c r="K228" s="52" t="n">
        <x:f>ANN!G161</x:f>
        <x:v>26003.2</x:v>
      </x:c>
      <x:c r="L228" s="52" t="n">
        <x:f>SIMPLE!G161</x:f>
        <x:v>22475.58</x:v>
      </x:c>
      <x:c r="M228" s="52" t="n">
        <x:f>RGM!G161</x:f>
        <x:v>23028.87</x:v>
      </x:c>
    </x:row>
    <x:row r="229">
      <x:c r="B229" s="51" t="n">
        <x:f>ANN!A161</x:f>
        <x:v>155</x:v>
      </x:c>
      <x:c r="C229" s="52" t="n">
        <x:f>ANN!H161</x:f>
        <x:v>2795107.73</x:v>
      </x:c>
      <x:c r="D229" s="52" t="n">
        <x:f>SIMPLE!H161</x:f>
        <x:v>3646037.89</x:v>
      </x:c>
      <x:c r="E229" s="52" t="n">
        <x:f>RGM!H161</x:f>
        <x:v>1954014.49</x:v>
      </x:c>
      <x:c r="F229" s="51"/>
      <x:c r="G229" s="51"/>
      <x:c r="H229" s="51"/>
      <x:c r="I229" s="51"/>
      <x:c r="J229" s="51" t="n">
        <x:f>ANN!A162</x:f>
        <x:v>156</x:v>
      </x:c>
      <x:c r="K229" s="52" t="n">
        <x:f>ANN!G162</x:f>
        <x:v>26003.2</x:v>
      </x:c>
      <x:c r="L229" s="52" t="n">
        <x:f>SIMPLE!G162</x:f>
        <x:v>23224.76</x:v>
      </x:c>
      <x:c r="M229" s="52" t="n">
        <x:f>RGM!G162</x:f>
        <x:v>23363.08</x:v>
      </x:c>
    </x:row>
    <x:row r="230">
      <x:c r="B230" s="51" t="n">
        <x:f>ANN!A162</x:f>
        <x:v>156</x:v>
      </x:c>
      <x:c r="C230" s="52" t="n">
        <x:f>ANN!H162</x:f>
        <x:v>2786908.98</x:v>
      </x:c>
      <x:c r="D230" s="52" t="n">
        <x:f>SIMPLE!H162</x:f>
        <x:v>3646037.89</x:v>
      </x:c>
      <x:c r="E230" s="52" t="n">
        <x:f>RGM!H162</x:f>
        <x:v>1943098.21</x:v>
      </x:c>
      <x:c r="F230" s="51"/>
      <x:c r="G230" s="51"/>
      <x:c r="H230" s="51"/>
      <x:c r="I230" s="51"/>
      <x:c r="J230" s="51" t="n">
        <x:f>ANN!A163</x:f>
        <x:v>157</x:v>
      </x:c>
      <x:c r="K230" s="52" t="n">
        <x:f>ANN!G163</x:f>
        <x:v>26003.2</x:v>
      </x:c>
      <x:c r="L230" s="52" t="n">
        <x:f>SIMPLE!G163</x:f>
        <x:v>23224.76</x:v>
      </x:c>
      <x:c r="M230" s="52" t="n">
        <x:f>RGM!G163</x:f>
        <x:v>23293.55</x:v>
      </x:c>
    </x:row>
    <x:row r="231">
      <x:c r="B231" s="51" t="n">
        <x:f>ANN!A163</x:f>
        <x:v>157</x:v>
      </x:c>
      <x:c r="C231" s="52" t="n">
        <x:f>ANN!H163</x:f>
        <x:v>2778658.01</x:v>
      </x:c>
      <x:c r="D231" s="52" t="n">
        <x:f>SIMPLE!H163</x:f>
        <x:v>3646037.89</x:v>
      </x:c>
      <x:c r="E231" s="52" t="n">
        <x:f>RGM!H163</x:f>
        <x:v>1932181.93</x:v>
      </x:c>
      <x:c r="F231" s="51"/>
      <x:c r="G231" s="51"/>
      <x:c r="H231" s="51"/>
      <x:c r="I231" s="51"/>
      <x:c r="J231" s="51" t="n">
        <x:f>ANN!A164</x:f>
        <x:v>158</x:v>
      </x:c>
      <x:c r="K231" s="52" t="n">
        <x:f>ANN!G164</x:f>
        <x:v>26003.2</x:v>
      </x:c>
      <x:c r="L231" s="52" t="n">
        <x:f>SIMPLE!G164</x:f>
        <x:v>22475.58</x:v>
      </x:c>
      <x:c r="M231" s="52" t="n">
        <x:f>RGM!G164</x:f>
        <x:v>22826.99</x:v>
      </x:c>
    </x:row>
    <x:row r="232">
      <x:c r="B232" s="51" t="n">
        <x:f>ANN!A164</x:f>
        <x:v>158</x:v>
      </x:c>
      <x:c r="C232" s="52" t="n">
        <x:f>ANN!H164</x:f>
        <x:v>2769783.52</x:v>
      </x:c>
      <x:c r="D232" s="52" t="n">
        <x:f>SIMPLE!H164</x:f>
        <x:v>3646037.89</x:v>
      </x:c>
      <x:c r="E232" s="52" t="n">
        <x:f>RGM!H164</x:f>
        <x:v>1921265.65</x:v>
      </x:c>
      <x:c r="F232" s="51"/>
      <x:c r="G232" s="51"/>
      <x:c r="H232" s="51"/>
      <x:c r="I232" s="51"/>
      <x:c r="J232" s="51" t="n">
        <x:f>ANN!A165</x:f>
        <x:v>159</x:v>
      </x:c>
      <x:c r="K232" s="52" t="n">
        <x:f>ANN!G165</x:f>
        <x:v>26003.2</x:v>
      </x:c>
      <x:c r="L232" s="52" t="n">
        <x:f>SIMPLE!G165</x:f>
        <x:v>23224.76</x:v>
      </x:c>
      <x:c r="M232" s="52" t="n">
        <x:f>RGM!G165</x:f>
        <x:v>23154.48</x:v>
      </x:c>
    </x:row>
    <x:row r="233">
      <x:c r="B233" s="51" t="n">
        <x:f>ANN!A165</x:f>
        <x:v>159</x:v>
      </x:c>
      <x:c r="C233" s="52" t="n">
        <x:f>ANN!H165</x:f>
        <x:v>2761423.46</x:v>
      </x:c>
      <x:c r="D233" s="52" t="n">
        <x:f>SIMPLE!H165</x:f>
        <x:v>3646037.89</x:v>
      </x:c>
      <x:c r="E233" s="52" t="n">
        <x:f>RGM!H165</x:f>
        <x:v>1910349.37</x:v>
      </x:c>
      <x:c r="F233" s="51"/>
      <x:c r="G233" s="51"/>
      <x:c r="H233" s="51"/>
      <x:c r="I233" s="51"/>
      <x:c r="J233" s="51" t="n">
        <x:f>ANN!A166</x:f>
        <x:v>160</x:v>
      </x:c>
      <x:c r="K233" s="52" t="n">
        <x:f>ANN!G166</x:f>
        <x:v>26003.2</x:v>
      </x:c>
      <x:c r="L233" s="52" t="n">
        <x:f>SIMPLE!G166</x:f>
        <x:v>22475.58</x:v>
      </x:c>
      <x:c r="M233" s="52" t="n">
        <x:f>RGM!G166</x:f>
        <x:v>22692.41</x:v>
      </x:c>
    </x:row>
    <x:row r="234">
      <x:c r="B234" s="51" t="n">
        <x:f>ANN!A166</x:f>
        <x:v>160</x:v>
      </x:c>
      <x:c r="C234" s="52" t="n">
        <x:f>ANN!H166</x:f>
        <x:v>2752442.73</x:v>
      </x:c>
      <x:c r="D234" s="52" t="n">
        <x:f>SIMPLE!H166</x:f>
        <x:v>3646037.89</x:v>
      </x:c>
      <x:c r="E234" s="52" t="n">
        <x:f>RGM!H166</x:f>
        <x:v>1899433.09</x:v>
      </x:c>
      <x:c r="F234" s="51"/>
      <x:c r="G234" s="51"/>
      <x:c r="H234" s="51"/>
      <x:c r="I234" s="51"/>
      <x:c r="J234" s="51" t="n">
        <x:f>ANN!A167</x:f>
        <x:v>161</x:v>
      </x:c>
      <x:c r="K234" s="52" t="n">
        <x:f>ANN!G167</x:f>
        <x:v>26003.2</x:v>
      </x:c>
      <x:c r="L234" s="52" t="n">
        <x:f>SIMPLE!G167</x:f>
        <x:v>23224.76</x:v>
      </x:c>
      <x:c r="M234" s="52" t="n">
        <x:f>RGM!G167</x:f>
        <x:v>23015.41</x:v>
      </x:c>
    </x:row>
    <x:row r="235">
      <x:c r="B235" s="51" t="n">
        <x:f>ANN!A167</x:f>
        <x:v>161</x:v>
      </x:c>
      <x:c r="C235" s="52" t="n">
        <x:f>ANN!H167</x:f>
        <x:v>2743972.21</x:v>
      </x:c>
      <x:c r="D235" s="52" t="n">
        <x:f>SIMPLE!H167</x:f>
        <x:v>3646037.89</x:v>
      </x:c>
      <x:c r="E235" s="52" t="n">
        <x:f>RGM!H167</x:f>
        <x:v>1888516.81</x:v>
      </x:c>
      <x:c r="F235" s="51"/>
      <x:c r="G235" s="51"/>
      <x:c r="H235" s="51"/>
      <x:c r="I235" s="51"/>
      <x:c r="J235" s="51" t="n">
        <x:f>ANN!A168</x:f>
        <x:v>162</x:v>
      </x:c>
      <x:c r="K235" s="52" t="n">
        <x:f>ANN!G168</x:f>
        <x:v>26003.2</x:v>
      </x:c>
      <x:c r="L235" s="52" t="n">
        <x:f>SIMPLE!G168</x:f>
        <x:v>23224.76</x:v>
      </x:c>
      <x:c r="M235" s="52" t="n">
        <x:f>RGM!G168</x:f>
        <x:v>22945.87</x:v>
      </x:c>
    </x:row>
    <x:row r="236">
      <x:c r="B236" s="51" t="n">
        <x:f>ANN!A168</x:f>
        <x:v>162</x:v>
      </x:c>
      <x:c r="C236" s="52" t="n">
        <x:f>ANN!H168</x:f>
        <x:v>2735447.74</x:v>
      </x:c>
      <x:c r="D236" s="52" t="n">
        <x:f>SIMPLE!H168</x:f>
        <x:v>3646037.89</x:v>
      </x:c>
      <x:c r="E236" s="52" t="n">
        <x:f>RGM!H168</x:f>
        <x:v>1877600.53</x:v>
      </x:c>
      <x:c r="F236" s="51"/>
      <x:c r="G236" s="51"/>
      <x:c r="H236" s="51"/>
      <x:c r="I236" s="51"/>
      <x:c r="J236" s="51" t="n">
        <x:f>ANN!A169</x:f>
        <x:v>163</x:v>
      </x:c>
      <x:c r="K236" s="52" t="n">
        <x:f>ANN!G169</x:f>
        <x:v>26003.2</x:v>
      </x:c>
      <x:c r="L236" s="52" t="n">
        <x:f>SIMPLE!G169</x:f>
        <x:v>21726.39</x:v>
      </x:c>
      <x:c r="M236" s="52" t="n">
        <x:f>RGM!G169</x:f>
        <x:v>22104.72</x:v>
      </x:c>
    </x:row>
    <x:row r="237">
      <x:c r="B237" s="51" t="n">
        <x:f>ANN!A169</x:f>
        <x:v>163</x:v>
      </x:c>
      <x:c r="C237" s="52" t="n">
        <x:f>ANN!H169</x:f>
        <x:v>2725744.81</x:v>
      </x:c>
      <x:c r="D237" s="52" t="n">
        <x:f>SIMPLE!H169</x:f>
        <x:v>3646037.89</x:v>
      </x:c>
      <x:c r="E237" s="52" t="n">
        <x:f>RGM!H169</x:f>
        <x:v>1866684.25</x:v>
      </x:c>
      <x:c r="F237" s="51"/>
      <x:c r="G237" s="51"/>
      <x:c r="H237" s="51"/>
      <x:c r="I237" s="51"/>
      <x:c r="J237" s="51" t="n">
        <x:f>ANN!A170</x:f>
        <x:v>164</x:v>
      </x:c>
      <x:c r="K237" s="52" t="n">
        <x:f>ANN!G170</x:f>
        <x:v>26003.2</x:v>
      </x:c>
      <x:c r="L237" s="52" t="n">
        <x:f>SIMPLE!G170</x:f>
        <x:v>23224.76</x:v>
      </x:c>
      <x:c r="M237" s="52" t="n">
        <x:f>RGM!G170</x:f>
        <x:v>22806.8</x:v>
      </x:c>
    </x:row>
    <x:row r="238">
      <x:c r="B238" s="51" t="n">
        <x:f>ANN!A170</x:f>
        <x:v>164</x:v>
      </x:c>
      <x:c r="C238" s="52" t="n">
        <x:f>ANN!H170</x:f>
        <x:v>2717104.23</x:v>
      </x:c>
      <x:c r="D238" s="52" t="n">
        <x:f>SIMPLE!H170</x:f>
        <x:v>3646037.89</x:v>
      </x:c>
      <x:c r="E238" s="52" t="n">
        <x:f>RGM!H170</x:f>
        <x:v>1855767.97</x:v>
      </x:c>
      <x:c r="F238" s="51"/>
      <x:c r="G238" s="51"/>
      <x:c r="H238" s="51"/>
      <x:c r="I238" s="51"/>
      <x:c r="J238" s="51" t="n">
        <x:f>ANN!A171</x:f>
        <x:v>165</x:v>
      </x:c>
      <x:c r="K238" s="52" t="n">
        <x:f>ANN!G171</x:f>
        <x:v>26003.2</x:v>
      </x:c>
      <x:c r="L238" s="52" t="n">
        <x:f>SIMPLE!G171</x:f>
        <x:v>22475.58</x:v>
      </x:c>
      <x:c r="M238" s="52" t="n">
        <x:f>RGM!G171</x:f>
        <x:v>22355.95</x:v>
      </x:c>
    </x:row>
    <x:row r="239">
      <x:c r="B239" s="51" t="n">
        <x:f>ANN!A171</x:f>
        <x:v>165</x:v>
      </x:c>
      <x:c r="C239" s="52" t="n">
        <x:f>ANN!H171</x:f>
        <x:v>2707850.3</x:v>
      </x:c>
      <x:c r="D239" s="52" t="n">
        <x:f>SIMPLE!H171</x:f>
        <x:v>3646037.89</x:v>
      </x:c>
      <x:c r="E239" s="52" t="n">
        <x:f>RGM!H171</x:f>
        <x:v>1844851.69</x:v>
      </x:c>
      <x:c r="F239" s="51"/>
      <x:c r="G239" s="51"/>
      <x:c r="H239" s="51"/>
      <x:c r="I239" s="51"/>
      <x:c r="J239" s="51" t="n">
        <x:f>ANN!A172</x:f>
        <x:v>166</x:v>
      </x:c>
      <x:c r="K239" s="52" t="n">
        <x:f>ANN!G172</x:f>
        <x:v>26003.2</x:v>
      </x:c>
      <x:c r="L239" s="52" t="n">
        <x:f>SIMPLE!G172</x:f>
        <x:v>23224.76</x:v>
      </x:c>
      <x:c r="M239" s="52" t="n">
        <x:f>RGM!G172</x:f>
        <x:v>22667.73</x:v>
      </x:c>
    </x:row>
    <x:row r="240">
      <x:c r="B240" s="51" t="n">
        <x:f>ANN!A172</x:f>
        <x:v>166</x:v>
      </x:c>
      <x:c r="C240" s="52" t="n">
        <x:f>ANN!H172</x:f>
        <x:v>2699095.74</x:v>
      </x:c>
      <x:c r="D240" s="52" t="n">
        <x:f>SIMPLE!H172</x:f>
        <x:v>3646037.89</x:v>
      </x:c>
      <x:c r="E240" s="52" t="n">
        <x:f>RGM!H172</x:f>
        <x:v>1833935.41</x:v>
      </x:c>
      <x:c r="F240" s="51"/>
      <x:c r="G240" s="51"/>
      <x:c r="H240" s="51"/>
      <x:c r="I240" s="51"/>
      <x:c r="J240" s="51" t="n">
        <x:f>ANN!A173</x:f>
        <x:v>167</x:v>
      </x:c>
      <x:c r="K240" s="52" t="n">
        <x:f>ANN!G173</x:f>
        <x:v>26003.2</x:v>
      </x:c>
      <x:c r="L240" s="52" t="n">
        <x:f>SIMPLE!G173</x:f>
        <x:v>22475.58</x:v>
      </x:c>
      <x:c r="M240" s="52" t="n">
        <x:f>RGM!G173</x:f>
        <x:v>22221.36</x:v>
      </x:c>
    </x:row>
    <x:row r="241">
      <x:c r="B241" s="51" t="n">
        <x:f>ANN!A173</x:f>
        <x:v>167</x:v>
      </x:c>
      <x:c r="C241" s="52" t="n">
        <x:f>ANN!H173</x:f>
        <x:v>2689730.8</x:v>
      </x:c>
      <x:c r="D241" s="52" t="n">
        <x:f>SIMPLE!H173</x:f>
        <x:v>3646037.89</x:v>
      </x:c>
      <x:c r="E241" s="52" t="n">
        <x:f>RGM!H173</x:f>
        <x:v>1823019.13</x:v>
      </x:c>
      <x:c r="F241" s="51"/>
      <x:c r="G241" s="51"/>
      <x:c r="H241" s="51"/>
      <x:c r="I241" s="51"/>
      <x:c r="J241" s="51" t="n">
        <x:f>ANN!A174</x:f>
        <x:v>168</x:v>
      </x:c>
      <x:c r="K241" s="52" t="n">
        <x:f>ANN!G174</x:f>
        <x:v>26003.2</x:v>
      </x:c>
      <x:c r="L241" s="52" t="n">
        <x:f>SIMPLE!G174</x:f>
        <x:v>23224.76</x:v>
      </x:c>
      <x:c r="M241" s="52" t="n">
        <x:f>RGM!G174</x:f>
        <x:v>22528.66</x:v>
      </x:c>
    </x:row>
    <x:row r="242">
      <x:c r="B242" s="51" t="n">
        <x:f>ANN!A174</x:f>
        <x:v>168</x:v>
      </x:c>
      <x:c r="C242" s="52" t="n">
        <x:f>ANN!H174</x:f>
        <x:v>2680860.82</x:v>
      </x:c>
      <x:c r="D242" s="52" t="n">
        <x:f>SIMPLE!H174</x:f>
        <x:v>3646037.89</x:v>
      </x:c>
      <x:c r="E242" s="52" t="n">
        <x:f>RGM!H174</x:f>
        <x:v>1812102.85</x:v>
      </x:c>
      <x:c r="F242" s="51"/>
      <x:c r="G242" s="51"/>
      <x:c r="H242" s="51"/>
      <x:c r="I242" s="51"/>
      <x:c r="J242" s="51" t="n">
        <x:f>ANN!A175</x:f>
        <x:v>169</x:v>
      </x:c>
      <x:c r="K242" s="52" t="n">
        <x:f>ANN!G175</x:f>
        <x:v>26003.2</x:v>
      </x:c>
      <x:c r="L242" s="52" t="n">
        <x:f>SIMPLE!G175</x:f>
        <x:v>23224.76</x:v>
      </x:c>
      <x:c r="M242" s="52" t="n">
        <x:f>RGM!G175</x:f>
        <x:v>22459.13</x:v>
      </x:c>
    </x:row>
    <x:row r="243">
      <x:c r="B243" s="51" t="n">
        <x:f>ANN!A175</x:f>
        <x:v>169</x:v>
      </x:c>
      <x:c r="C243" s="52" t="n">
        <x:f>ANN!H175</x:f>
        <x:v>2671934.34</x:v>
      </x:c>
      <x:c r="D243" s="52" t="n">
        <x:f>SIMPLE!H175</x:f>
        <x:v>3646037.89</x:v>
      </x:c>
      <x:c r="E243" s="52" t="n">
        <x:f>RGM!H175</x:f>
        <x:v>1801186.57</x:v>
      </x:c>
      <x:c r="F243" s="51"/>
      <x:c r="G243" s="51"/>
      <x:c r="H243" s="51"/>
      <x:c r="I243" s="51"/>
      <x:c r="J243" s="51" t="n">
        <x:f>ANN!A176</x:f>
        <x:v>170</x:v>
      </x:c>
      <x:c r="K243" s="52" t="n">
        <x:f>ANN!G176</x:f>
        <x:v>26003.2</x:v>
      </x:c>
      <x:c r="L243" s="52" t="n">
        <x:f>SIMPLE!G176</x:f>
        <x:v>22475.58</x:v>
      </x:c>
      <x:c r="M243" s="52" t="n">
        <x:f>RGM!G176</x:f>
        <x:v>22019.48</x:v>
      </x:c>
    </x:row>
    <x:row r="244">
      <x:c r="B244" s="51" t="n">
        <x:f>ANN!A176</x:f>
        <x:v>170</x:v>
      </x:c>
      <x:c r="C244" s="52" t="n">
        <x:f>ANN!H176</x:f>
        <x:v>2662401.97</x:v>
      </x:c>
      <x:c r="D244" s="52" t="n">
        <x:f>SIMPLE!H176</x:f>
        <x:v>3646037.89</x:v>
      </x:c>
      <x:c r="E244" s="52" t="n">
        <x:f>RGM!H176</x:f>
        <x:v>1790270.29</x:v>
      </x:c>
      <x:c r="F244" s="51"/>
      <x:c r="G244" s="51"/>
      <x:c r="H244" s="51"/>
      <x:c r="I244" s="51"/>
      <x:c r="J244" s="51" t="n">
        <x:f>ANN!A177</x:f>
        <x:v>171</x:v>
      </x:c>
      <x:c r="K244" s="52" t="n">
        <x:f>ANN!G177</x:f>
        <x:v>26003.2</x:v>
      </x:c>
      <x:c r="L244" s="52" t="n">
        <x:f>SIMPLE!G177</x:f>
        <x:v>23224.76</x:v>
      </x:c>
      <x:c r="M244" s="52" t="n">
        <x:f>RGM!G177</x:f>
        <x:v>22320.06</x:v>
      </x:c>
    </x:row>
    <x:row r="245">
      <x:c r="B245" s="51" t="n">
        <x:f>ANN!A177</x:f>
        <x:v>171</x:v>
      </x:c>
      <x:c r="C245" s="52" t="n">
        <x:f>ANN!H177</x:f>
        <x:v>2653357.91</x:v>
      </x:c>
      <x:c r="D245" s="52" t="n">
        <x:f>SIMPLE!H177</x:f>
        <x:v>3646037.89</x:v>
      </x:c>
      <x:c r="E245" s="52" t="n">
        <x:f>RGM!H177</x:f>
        <x:v>1779354.01</x:v>
      </x:c>
      <x:c r="F245" s="51"/>
      <x:c r="G245" s="51"/>
      <x:c r="H245" s="51"/>
      <x:c r="I245" s="51"/>
      <x:c r="J245" s="51" t="n">
        <x:f>ANN!A178</x:f>
        <x:v>172</x:v>
      </x:c>
      <x:c r="K245" s="52" t="n">
        <x:f>ANN!G178</x:f>
        <x:v>26003.2</x:v>
      </x:c>
      <x:c r="L245" s="52" t="n">
        <x:f>SIMPLE!G178</x:f>
        <x:v>22475.58</x:v>
      </x:c>
      <x:c r="M245" s="52" t="n">
        <x:f>RGM!G178</x:f>
        <x:v>21884.9</x:v>
      </x:c>
    </x:row>
    <x:row r="246">
      <x:c r="B246" s="51" t="n">
        <x:f>ANN!A178</x:f>
        <x:v>172</x:v>
      </x:c>
      <x:c r="C246" s="52" t="n">
        <x:f>ANN!H178</x:f>
        <x:v>2643711.03</x:v>
      </x:c>
      <x:c r="D246" s="52" t="n">
        <x:f>SIMPLE!H178</x:f>
        <x:v>3646037.89</x:v>
      </x:c>
      <x:c r="E246" s="52" t="n">
        <x:f>RGM!H178</x:f>
        <x:v>1768437.73</x:v>
      </x:c>
      <x:c r="F246" s="51"/>
      <x:c r="G246" s="51"/>
      <x:c r="H246" s="51"/>
      <x:c r="I246" s="51"/>
      <x:c r="J246" s="51" t="n">
        <x:f>ANN!A179</x:f>
        <x:v>173</x:v>
      </x:c>
      <x:c r="K246" s="52" t="n">
        <x:f>ANN!G179</x:f>
        <x:v>26003.2</x:v>
      </x:c>
      <x:c r="L246" s="52" t="n">
        <x:f>SIMPLE!G179</x:f>
        <x:v>23224.76</x:v>
      </x:c>
      <x:c r="M246" s="52" t="n">
        <x:f>RGM!G179</x:f>
        <x:v>22180.99</x:v>
      </x:c>
    </x:row>
    <x:row r="247">
      <x:c r="B247" s="51" t="n">
        <x:f>ANN!A179</x:f>
        <x:v>173</x:v>
      </x:c>
      <x:c r="C247" s="52" t="n">
        <x:f>ANN!H179</x:f>
        <x:v>2634547.91</x:v>
      </x:c>
      <x:c r="D247" s="52" t="n">
        <x:f>SIMPLE!H179</x:f>
        <x:v>3646037.89</x:v>
      </x:c>
      <x:c r="E247" s="52" t="n">
        <x:f>RGM!H179</x:f>
        <x:v>1757521.45</x:v>
      </x:c>
      <x:c r="F247" s="51"/>
      <x:c r="G247" s="51"/>
      <x:c r="H247" s="51"/>
      <x:c r="I247" s="51"/>
      <x:c r="J247" s="51" t="n">
        <x:f>ANN!A180</x:f>
        <x:v>174</x:v>
      </x:c>
      <x:c r="K247" s="52" t="n">
        <x:f>ANN!G180</x:f>
        <x:v>26003.2</x:v>
      </x:c>
      <x:c r="L247" s="52" t="n">
        <x:f>SIMPLE!G180</x:f>
        <x:v>23224.76</x:v>
      </x:c>
      <x:c r="M247" s="52" t="n">
        <x:f>RGM!G180</x:f>
        <x:v>22111.45</x:v>
      </x:c>
    </x:row>
    <x:row r="248">
      <x:c r="B248" s="51" t="n">
        <x:f>ANN!A180</x:f>
        <x:v>174</x:v>
      </x:c>
      <x:c r="C248" s="52" t="n">
        <x:f>ANN!H180</x:f>
        <x:v>2625326.42</x:v>
      </x:c>
      <x:c r="D248" s="52" t="n">
        <x:f>SIMPLE!H180</x:f>
        <x:v>3646037.89</x:v>
      </x:c>
      <x:c r="E248" s="52" t="n">
        <x:f>RGM!H180</x:f>
        <x:v>1746605.17</x:v>
      </x:c>
      <x:c r="F248" s="51"/>
      <x:c r="G248" s="51"/>
      <x:c r="H248" s="51"/>
      <x:c r="I248" s="51"/>
      <x:c r="J248" s="51" t="n">
        <x:f>ANN!A181</x:f>
        <x:v>175</x:v>
      </x:c>
      <x:c r="K248" s="52" t="n">
        <x:f>ANN!G181</x:f>
        <x:v>26003.2</x:v>
      </x:c>
      <x:c r="L248" s="52" t="n">
        <x:f>SIMPLE!G181</x:f>
        <x:v>20977.2</x:v>
      </x:c>
      <x:c r="M248" s="52" t="n">
        <x:f>RGM!G181</x:f>
        <x:v>20965.24</x:v>
      </x:c>
    </x:row>
    <x:row r="249">
      <x:c r="B249" s="51" t="n">
        <x:f>ANN!A181</x:f>
        <x:v>175</x:v>
      </x:c>
      <x:c r="C249" s="52" t="n">
        <x:f>ANN!H181</x:f>
        <x:v>2614427.84</x:v>
      </x:c>
      <x:c r="D249" s="52" t="n">
        <x:f>SIMPLE!H181</x:f>
        <x:v>3646037.89</x:v>
      </x:c>
      <x:c r="E249" s="52" t="n">
        <x:f>RGM!H181</x:f>
        <x:v>1735688.89</x:v>
      </x:c>
      <x:c r="F249" s="51"/>
      <x:c r="G249" s="51"/>
      <x:c r="H249" s="51"/>
      <x:c r="I249" s="51"/>
      <x:c r="J249" s="51" t="n">
        <x:f>ANN!A182</x:f>
        <x:v>176</x:v>
      </x:c>
      <x:c r="K249" s="52" t="n">
        <x:f>ANN!G182</x:f>
        <x:v>26003.2</x:v>
      </x:c>
      <x:c r="L249" s="52" t="n">
        <x:f>SIMPLE!G182</x:f>
        <x:v>23224.76</x:v>
      </x:c>
      <x:c r="M249" s="52" t="n">
        <x:f>RGM!G182</x:f>
        <x:v>21972.38</x:v>
      </x:c>
    </x:row>
    <x:row r="250">
      <x:c r="B250" s="51" t="n">
        <x:f>ANN!A182</x:f>
        <x:v>176</x:v>
      </x:c>
      <x:c r="C250" s="52" t="n">
        <x:f>ANN!H182</x:f>
        <x:v>2605078.19</x:v>
      </x:c>
      <x:c r="D250" s="52" t="n">
        <x:f>SIMPLE!H182</x:f>
        <x:v>3646037.89</x:v>
      </x:c>
      <x:c r="E250" s="52" t="n">
        <x:f>RGM!H182</x:f>
        <x:v>1724772.61</x:v>
      </x:c>
      <x:c r="F250" s="51"/>
      <x:c r="G250" s="51"/>
      <x:c r="H250" s="51"/>
      <x:c r="I250" s="51"/>
      <x:c r="J250" s="51" t="n">
        <x:f>ANN!A183</x:f>
        <x:v>177</x:v>
      </x:c>
      <x:c r="K250" s="52" t="n">
        <x:f>ANN!G183</x:f>
        <x:v>26003.2</x:v>
      </x:c>
      <x:c r="L250" s="52" t="n">
        <x:f>SIMPLE!G183</x:f>
        <x:v>22475.58</x:v>
      </x:c>
      <x:c r="M250" s="52" t="n">
        <x:f>RGM!G183</x:f>
        <x:v>21548.44</x:v>
      </x:c>
    </x:row>
    <x:row r="251">
      <x:c r="B251" s="51" t="n">
        <x:f>ANN!A183</x:f>
        <x:v>177</x:v>
      </x:c>
      <x:c r="C251" s="52" t="n">
        <x:f>ANN!H183</x:f>
        <x:v>2595133.69</x:v>
      </x:c>
      <x:c r="D251" s="52" t="n">
        <x:f>SIMPLE!H183</x:f>
        <x:v>3646037.89</x:v>
      </x:c>
      <x:c r="E251" s="52" t="n">
        <x:f>RGM!H183</x:f>
        <x:v>1713856.33</x:v>
      </x:c>
      <x:c r="F251" s="51"/>
      <x:c r="G251" s="51"/>
      <x:c r="H251" s="51"/>
      <x:c r="I251" s="51"/>
      <x:c r="J251" s="51" t="n">
        <x:f>ANN!A184</x:f>
        <x:v>178</x:v>
      </x:c>
      <x:c r="K251" s="52" t="n">
        <x:f>ANN!G184</x:f>
        <x:v>26003.2</x:v>
      </x:c>
      <x:c r="L251" s="52" t="n">
        <x:f>SIMPLE!G184</x:f>
        <x:v>23224.76</x:v>
      </x:c>
      <x:c r="M251" s="52" t="n">
        <x:f>RGM!G184</x:f>
        <x:v>21833.31</x:v>
      </x:c>
    </x:row>
    <x:row r="252">
      <x:c r="B252" s="51" t="n">
        <x:f>ANN!A184</x:f>
        <x:v>178</x:v>
      </x:c>
      <x:c r="C252" s="52" t="n">
        <x:f>ANN!H184</x:f>
        <x:v>2585661.14</x:v>
      </x:c>
      <x:c r="D252" s="52" t="n">
        <x:f>SIMPLE!H184</x:f>
        <x:v>3646037.89</x:v>
      </x:c>
      <x:c r="E252" s="52" t="n">
        <x:f>RGM!H184</x:f>
        <x:v>1702940.05</x:v>
      </x:c>
      <x:c r="F252" s="51"/>
      <x:c r="G252" s="51"/>
      <x:c r="H252" s="51"/>
      <x:c r="I252" s="51"/>
      <x:c r="J252" s="51" t="n">
        <x:f>ANN!A185</x:f>
        <x:v>179</x:v>
      </x:c>
      <x:c r="K252" s="52" t="n">
        <x:f>ANN!G185</x:f>
        <x:v>26003.2</x:v>
      </x:c>
      <x:c r="L252" s="52" t="n">
        <x:f>SIMPLE!G185</x:f>
        <x:v>22475.58</x:v>
      </x:c>
      <x:c r="M252" s="52" t="n">
        <x:f>RGM!G185</x:f>
        <x:v>21413.86</x:v>
      </x:c>
    </x:row>
    <x:row r="253">
      <x:c r="B253" s="51" t="n">
        <x:f>ANN!A185</x:f>
        <x:v>179</x:v>
      </x:c>
      <x:c r="C253" s="52" t="n">
        <x:f>ANN!H185</x:f>
        <x:v>2575596.95</x:v>
      </x:c>
      <x:c r="D253" s="52" t="n">
        <x:f>SIMPLE!H185</x:f>
        <x:v>3646037.89</x:v>
      </x:c>
      <x:c r="E253" s="52" t="n">
        <x:f>RGM!H185</x:f>
        <x:v>1692023.77</x:v>
      </x:c>
      <x:c r="F253" s="51"/>
      <x:c r="G253" s="51"/>
      <x:c r="H253" s="51"/>
      <x:c r="I253" s="51"/>
      <x:c r="J253" s="51" t="n">
        <x:f>ANN!A186</x:f>
        <x:v>180</x:v>
      </x:c>
      <x:c r="K253" s="52" t="n">
        <x:f>ANN!G186</x:f>
        <x:v>26003.2</x:v>
      </x:c>
      <x:c r="L253" s="52" t="n">
        <x:f>SIMPLE!G186</x:f>
        <x:v>23224.76</x:v>
      </x:c>
      <x:c r="M253" s="52" t="n">
        <x:f>RGM!G186</x:f>
        <x:v>21694.24</x:v>
      </x:c>
    </x:row>
    <x:row r="254">
      <x:c r="B254" s="51" t="n">
        <x:f>ANN!A186</x:f>
        <x:v>180</x:v>
      </x:c>
      <x:c r="C254" s="52" t="n">
        <x:f>ANN!H186</x:f>
        <x:v>2565999.95</x:v>
      </x:c>
      <x:c r="D254" s="52" t="n">
        <x:f>SIMPLE!H186</x:f>
        <x:v>3646037.89</x:v>
      </x:c>
      <x:c r="E254" s="52" t="n">
        <x:f>RGM!H186</x:f>
        <x:v>1681107.49</x:v>
      </x:c>
      <x:c r="F254" s="51"/>
      <x:c r="G254" s="51"/>
      <x:c r="H254" s="51"/>
      <x:c r="I254" s="51"/>
      <x:c r="J254" s="51" t="n">
        <x:f>ANN!A187</x:f>
        <x:v>181</x:v>
      </x:c>
      <x:c r="K254" s="52" t="n">
        <x:f>ANN!G187</x:f>
        <x:v>26003.2</x:v>
      </x:c>
      <x:c r="L254" s="52" t="n">
        <x:f>SIMPLE!G187</x:f>
        <x:v>23224.76</x:v>
      </x:c>
      <x:c r="M254" s="52" t="n">
        <x:f>RGM!G187</x:f>
        <x:v>21624.7</x:v>
      </x:c>
    </x:row>
    <x:row r="255">
      <x:c r="B255" s="51" t="n">
        <x:f>ANN!A187</x:f>
        <x:v>181</x:v>
      </x:c>
      <x:c r="C255" s="52" t="n">
        <x:f>ANN!H187</x:f>
        <x:v>2556341.82</x:v>
      </x:c>
      <x:c r="D255" s="52" t="n">
        <x:f>SIMPLE!H187</x:f>
        <x:v>3646037.89</x:v>
      </x:c>
      <x:c r="E255" s="52" t="n">
        <x:f>RGM!H187</x:f>
        <x:v>1670191.21</x:v>
      </x:c>
      <x:c r="F255" s="51"/>
      <x:c r="G255" s="51"/>
      <x:c r="H255" s="51"/>
      <x:c r="I255" s="51"/>
      <x:c r="J255" s="51" t="n">
        <x:f>ANN!A188</x:f>
        <x:v>182</x:v>
      </x:c>
      <x:c r="K255" s="52" t="n">
        <x:f>ANN!G188</x:f>
        <x:v>26003.2</x:v>
      </x:c>
      <x:c r="L255" s="52" t="n">
        <x:f>SIMPLE!G188</x:f>
        <x:v>22475.58</x:v>
      </x:c>
      <x:c r="M255" s="52" t="n">
        <x:f>RGM!G188</x:f>
        <x:v>21211.98</x:v>
      </x:c>
    </x:row>
    <x:row r="256">
      <x:c r="B256" s="51" t="n">
        <x:f>ANN!A188</x:f>
        <x:v>182</x:v>
      </x:c>
      <x:c r="C256" s="52" t="n">
        <x:f>ANN!H188</x:f>
        <x:v>2546096.89</x:v>
      </x:c>
      <x:c r="D256" s="52" t="n">
        <x:f>SIMPLE!H188</x:f>
        <x:v>3646037.89</x:v>
      </x:c>
      <x:c r="E256" s="52" t="n">
        <x:f>RGM!H188</x:f>
        <x:v>1659274.93</x:v>
      </x:c>
      <x:c r="F256" s="51"/>
      <x:c r="G256" s="51"/>
      <x:c r="H256" s="51"/>
      <x:c r="I256" s="51"/>
      <x:c r="J256" s="51" t="n">
        <x:f>ANN!A189</x:f>
        <x:v>183</x:v>
      </x:c>
      <x:c r="K256" s="52" t="n">
        <x:f>ANN!G189</x:f>
        <x:v>26003.2</x:v>
      </x:c>
      <x:c r="L256" s="52" t="n">
        <x:f>SIMPLE!G189</x:f>
        <x:v>23224.76</x:v>
      </x:c>
      <x:c r="M256" s="52" t="n">
        <x:f>RGM!G189</x:f>
        <x:v>21485.63</x:v>
      </x:c>
    </x:row>
    <x:row r="257">
      <x:c r="B257" s="51" t="n">
        <x:f>ANN!A189</x:f>
        <x:v>183</x:v>
      </x:c>
      <x:c r="C257" s="52" t="n">
        <x:f>ANN!H189</x:f>
        <x:v>2536311.98</x:v>
      </x:c>
      <x:c r="D257" s="52" t="n">
        <x:f>SIMPLE!H189</x:f>
        <x:v>3646037.89</x:v>
      </x:c>
      <x:c r="E257" s="52" t="n">
        <x:f>RGM!H189</x:f>
        <x:v>1648358.65</x:v>
      </x:c>
      <x:c r="F257" s="51"/>
      <x:c r="G257" s="51"/>
      <x:c r="H257" s="51"/>
      <x:c r="I257" s="51"/>
      <x:c r="J257" s="51" t="n">
        <x:f>ANN!A190</x:f>
        <x:v>184</x:v>
      </x:c>
      <x:c r="K257" s="52" t="n">
        <x:f>ANN!G190</x:f>
        <x:v>26003.2</x:v>
      </x:c>
      <x:c r="L257" s="52" t="n">
        <x:f>SIMPLE!G190</x:f>
        <x:v>22475.58</x:v>
      </x:c>
      <x:c r="M257" s="52" t="n">
        <x:f>RGM!G190</x:f>
        <x:v>21077.39</x:v>
      </x:c>
    </x:row>
    <x:row r="258">
      <x:c r="B258" s="51" t="n">
        <x:f>ANN!A190</x:f>
        <x:v>184</x:v>
      </x:c>
      <x:c r="C258" s="52" t="n">
        <x:f>ANN!H190</x:f>
        <x:v>2525943.58</x:v>
      </x:c>
      <x:c r="D258" s="52" t="n">
        <x:f>SIMPLE!H190</x:f>
        <x:v>3646037.89</x:v>
      </x:c>
      <x:c r="E258" s="52" t="n">
        <x:f>RGM!H190</x:f>
        <x:v>1637442.37</x:v>
      </x:c>
      <x:c r="F258" s="51"/>
      <x:c r="G258" s="51"/>
      <x:c r="H258" s="51"/>
      <x:c r="I258" s="51"/>
      <x:c r="J258" s="51" t="n">
        <x:f>ANN!A191</x:f>
        <x:v>185</x:v>
      </x:c>
      <x:c r="K258" s="52" t="n">
        <x:f>ANN!G191</x:f>
        <x:v>26003.2</x:v>
      </x:c>
      <x:c r="L258" s="52" t="n">
        <x:f>SIMPLE!G191</x:f>
        <x:v>23224.76</x:v>
      </x:c>
      <x:c r="M258" s="52" t="n">
        <x:f>RGM!G191</x:f>
        <x:v>21346.56</x:v>
      </x:c>
    </x:row>
    <x:row r="259">
      <x:c r="B259" s="51" t="n">
        <x:f>ANN!A191</x:f>
        <x:v>185</x:v>
      </x:c>
      <x:c r="C259" s="52" t="n">
        <x:f>ANN!H191</x:f>
        <x:v>2516030.29</x:v>
      </x:c>
      <x:c r="D259" s="52" t="n">
        <x:f>SIMPLE!H191</x:f>
        <x:v>3646037.89</x:v>
      </x:c>
      <x:c r="E259" s="52" t="n">
        <x:f>RGM!H191</x:f>
        <x:v>1626526.09</x:v>
      </x:c>
      <x:c r="F259" s="51"/>
      <x:c r="G259" s="51"/>
      <x:c r="H259" s="51"/>
      <x:c r="I259" s="51"/>
      <x:c r="J259" s="51" t="n">
        <x:f>ANN!A192</x:f>
        <x:v>186</x:v>
      </x:c>
      <x:c r="K259" s="52" t="n">
        <x:f>ANN!G192</x:f>
        <x:v>26003.2</x:v>
      </x:c>
      <x:c r="L259" s="52" t="n">
        <x:f>SIMPLE!G192</x:f>
        <x:v>23224.76</x:v>
      </x:c>
      <x:c r="M259" s="52" t="n">
        <x:f>RGM!G192</x:f>
        <x:v>21277.03</x:v>
      </x:c>
    </x:row>
    <x:row r="260">
      <x:c r="B260" s="51" t="n">
        <x:f>ANN!A192</x:f>
        <x:v>186</x:v>
      </x:c>
      <x:c r="C260" s="52" t="n">
        <x:f>ANN!H192</x:f>
        <x:v>2506053.86</x:v>
      </x:c>
      <x:c r="D260" s="52" t="n">
        <x:f>SIMPLE!H192</x:f>
        <x:v>3646037.89</x:v>
      </x:c>
      <x:c r="E260" s="52" t="n">
        <x:f>RGM!H192</x:f>
        <x:v>1615609.81</x:v>
      </x:c>
      <x:c r="F260" s="51"/>
      <x:c r="G260" s="51"/>
      <x:c r="H260" s="51"/>
      <x:c r="I260" s="51"/>
      <x:c r="J260" s="51" t="n">
        <x:f>ANN!A193</x:f>
        <x:v>187</x:v>
      </x:c>
      <x:c r="K260" s="52" t="n">
        <x:f>ANN!G193</x:f>
        <x:v>26003.2</x:v>
      </x:c>
      <x:c r="L260" s="52" t="n">
        <x:f>SIMPLE!G193</x:f>
        <x:v>20977.2</x:v>
      </x:c>
      <x:c r="M260" s="52" t="n">
        <x:f>RGM!G193</x:f>
        <x:v>20211.57</x:v>
      </x:c>
    </x:row>
    <x:row r="261">
      <x:c r="B261" s="51" t="n">
        <x:f>ANN!A193</x:f>
        <x:v>187</x:v>
      </x:c>
      <x:c r="C261" s="52" t="n">
        <x:f>ANN!H193</x:f>
        <x:v>2494469.05</x:v>
      </x:c>
      <x:c r="D261" s="52" t="n">
        <x:f>SIMPLE!H193</x:f>
        <x:v>3646037.89</x:v>
      </x:c>
      <x:c r="E261" s="52" t="n">
        <x:f>RGM!H193</x:f>
        <x:v>1604693.53</x:v>
      </x:c>
      <x:c r="F261" s="51"/>
      <x:c r="G261" s="51"/>
      <x:c r="H261" s="51"/>
      <x:c r="I261" s="51"/>
      <x:c r="J261" s="51" t="n">
        <x:f>ANN!A194</x:f>
        <x:v>188</x:v>
      </x:c>
      <x:c r="K261" s="52" t="n">
        <x:f>ANN!G194</x:f>
        <x:v>26003.2</x:v>
      </x:c>
      <x:c r="L261" s="52" t="n">
        <x:f>SIMPLE!G194</x:f>
        <x:v>23224.76</x:v>
      </x:c>
      <x:c r="M261" s="52" t="n">
        <x:f>RGM!G194</x:f>
        <x:v>21137.96</x:v>
      </x:c>
    </x:row>
    <x:row r="262">
      <x:c r="B262" s="51" t="n">
        <x:f>ANN!A194</x:f>
        <x:v>188</x:v>
      </x:c>
      <x:c r="C262" s="52" t="n">
        <x:f>ANN!H194</x:f>
        <x:v>2484355.28</x:v>
      </x:c>
      <x:c r="D262" s="52" t="n">
        <x:f>SIMPLE!H194</x:f>
        <x:v>3646037.89</x:v>
      </x:c>
      <x:c r="E262" s="52" t="n">
        <x:f>RGM!H194</x:f>
        <x:v>1593777.25</x:v>
      </x:c>
      <x:c r="F262" s="51"/>
      <x:c r="G262" s="51"/>
      <x:c r="H262" s="51"/>
      <x:c r="I262" s="51"/>
      <x:c r="J262" s="51" t="n">
        <x:f>ANN!A195</x:f>
        <x:v>189</x:v>
      </x:c>
      <x:c r="K262" s="52" t="n">
        <x:f>ANN!G195</x:f>
        <x:v>26003.2</x:v>
      </x:c>
      <x:c r="L262" s="52" t="n">
        <x:f>SIMPLE!G195</x:f>
        <x:v>22475.58</x:v>
      </x:c>
      <x:c r="M262" s="52" t="n">
        <x:f>RGM!G195</x:f>
        <x:v>20740.93</x:v>
      </x:c>
    </x:row>
    <x:row r="263">
      <x:c r="B263" s="51" t="n">
        <x:f>ANN!A195</x:f>
        <x:v>189</x:v>
      </x:c>
      <x:c r="C263" s="52" t="n">
        <x:f>ANN!H195</x:f>
        <x:v>2473666.6</x:v>
      </x:c>
      <x:c r="D263" s="52" t="n">
        <x:f>SIMPLE!H195</x:f>
        <x:v>3646037.89</x:v>
      </x:c>
      <x:c r="E263" s="52" t="n">
        <x:f>RGM!H195</x:f>
        <x:v>1582860.97</x:v>
      </x:c>
      <x:c r="F263" s="51"/>
      <x:c r="G263" s="51"/>
      <x:c r="H263" s="51"/>
      <x:c r="I263" s="51"/>
      <x:c r="J263" s="51" t="n">
        <x:f>ANN!A196</x:f>
        <x:v>190</x:v>
      </x:c>
      <x:c r="K263" s="52" t="n">
        <x:f>ANN!G196</x:f>
        <x:v>26003.2</x:v>
      </x:c>
      <x:c r="L263" s="52" t="n">
        <x:f>SIMPLE!G196</x:f>
        <x:v>23224.76</x:v>
      </x:c>
      <x:c r="M263" s="52" t="n">
        <x:f>RGM!G196</x:f>
        <x:v>20998.89</x:v>
      </x:c>
    </x:row>
    <x:row r="264">
      <x:c r="B264" s="51" t="n">
        <x:f>ANN!A196</x:f>
        <x:v>190</x:v>
      </x:c>
      <x:c r="C264" s="52" t="n">
        <x:f>ANN!H196</x:f>
        <x:v>2463420.32</x:v>
      </x:c>
      <x:c r="D264" s="52" t="n">
        <x:f>SIMPLE!H196</x:f>
        <x:v>3646037.89</x:v>
      </x:c>
      <x:c r="E264" s="52" t="n">
        <x:f>RGM!H196</x:f>
        <x:v>1571944.69</x:v>
      </x:c>
      <x:c r="F264" s="51"/>
      <x:c r="G264" s="51"/>
      <x:c r="H264" s="51"/>
      <x:c r="I264" s="51"/>
      <x:c r="J264" s="51" t="n">
        <x:f>ANN!A197</x:f>
        <x:v>191</x:v>
      </x:c>
      <x:c r="K264" s="52" t="n">
        <x:f>ANN!G197</x:f>
        <x:v>26003.2</x:v>
      </x:c>
      <x:c r="L264" s="52" t="n">
        <x:f>SIMPLE!G197</x:f>
        <x:v>22475.58</x:v>
      </x:c>
      <x:c r="M264" s="52" t="n">
        <x:f>RGM!G197</x:f>
        <x:v>20606.35</x:v>
      </x:c>
    </x:row>
    <x:row r="265">
      <x:c r="B265" s="51" t="n">
        <x:f>ANN!A197</x:f>
        <x:v>191</x:v>
      </x:c>
      <x:c r="C265" s="52" t="n">
        <x:f>ANN!H197</x:f>
        <x:v>2452602.59</x:v>
      </x:c>
      <x:c r="D265" s="52" t="n">
        <x:f>SIMPLE!H197</x:f>
        <x:v>3646037.89</x:v>
      </x:c>
      <x:c r="E265" s="52" t="n">
        <x:f>RGM!H197</x:f>
        <x:v>1561028.41</x:v>
      </x:c>
      <x:c r="F265" s="51"/>
      <x:c r="G265" s="51"/>
      <x:c r="H265" s="51"/>
      <x:c r="I265" s="51"/>
      <x:c r="J265" s="51" t="n">
        <x:f>ANN!A198</x:f>
        <x:v>192</x:v>
      </x:c>
      <x:c r="K265" s="52" t="n">
        <x:f>ANN!G198</x:f>
        <x:v>26003.2</x:v>
      </x:c>
      <x:c r="L265" s="52" t="n">
        <x:f>SIMPLE!G198</x:f>
        <x:v>23224.76</x:v>
      </x:c>
      <x:c r="M265" s="52" t="n">
        <x:f>RGM!G198</x:f>
        <x:v>20859.82</x:v>
      </x:c>
    </x:row>
    <x:row r="266">
      <x:c r="B266" s="51" t="n">
        <x:f>ANN!A198</x:f>
        <x:v>192</x:v>
      </x:c>
      <x:c r="C266" s="52" t="n">
        <x:f>ANN!H198</x:f>
        <x:v>2442222.13</x:v>
      </x:c>
      <x:c r="D266" s="52" t="n">
        <x:f>SIMPLE!H198</x:f>
        <x:v>3646037.89</x:v>
      </x:c>
      <x:c r="E266" s="52" t="n">
        <x:f>RGM!H198</x:f>
        <x:v>1550112.13</x:v>
      </x:c>
      <x:c r="F266" s="51"/>
      <x:c r="G266" s="51"/>
      <x:c r="H266" s="51"/>
      <x:c r="I266" s="51"/>
      <x:c r="J266" s="51" t="n">
        <x:f>ANN!A199</x:f>
        <x:v>193</x:v>
      </x:c>
      <x:c r="K266" s="52" t="n">
        <x:f>ANN!G199</x:f>
        <x:v>26003.2</x:v>
      </x:c>
      <x:c r="L266" s="52" t="n">
        <x:f>SIMPLE!G199</x:f>
        <x:v>23224.76</x:v>
      </x:c>
      <x:c r="M266" s="52" t="n">
        <x:f>RGM!G199</x:f>
        <x:v>20790.28</x:v>
      </x:c>
    </x:row>
    <x:row r="267">
      <x:c r="B267" s="51" t="n">
        <x:f>ANN!A199</x:f>
        <x:v>193</x:v>
      </x:c>
      <x:c r="C267" s="52" t="n">
        <x:f>ANN!H199</x:f>
        <x:v>2431775.55</x:v>
      </x:c>
      <x:c r="D267" s="52" t="n">
        <x:f>SIMPLE!H199</x:f>
        <x:v>3646037.89</x:v>
      </x:c>
      <x:c r="E267" s="52" t="n">
        <x:f>RGM!H199</x:f>
        <x:v>1539195.85</x:v>
      </x:c>
      <x:c r="F267" s="51"/>
      <x:c r="G267" s="51"/>
      <x:c r="H267" s="51"/>
      <x:c r="I267" s="51"/>
      <x:c r="J267" s="51" t="n">
        <x:f>ANN!A200</x:f>
        <x:v>194</x:v>
      </x:c>
      <x:c r="K267" s="52" t="n">
        <x:f>ANN!G200</x:f>
        <x:v>26003.2</x:v>
      </x:c>
      <x:c r="L267" s="52" t="n">
        <x:f>SIMPLE!G200</x:f>
        <x:v>22475.58</x:v>
      </x:c>
      <x:c r="M267" s="52" t="n">
        <x:f>RGM!G200</x:f>
        <x:v>20404.47</x:v>
      </x:c>
    </x:row>
    <x:row r="268">
      <x:c r="B268" s="51" t="n">
        <x:f>ANN!A200</x:f>
        <x:v>194</x:v>
      </x:c>
      <x:c r="C268" s="52" t="n">
        <x:f>ANN!H200</x:f>
        <x:v>2420762.75</x:v>
      </x:c>
      <x:c r="D268" s="52" t="n">
        <x:f>SIMPLE!H200</x:f>
        <x:v>3646037.89</x:v>
      </x:c>
      <x:c r="E268" s="52" t="n">
        <x:f>RGM!H200</x:f>
        <x:v>1528279.57</x:v>
      </x:c>
      <x:c r="F268" s="51"/>
      <x:c r="G268" s="51"/>
      <x:c r="H268" s="51"/>
      <x:c r="I268" s="51"/>
      <x:c r="J268" s="51" t="n">
        <x:f>ANN!A201</x:f>
        <x:v>195</x:v>
      </x:c>
      <x:c r="K268" s="52" t="n">
        <x:f>ANN!G201</x:f>
        <x:v>26003.2</x:v>
      </x:c>
      <x:c r="L268" s="52" t="n">
        <x:f>SIMPLE!G201</x:f>
        <x:v>23224.76</x:v>
      </x:c>
      <x:c r="M268" s="52" t="n">
        <x:f>RGM!G201</x:f>
        <x:v>20651.21</x:v>
      </x:c>
    </x:row>
    <x:row r="269">
      <x:c r="B269" s="51" t="n">
        <x:f>ANN!A201</x:f>
        <x:v>195</x:v>
      </x:c>
      <x:c r="C269" s="52" t="n">
        <x:f>ANN!H201</x:f>
        <x:v>2410179.48</x:v>
      </x:c>
      <x:c r="D269" s="52" t="n">
        <x:f>SIMPLE!H201</x:f>
        <x:v>3646037.89</x:v>
      </x:c>
      <x:c r="E269" s="52" t="n">
        <x:f>RGM!H201</x:f>
        <x:v>1517363.29</x:v>
      </x:c>
      <x:c r="F269" s="51"/>
      <x:c r="G269" s="51"/>
      <x:c r="H269" s="51"/>
      <x:c r="I269" s="51"/>
      <x:c r="J269" s="51" t="n">
        <x:f>ANN!A202</x:f>
        <x:v>196</x:v>
      </x:c>
      <x:c r="K269" s="52" t="n">
        <x:f>ANN!G202</x:f>
        <x:v>26003.2</x:v>
      </x:c>
      <x:c r="L269" s="52" t="n">
        <x:f>SIMPLE!G202</x:f>
        <x:v>22475.58</x:v>
      </x:c>
      <x:c r="M269" s="52" t="n">
        <x:f>RGM!G202</x:f>
        <x:v>20269.89</x:v>
      </x:c>
    </x:row>
    <x:row r="270">
      <x:c r="B270" s="51" t="n">
        <x:f>ANN!A202</x:f>
        <x:v>196</x:v>
      </x:c>
      <x:c r="C270" s="52" t="n">
        <x:f>ANN!H202</x:f>
        <x:v>2399033.55</x:v>
      </x:c>
      <x:c r="D270" s="52" t="n">
        <x:f>SIMPLE!H202</x:f>
        <x:v>3646037.89</x:v>
      </x:c>
      <x:c r="E270" s="52" t="n">
        <x:f>RGM!H202</x:f>
        <x:v>1506447.01</x:v>
      </x:c>
      <x:c r="F270" s="51"/>
      <x:c r="G270" s="51"/>
      <x:c r="H270" s="51"/>
      <x:c r="I270" s="51"/>
      <x:c r="J270" s="51" t="n">
        <x:f>ANN!A203</x:f>
        <x:v>197</x:v>
      </x:c>
      <x:c r="K270" s="52" t="n">
        <x:f>ANN!G203</x:f>
        <x:v>26003.2</x:v>
      </x:c>
      <x:c r="L270" s="52" t="n">
        <x:f>SIMPLE!G203</x:f>
        <x:v>23224.76</x:v>
      </x:c>
      <x:c r="M270" s="52" t="n">
        <x:f>RGM!G203</x:f>
        <x:v>20512.14</x:v>
      </x:c>
    </x:row>
    <x:row r="271">
      <x:c r="B271" s="51" t="n">
        <x:f>ANN!A203</x:f>
        <x:v>197</x:v>
      </x:c>
      <x:c r="C271" s="52" t="n">
        <x:f>ANN!H203</x:f>
        <x:v>2388311.87</x:v>
      </x:c>
      <x:c r="D271" s="52" t="n">
        <x:f>SIMPLE!H203</x:f>
        <x:v>3646037.89</x:v>
      </x:c>
      <x:c r="E271" s="52" t="n">
        <x:f>RGM!H203</x:f>
        <x:v>1495530.73</x:v>
      </x:c>
      <x:c r="F271" s="51"/>
      <x:c r="G271" s="51"/>
      <x:c r="H271" s="51"/>
      <x:c r="I271" s="51"/>
      <x:c r="J271" s="51" t="n">
        <x:f>ANN!A204</x:f>
        <x:v>198</x:v>
      </x:c>
      <x:c r="K271" s="52" t="n">
        <x:f>ANN!G204</x:f>
        <x:v>26003.2</x:v>
      </x:c>
      <x:c r="L271" s="52" t="n">
        <x:f>SIMPLE!G204</x:f>
        <x:v>23224.76</x:v>
      </x:c>
      <x:c r="M271" s="52" t="n">
        <x:f>RGM!G204</x:f>
        <x:v>20442.61</x:v>
      </x:c>
    </x:row>
    <x:row r="272">
      <x:c r="B272" s="51" t="n">
        <x:f>ANN!A204</x:f>
        <x:v>198</x:v>
      </x:c>
      <x:c r="C272" s="52" t="n">
        <x:f>ANN!H204</x:f>
        <x:v>2377521.89</x:v>
      </x:c>
      <x:c r="D272" s="52" t="n">
        <x:f>SIMPLE!H204</x:f>
        <x:v>3646037.89</x:v>
      </x:c>
      <x:c r="E272" s="52" t="n">
        <x:f>RGM!H204</x:f>
        <x:v>1484614.45</x:v>
      </x:c>
      <x:c r="F272" s="51"/>
      <x:c r="G272" s="51"/>
      <x:c r="H272" s="51"/>
      <x:c r="I272" s="51"/>
      <x:c r="J272" s="51" t="n">
        <x:f>ANN!A205</x:f>
        <x:v>199</x:v>
      </x:c>
      <x:c r="K272" s="52" t="n">
        <x:f>ANN!G205</x:f>
        <x:v>26003.2</x:v>
      </x:c>
      <x:c r="L272" s="52" t="n">
        <x:f>SIMPLE!G205</x:f>
        <x:v>20977.2</x:v>
      </x:c>
      <x:c r="M272" s="52" t="n">
        <x:f>RGM!G205</x:f>
        <x:v>19457.9</x:v>
      </x:c>
    </x:row>
    <x:row r="273">
      <x:c r="B273" s="51" t="n">
        <x:f>ANN!A205</x:f>
        <x:v>199</x:v>
      </x:c>
      <x:c r="C273" s="52" t="n">
        <x:f>ANN!H205</x:f>
        <x:v>2365197.58</x:v>
      </x:c>
      <x:c r="D273" s="52" t="n">
        <x:f>SIMPLE!H205</x:f>
        <x:v>3646037.89</x:v>
      </x:c>
      <x:c r="E273" s="52" t="n">
        <x:f>RGM!H205</x:f>
        <x:v>1473698.17</x:v>
      </x:c>
      <x:c r="F273" s="51"/>
      <x:c r="G273" s="51"/>
      <x:c r="H273" s="51"/>
      <x:c r="I273" s="51"/>
      <x:c r="J273" s="51" t="n">
        <x:f>ANN!A206</x:f>
        <x:v>200</x:v>
      </x:c>
      <x:c r="K273" s="52" t="n">
        <x:f>ANN!G206</x:f>
        <x:v>26003.2</x:v>
      </x:c>
      <x:c r="L273" s="52" t="n">
        <x:f>SIMPLE!G206</x:f>
        <x:v>23224.76</x:v>
      </x:c>
      <x:c r="M273" s="52" t="n">
        <x:f>RGM!G206</x:f>
        <x:v>20303.54</x:v>
      </x:c>
    </x:row>
    <x:row r="274">
      <x:c r="B274" s="51" t="n">
        <x:f>ANN!A206</x:f>
        <x:v>200</x:v>
      </x:c>
      <x:c r="C274" s="52" t="n">
        <x:f>ANN!H206</x:f>
        <x:v>2354260.36</x:v>
      </x:c>
      <x:c r="D274" s="52" t="n">
        <x:f>SIMPLE!H206</x:f>
        <x:v>3646037.89</x:v>
      </x:c>
      <x:c r="E274" s="52" t="n">
        <x:f>RGM!H206</x:f>
        <x:v>1462781.89</x:v>
      </x:c>
      <x:c r="F274" s="51"/>
      <x:c r="G274" s="51"/>
      <x:c r="H274" s="51"/>
      <x:c r="I274" s="51"/>
      <x:c r="J274" s="51" t="n">
        <x:f>ANN!A207</x:f>
        <x:v>201</x:v>
      </x:c>
      <x:c r="K274" s="52" t="n">
        <x:f>ANN!G207</x:f>
        <x:v>26003.2</x:v>
      </x:c>
      <x:c r="L274" s="52" t="n">
        <x:f>SIMPLE!G207</x:f>
        <x:v>22475.58</x:v>
      </x:c>
      <x:c r="M274" s="52" t="n">
        <x:f>RGM!G207</x:f>
        <x:v>19933.43</x:v>
      </x:c>
    </x:row>
    <x:row r="275">
      <x:c r="B275" s="51" t="n">
        <x:f>ANN!A207</x:f>
        <x:v>201</x:v>
      </x:c>
      <x:c r="C275" s="52" t="n">
        <x:f>ANN!H207</x:f>
        <x:v>2342769.72</x:v>
      </x:c>
      <x:c r="D275" s="52" t="n">
        <x:f>SIMPLE!H207</x:f>
        <x:v>3646037.89</x:v>
      </x:c>
      <x:c r="E275" s="52" t="n">
        <x:f>RGM!H207</x:f>
        <x:v>1451865.61</x:v>
      </x:c>
      <x:c r="F275" s="51"/>
      <x:c r="G275" s="51"/>
      <x:c r="H275" s="51"/>
      <x:c r="I275" s="51"/>
      <x:c r="J275" s="51" t="n">
        <x:f>ANN!A208</x:f>
        <x:v>202</x:v>
      </x:c>
      <x:c r="K275" s="52" t="n">
        <x:f>ANN!G208</x:f>
        <x:v>26003.2</x:v>
      </x:c>
      <x:c r="L275" s="52" t="n">
        <x:f>SIMPLE!G208</x:f>
        <x:v>23224.76</x:v>
      </x:c>
      <x:c r="M275" s="52" t="n">
        <x:f>RGM!G208</x:f>
        <x:v>20164.47</x:v>
      </x:c>
    </x:row>
    <x:row r="276">
      <x:c r="B276" s="51" t="n">
        <x:f>ANN!A208</x:f>
        <x:v>202</x:v>
      </x:c>
      <x:c r="C276" s="52" t="n">
        <x:f>ANN!H208</x:f>
        <x:v>2331689.64</x:v>
      </x:c>
      <x:c r="D276" s="52" t="n">
        <x:f>SIMPLE!H208</x:f>
        <x:v>3646037.89</x:v>
      </x:c>
      <x:c r="E276" s="52" t="n">
        <x:f>RGM!H208</x:f>
        <x:v>1440949.33</x:v>
      </x:c>
      <x:c r="F276" s="51"/>
      <x:c r="G276" s="51"/>
      <x:c r="H276" s="51"/>
      <x:c r="I276" s="51"/>
      <x:c r="J276" s="51" t="n">
        <x:f>ANN!A209</x:f>
        <x:v>203</x:v>
      </x:c>
      <x:c r="K276" s="52" t="n">
        <x:f>ANN!G209</x:f>
        <x:v>26003.2</x:v>
      </x:c>
      <x:c r="L276" s="52" t="n">
        <x:f>SIMPLE!G209</x:f>
        <x:v>22475.58</x:v>
      </x:c>
      <x:c r="M276" s="52" t="n">
        <x:f>RGM!G209</x:f>
        <x:v>19798.84</x:v>
      </x:c>
    </x:row>
    <x:row r="277">
      <x:c r="B277" s="51" t="n">
        <x:f>ANN!A209</x:f>
        <x:v>203</x:v>
      </x:c>
      <x:c r="C277" s="52" t="n">
        <x:f>ANN!H209</x:f>
        <x:v>2320059.87</x:v>
      </x:c>
      <x:c r="D277" s="52" t="n">
        <x:f>SIMPLE!H209</x:f>
        <x:v>3646037.89</x:v>
      </x:c>
      <x:c r="E277" s="52" t="n">
        <x:f>RGM!H209</x:f>
        <x:v>1430033.05</x:v>
      </x:c>
      <x:c r="F277" s="51"/>
      <x:c r="G277" s="51"/>
      <x:c r="H277" s="51"/>
      <x:c r="I277" s="51"/>
      <x:c r="J277" s="51" t="n">
        <x:f>ANN!A210</x:f>
        <x:v>204</x:v>
      </x:c>
      <x:c r="K277" s="52" t="n">
        <x:f>ANN!G210</x:f>
        <x:v>26003.2</x:v>
      </x:c>
      <x:c r="L277" s="52" t="n">
        <x:f>SIMPLE!G210</x:f>
        <x:v>23224.76</x:v>
      </x:c>
      <x:c r="M277" s="52" t="n">
        <x:f>RGM!G210</x:f>
        <x:v>20025.39</x:v>
      </x:c>
    </x:row>
    <x:row r="278">
      <x:c r="B278" s="51" t="n">
        <x:f>ANN!A210</x:f>
        <x:v>204</x:v>
      </x:c>
      <x:c r="C278" s="52" t="n">
        <x:f>ANN!H210</x:f>
        <x:v>2308835.13</x:v>
      </x:c>
      <x:c r="D278" s="52" t="n">
        <x:f>SIMPLE!H210</x:f>
        <x:v>3646037.89</x:v>
      </x:c>
      <x:c r="E278" s="52" t="n">
        <x:f>RGM!H210</x:f>
        <x:v>1419116.77</x:v>
      </x:c>
      <x:c r="F278" s="51"/>
      <x:c r="G278" s="51"/>
      <x:c r="H278" s="51"/>
      <x:c r="I278" s="51"/>
      <x:c r="J278" s="51" t="n">
        <x:f>ANN!A211</x:f>
        <x:v>205</x:v>
      </x:c>
      <x:c r="K278" s="52" t="n">
        <x:f>ANN!G211</x:f>
        <x:v>26003.2</x:v>
      </x:c>
      <x:c r="L278" s="52" t="n">
        <x:f>SIMPLE!G211</x:f>
        <x:v>23224.76</x:v>
      </x:c>
      <x:c r="M278" s="52" t="n">
        <x:f>RGM!G211</x:f>
        <x:v>19955.86</x:v>
      </x:c>
    </x:row>
    <x:row r="279">
      <x:c r="B279" s="51" t="n">
        <x:f>ANN!A211</x:f>
        <x:v>205</x:v>
      </x:c>
      <x:c r="C279" s="52" t="n">
        <x:f>ANN!H211</x:f>
        <x:v>2297538.89</x:v>
      </x:c>
      <x:c r="D279" s="52" t="n">
        <x:f>SIMPLE!H211</x:f>
        <x:v>3646037.89</x:v>
      </x:c>
      <x:c r="E279" s="52" t="n">
        <x:f>RGM!H211</x:f>
        <x:v>1408200.49</x:v>
      </x:c>
      <x:c r="F279" s="51"/>
      <x:c r="G279" s="51"/>
      <x:c r="H279" s="51"/>
      <x:c r="I279" s="51"/>
      <x:c r="J279" s="51" t="n">
        <x:f>ANN!A212</x:f>
        <x:v>206</x:v>
      </x:c>
      <x:c r="K279" s="52" t="n">
        <x:f>ANN!G212</x:f>
        <x:v>26003.2</x:v>
      </x:c>
      <x:c r="L279" s="52" t="n">
        <x:f>SIMPLE!G212</x:f>
        <x:v>22475.58</x:v>
      </x:c>
      <x:c r="M279" s="52" t="n">
        <x:f>RGM!G212</x:f>
        <x:v>19596.97</x:v>
      </x:c>
    </x:row>
    <x:row r="280">
      <x:c r="B280" s="51" t="n">
        <x:f>ANN!A212</x:f>
        <x:v>206</x:v>
      </x:c>
      <x:c r="C280" s="52" t="n">
        <x:f>ANN!H212</x:f>
        <x:v>2285698.6</x:v>
      </x:c>
      <x:c r="D280" s="52" t="n">
        <x:f>SIMPLE!H212</x:f>
        <x:v>3646037.89</x:v>
      </x:c>
      <x:c r="E280" s="52" t="n">
        <x:f>RGM!H212</x:f>
        <x:v>1397284.21</x:v>
      </x:c>
      <x:c r="F280" s="51"/>
      <x:c r="G280" s="51"/>
      <x:c r="H280" s="51"/>
      <x:c r="I280" s="51"/>
      <x:c r="J280" s="51" t="n">
        <x:f>ANN!A213</x:f>
        <x:v>207</x:v>
      </x:c>
      <x:c r="K280" s="52" t="n">
        <x:f>ANN!G213</x:f>
        <x:v>26003.2</x:v>
      </x:c>
      <x:c r="L280" s="52" t="n">
        <x:f>SIMPLE!G213</x:f>
        <x:v>23224.76</x:v>
      </x:c>
      <x:c r="M280" s="52" t="n">
        <x:f>RGM!G213</x:f>
        <x:v>19816.79</x:v>
      </x:c>
    </x:row>
    <x:row r="281">
      <x:c r="B281" s="51" t="n">
        <x:f>ANN!A213</x:f>
        <x:v>207</x:v>
      </x:c>
      <x:c r="C281" s="52" t="n">
        <x:f>ANN!H213</x:f>
        <x:v>2274254.99</x:v>
      </x:c>
      <x:c r="D281" s="52" t="n">
        <x:f>SIMPLE!H213</x:f>
        <x:v>3646037.89</x:v>
      </x:c>
      <x:c r="E281" s="52" t="n">
        <x:f>RGM!H213</x:f>
        <x:v>1386367.93</x:v>
      </x:c>
      <x:c r="F281" s="51"/>
      <x:c r="G281" s="51"/>
      <x:c r="H281" s="51"/>
      <x:c r="I281" s="51"/>
      <x:c r="J281" s="51" t="n">
        <x:f>ANN!A214</x:f>
        <x:v>208</x:v>
      </x:c>
      <x:c r="K281" s="52" t="n">
        <x:f>ANN!G214</x:f>
        <x:v>26003.2</x:v>
      </x:c>
      <x:c r="L281" s="52" t="n">
        <x:f>SIMPLE!G214</x:f>
        <x:v>22475.58</x:v>
      </x:c>
      <x:c r="M281" s="52" t="n">
        <x:f>RGM!G214</x:f>
        <x:v>19462.38</x:v>
      </x:c>
    </x:row>
    <x:row r="282">
      <x:c r="B282" s="51" t="n">
        <x:f>ANN!A214</x:f>
        <x:v>208</x:v>
      </x:c>
      <x:c r="C282" s="52" t="n">
        <x:f>ANN!H214</x:f>
        <x:v>2262271.17</x:v>
      </x:c>
      <x:c r="D282" s="52" t="n">
        <x:f>SIMPLE!H214</x:f>
        <x:v>3646037.89</x:v>
      </x:c>
      <x:c r="E282" s="52" t="n">
        <x:f>RGM!H214</x:f>
        <x:v>1375451.65</x:v>
      </x:c>
      <x:c r="F282" s="51"/>
      <x:c r="G282" s="51"/>
      <x:c r="H282" s="51"/>
      <x:c r="I282" s="51"/>
      <x:c r="J282" s="51" t="n">
        <x:f>ANN!A215</x:f>
        <x:v>209</x:v>
      </x:c>
      <x:c r="K282" s="52" t="n">
        <x:f>ANN!G215</x:f>
        <x:v>26003.2</x:v>
      </x:c>
      <x:c r="L282" s="52" t="n">
        <x:f>SIMPLE!G215</x:f>
        <x:v>23224.76</x:v>
      </x:c>
      <x:c r="M282" s="52" t="n">
        <x:f>RGM!G215</x:f>
        <x:v>19677.72</x:v>
      </x:c>
    </x:row>
    <x:row r="283">
      <x:c r="B283" s="51" t="n">
        <x:f>ANN!A215</x:f>
        <x:v>209</x:v>
      </x:c>
      <x:c r="C283" s="52" t="n">
        <x:f>ANN!H215</x:f>
        <x:v>2250678.33</x:v>
      </x:c>
      <x:c r="D283" s="52" t="n">
        <x:f>SIMPLE!H215</x:f>
        <x:v>3646037.89</x:v>
      </x:c>
      <x:c r="E283" s="52" t="n">
        <x:f>RGM!H215</x:f>
        <x:v>1364535.37</x:v>
      </x:c>
      <x:c r="F283" s="51"/>
      <x:c r="G283" s="51"/>
      <x:c r="H283" s="51"/>
      <x:c r="I283" s="51"/>
      <x:c r="J283" s="51" t="n">
        <x:f>ANN!A216</x:f>
        <x:v>210</x:v>
      </x:c>
      <x:c r="K283" s="52" t="n">
        <x:f>ANN!G216</x:f>
        <x:v>26003.2</x:v>
      </x:c>
      <x:c r="L283" s="52" t="n">
        <x:f>SIMPLE!G216</x:f>
        <x:v>23224.76</x:v>
      </x:c>
      <x:c r="M283" s="52" t="n">
        <x:f>RGM!G216</x:f>
        <x:v>19608.18</x:v>
      </x:c>
    </x:row>
    <x:row r="284">
      <x:c r="B284" s="51" t="n">
        <x:f>ANN!A216</x:f>
        <x:v>210</x:v>
      </x:c>
      <x:c r="C284" s="52" t="n">
        <x:f>ANN!H216</x:f>
        <x:v>2239011.64</x:v>
      </x:c>
      <x:c r="D284" s="52" t="n">
        <x:f>SIMPLE!H216</x:f>
        <x:v>3646037.89</x:v>
      </x:c>
      <x:c r="E284" s="52" t="n">
        <x:f>RGM!H216</x:f>
        <x:v>1353619.09</x:v>
      </x:c>
      <x:c r="F284" s="51"/>
      <x:c r="G284" s="51"/>
      <x:c r="H284" s="51"/>
      <x:c r="I284" s="51"/>
      <x:c r="J284" s="51" t="n">
        <x:f>ANN!A217</x:f>
        <x:v>211</x:v>
      </x:c>
      <x:c r="K284" s="52" t="n">
        <x:f>ANN!G217</x:f>
        <x:v>26003.2</x:v>
      </x:c>
      <x:c r="L284" s="52" t="n">
        <x:f>SIMPLE!G217</x:f>
        <x:v>21726.39</x:v>
      </x:c>
      <x:c r="M284" s="52" t="n">
        <x:f>RGM!G217</x:f>
        <x:v>18982.37</x:v>
      </x:c>
    </x:row>
    <x:row r="285">
      <x:c r="B285" s="51" t="n">
        <x:f>ANN!A217</x:f>
        <x:v>211</x:v>
      </x:c>
      <x:c r="C285" s="52" t="n">
        <x:f>ANN!H217</x:f>
        <x:v>2226350.5</x:v>
      </x:c>
      <x:c r="D285" s="52" t="n">
        <x:f>SIMPLE!H217</x:f>
        <x:v>3646037.89</x:v>
      </x:c>
      <x:c r="E285" s="52" t="n">
        <x:f>RGM!H217</x:f>
        <x:v>1342702.81</x:v>
      </x:c>
      <x:c r="F285" s="51"/>
      <x:c r="G285" s="51"/>
      <x:c r="H285" s="51"/>
      <x:c r="I285" s="51"/>
      <x:c r="J285" s="51" t="n">
        <x:f>ANN!A218</x:f>
        <x:v>212</x:v>
      </x:c>
      <x:c r="K285" s="52" t="n">
        <x:f>ANN!G218</x:f>
        <x:v>26003.2</x:v>
      </x:c>
      <x:c r="L285" s="52" t="n">
        <x:f>SIMPLE!G218</x:f>
        <x:v>23224.76</x:v>
      </x:c>
      <x:c r="M285" s="52" t="n">
        <x:f>RGM!G218</x:f>
        <x:v>19469.11</x:v>
      </x:c>
    </x:row>
    <x:row r="286">
      <x:c r="B286" s="51" t="n">
        <x:f>ANN!A218</x:f>
        <x:v>212</x:v>
      </x:c>
      <x:c r="C286" s="52" t="n">
        <x:f>ANN!H218</x:f>
        <x:v>2214528.85</x:v>
      </x:c>
      <x:c r="D286" s="52" t="n">
        <x:f>SIMPLE!H218</x:f>
        <x:v>3646037.89</x:v>
      </x:c>
      <x:c r="E286" s="52" t="n">
        <x:f>RGM!H218</x:f>
        <x:v>1331786.53</x:v>
      </x:c>
      <x:c r="F286" s="51"/>
      <x:c r="G286" s="51"/>
      <x:c r="H286" s="51"/>
      <x:c r="I286" s="51"/>
      <x:c r="J286" s="51" t="n">
        <x:f>ANN!A219</x:f>
        <x:v>213</x:v>
      </x:c>
      <x:c r="K286" s="52" t="n">
        <x:f>ANN!G219</x:f>
        <x:v>26003.2</x:v>
      </x:c>
      <x:c r="L286" s="52" t="n">
        <x:f>SIMPLE!G219</x:f>
        <x:v>22475.58</x:v>
      </x:c>
      <x:c r="M286" s="52" t="n">
        <x:f>RGM!G219</x:f>
        <x:v>19125.92</x:v>
      </x:c>
    </x:row>
    <x:row r="287">
      <x:c r="B287" s="51" t="n">
        <x:f>ANN!A219</x:f>
        <x:v>213</x:v>
      </x:c>
      <x:c r="C287" s="52" t="n">
        <x:f>ANN!H219</x:f>
        <x:v>2202176.86</x:v>
      </x:c>
      <x:c r="D287" s="52" t="n">
        <x:f>SIMPLE!H219</x:f>
        <x:v>3646037.89</x:v>
      </x:c>
      <x:c r="E287" s="52" t="n">
        <x:f>RGM!H219</x:f>
        <x:v>1320870.25</x:v>
      </x:c>
      <x:c r="F287" s="51"/>
      <x:c r="G287" s="51"/>
      <x:c r="H287" s="51"/>
      <x:c r="I287" s="51"/>
      <x:c r="J287" s="51" t="n">
        <x:f>ANN!A220</x:f>
        <x:v>214</x:v>
      </x:c>
      <x:c r="K287" s="52" t="n">
        <x:f>ANN!G220</x:f>
        <x:v>26003.2</x:v>
      </x:c>
      <x:c r="L287" s="52" t="n">
        <x:f>SIMPLE!G220</x:f>
        <x:v>23224.76</x:v>
      </x:c>
      <x:c r="M287" s="52" t="n">
        <x:f>RGM!G220</x:f>
        <x:v>19330.04</x:v>
      </x:c>
    </x:row>
    <x:row r="288">
      <x:c r="B288" s="51" t="n">
        <x:f>ANN!A220</x:f>
        <x:v>214</x:v>
      </x:c>
      <x:c r="C288" s="52" t="n">
        <x:f>ANN!H220</x:f>
        <x:v>2190201.22</x:v>
      </x:c>
      <x:c r="D288" s="52" t="n">
        <x:f>SIMPLE!H220</x:f>
        <x:v>3646037.89</x:v>
      </x:c>
      <x:c r="E288" s="52" t="n">
        <x:f>RGM!H220</x:f>
        <x:v>1309953.97</x:v>
      </x:c>
      <x:c r="F288" s="51"/>
      <x:c r="G288" s="51"/>
      <x:c r="H288" s="51"/>
      <x:c r="I288" s="51"/>
      <x:c r="J288" s="51" t="n">
        <x:f>ANN!A221</x:f>
        <x:v>215</x:v>
      </x:c>
      <x:c r="K288" s="52" t="n">
        <x:f>ANN!G221</x:f>
        <x:v>26003.2</x:v>
      </x:c>
      <x:c r="L288" s="52" t="n">
        <x:f>SIMPLE!G221</x:f>
        <x:v>22475.58</x:v>
      </x:c>
      <x:c r="M288" s="52" t="n">
        <x:f>RGM!G221</x:f>
        <x:v>18991.34</x:v>
      </x:c>
    </x:row>
    <x:row r="289">
      <x:c r="B289" s="51" t="n">
        <x:f>ANN!A221</x:f>
        <x:v>215</x:v>
      </x:c>
      <x:c r="C289" s="52" t="n">
        <x:f>ANN!H221</x:f>
        <x:v>2177699.26</x:v>
      </x:c>
      <x:c r="D289" s="52" t="n">
        <x:f>SIMPLE!H221</x:f>
        <x:v>3646037.89</x:v>
      </x:c>
      <x:c r="E289" s="52" t="n">
        <x:f>RGM!H221</x:f>
        <x:v>1299037.69</x:v>
      </x:c>
      <x:c r="F289" s="51"/>
      <x:c r="G289" s="51"/>
      <x:c r="H289" s="51"/>
      <x:c r="I289" s="51"/>
      <x:c r="J289" s="51" t="n">
        <x:f>ANN!A222</x:f>
        <x:v>216</x:v>
      </x:c>
      <x:c r="K289" s="52" t="n">
        <x:f>ANN!G222</x:f>
        <x:v>26003.2</x:v>
      </x:c>
      <x:c r="L289" s="52" t="n">
        <x:f>SIMPLE!G222</x:f>
        <x:v>23224.76</x:v>
      </x:c>
      <x:c r="M289" s="52" t="n">
        <x:f>RGM!G222</x:f>
        <x:v>19190.97</x:v>
      </x:c>
    </x:row>
    <x:row r="290">
      <x:c r="B290" s="51" t="n">
        <x:f>ANN!A222</x:f>
        <x:v>216</x:v>
      </x:c>
      <x:c r="C290" s="52" t="n">
        <x:f>ANN!H222</x:f>
        <x:v>2165567.71</x:v>
      </x:c>
      <x:c r="D290" s="52" t="n">
        <x:f>SIMPLE!H222</x:f>
        <x:v>3646037.89</x:v>
      </x:c>
      <x:c r="E290" s="52" t="n">
        <x:f>RGM!H222</x:f>
        <x:v>1288121.41</x:v>
      </x:c>
      <x:c r="F290" s="51"/>
      <x:c r="G290" s="51"/>
      <x:c r="H290" s="51"/>
      <x:c r="I290" s="51"/>
      <x:c r="J290" s="51" t="n">
        <x:f>ANN!A223</x:f>
        <x:v>217</x:v>
      </x:c>
      <x:c r="K290" s="52" t="n">
        <x:f>ANN!G223</x:f>
        <x:v>26003.2</x:v>
      </x:c>
      <x:c r="L290" s="52" t="n">
        <x:f>SIMPLE!G223</x:f>
        <x:v>23224.76</x:v>
      </x:c>
      <x:c r="M290" s="52" t="n">
        <x:f>RGM!G223</x:f>
        <x:v>19121.44</x:v>
      </x:c>
    </x:row>
    <x:row r="291">
      <x:c r="B291" s="51" t="n">
        <x:f>ANN!A223</x:f>
        <x:v>217</x:v>
      </x:c>
      <x:c r="C291" s="52" t="n">
        <x:f>ANN!H223</x:f>
        <x:v>2153358.88</x:v>
      </x:c>
      <x:c r="D291" s="52" t="n">
        <x:f>SIMPLE!H223</x:f>
        <x:v>3646037.89</x:v>
      </x:c>
      <x:c r="E291" s="52" t="n">
        <x:f>RGM!H223</x:f>
        <x:v>1277205.13</x:v>
      </x:c>
      <x:c r="F291" s="51"/>
      <x:c r="G291" s="51"/>
      <x:c r="H291" s="51"/>
      <x:c r="I291" s="51"/>
      <x:c r="J291" s="51" t="n">
        <x:f>ANN!A224</x:f>
        <x:v>218</x:v>
      </x:c>
      <x:c r="K291" s="52" t="n">
        <x:f>ANN!G224</x:f>
        <x:v>26003.2</x:v>
      </x:c>
      <x:c r="L291" s="52" t="n">
        <x:f>SIMPLE!G224</x:f>
        <x:v>22475.58</x:v>
      </x:c>
      <x:c r="M291" s="52" t="n">
        <x:f>RGM!G224</x:f>
        <x:v>18789.46</x:v>
      </x:c>
    </x:row>
    <x:row r="292">
      <x:c r="B292" s="51" t="n">
        <x:f>ANN!A224</x:f>
        <x:v>218</x:v>
      </x:c>
      <x:c r="C292" s="52" t="n">
        <x:f>ANN!H224</x:f>
        <x:v>2140629.81</x:v>
      </x:c>
      <x:c r="D292" s="52" t="n">
        <x:f>SIMPLE!H224</x:f>
        <x:v>3646037.89</x:v>
      </x:c>
      <x:c r="E292" s="52" t="n">
        <x:f>RGM!H224</x:f>
        <x:v>1266288.85</x:v>
      </x:c>
      <x:c r="F292" s="51"/>
      <x:c r="G292" s="51"/>
      <x:c r="H292" s="51"/>
      <x:c r="I292" s="51"/>
      <x:c r="J292" s="51" t="n">
        <x:f>ANN!A225</x:f>
        <x:v>219</x:v>
      </x:c>
      <x:c r="K292" s="52" t="n">
        <x:f>ANN!G225</x:f>
        <x:v>26003.2</x:v>
      </x:c>
      <x:c r="L292" s="52" t="n">
        <x:f>SIMPLE!G225</x:f>
        <x:v>23224.76</x:v>
      </x:c>
      <x:c r="M292" s="52" t="n">
        <x:f>RGM!G225</x:f>
        <x:v>18982.37</x:v>
      </x:c>
    </x:row>
    <x:row r="293">
      <x:c r="B293" s="51" t="n">
        <x:f>ANN!A225</x:f>
        <x:v>219</x:v>
      </x:c>
      <x:c r="C293" s="52" t="n">
        <x:f>ANN!H225</x:f>
        <x:v>2128262.13</x:v>
      </x:c>
      <x:c r="D293" s="52" t="n">
        <x:f>SIMPLE!H225</x:f>
        <x:v>3646037.89</x:v>
      </x:c>
      <x:c r="E293" s="52" t="n">
        <x:f>RGM!H225</x:f>
        <x:v>1255372.57</x:v>
      </x:c>
      <x:c r="F293" s="51"/>
      <x:c r="G293" s="51"/>
      <x:c r="H293" s="51"/>
      <x:c r="I293" s="51"/>
      <x:c r="J293" s="51" t="n">
        <x:f>ANN!A226</x:f>
        <x:v>220</x:v>
      </x:c>
      <x:c r="K293" s="52" t="n">
        <x:f>ANN!G226</x:f>
        <x:v>26003.2</x:v>
      </x:c>
      <x:c r="L293" s="52" t="n">
        <x:f>SIMPLE!G226</x:f>
        <x:v>22475.58</x:v>
      </x:c>
      <x:c r="M293" s="52" t="n">
        <x:f>RGM!G226</x:f>
        <x:v>18654.88</x:v>
      </x:c>
    </x:row>
    <x:row r="294">
      <x:c r="B294" s="51" t="n">
        <x:f>ANN!A226</x:f>
        <x:v>220</x:v>
      </x:c>
      <x:c r="C294" s="52" t="n">
        <x:f>ANN!H226</x:f>
        <x:v>2115378.35</x:v>
      </x:c>
      <x:c r="D294" s="52" t="n">
        <x:f>SIMPLE!H226</x:f>
        <x:v>3646037.89</x:v>
      </x:c>
      <x:c r="E294" s="52" t="n">
        <x:f>RGM!H226</x:f>
        <x:v>1244456.29</x:v>
      </x:c>
      <x:c r="F294" s="51"/>
      <x:c r="G294" s="51"/>
      <x:c r="H294" s="51"/>
      <x:c r="I294" s="51"/>
      <x:c r="J294" s="51" t="n">
        <x:f>ANN!A227</x:f>
        <x:v>221</x:v>
      </x:c>
      <x:c r="K294" s="52" t="n">
        <x:f>ANN!G227</x:f>
        <x:v>26003.2</x:v>
      </x:c>
      <x:c r="L294" s="52" t="n">
        <x:f>SIMPLE!G227</x:f>
        <x:v>23224.76</x:v>
      </x:c>
      <x:c r="M294" s="52" t="n">
        <x:f>RGM!G227</x:f>
        <x:v>18843.3</x:v>
      </x:c>
    </x:row>
    <x:row r="295">
      <x:c r="B295" s="51" t="n">
        <x:f>ANN!A227</x:f>
        <x:v>221</x:v>
      </x:c>
      <x:c r="C295" s="52" t="n">
        <x:f>ANN!H227</x:f>
        <x:v>2102849.82</x:v>
      </x:c>
      <x:c r="D295" s="52" t="n">
        <x:f>SIMPLE!H227</x:f>
        <x:v>3646037.89</x:v>
      </x:c>
      <x:c r="E295" s="52" t="n">
        <x:f>RGM!H227</x:f>
        <x:v>1233540.01</x:v>
      </x:c>
      <x:c r="F295" s="51"/>
      <x:c r="G295" s="51"/>
      <x:c r="H295" s="51"/>
      <x:c r="I295" s="51"/>
      <x:c r="J295" s="51" t="n">
        <x:f>ANN!A228</x:f>
        <x:v>222</x:v>
      </x:c>
      <x:c r="K295" s="52" t="n">
        <x:f>ANN!G228</x:f>
        <x:v>26003.2</x:v>
      </x:c>
      <x:c r="L295" s="52" t="n">
        <x:f>SIMPLE!G228</x:f>
        <x:v>23224.76</x:v>
      </x:c>
      <x:c r="M295" s="52" t="n">
        <x:f>RGM!G228</x:f>
        <x:v>18773.76</x:v>
      </x:c>
    </x:row>
    <x:row r="296">
      <x:c r="B296" s="51" t="n">
        <x:f>ANN!A228</x:f>
        <x:v>222</x:v>
      </x:c>
      <x:c r="C296" s="52" t="n">
        <x:f>ANN!H228</x:f>
        <x:v>2090241.49</x:v>
      </x:c>
      <x:c r="D296" s="52" t="n">
        <x:f>SIMPLE!H228</x:f>
        <x:v>3646037.89</x:v>
      </x:c>
      <x:c r="E296" s="52" t="n">
        <x:f>RGM!H228</x:f>
        <x:v>1222623.73</x:v>
      </x:c>
      <x:c r="F296" s="51"/>
      <x:c r="G296" s="51"/>
      <x:c r="H296" s="51"/>
      <x:c r="I296" s="51"/>
      <x:c r="J296" s="51" t="n">
        <x:f>ANN!A229</x:f>
        <x:v>223</x:v>
      </x:c>
      <x:c r="K296" s="52" t="n">
        <x:f>ANN!G229</x:f>
        <x:v>26003.2</x:v>
      </x:c>
      <x:c r="L296" s="52" t="n">
        <x:f>SIMPLE!G229</x:f>
        <x:v>20977.2</x:v>
      </x:c>
      <x:c r="M296" s="52" t="n">
        <x:f>RGM!G229</x:f>
        <x:v>17950.55</x:v>
      </x:c>
    </x:row>
    <x:row r="297">
      <x:c r="B297" s="51" t="n">
        <x:f>ANN!A229</x:f>
        <x:v>223</x:v>
      </x:c>
      <x:c r="C297" s="52" t="n">
        <x:f>ANN!H229</x:f>
        <x:v>2076264.34</x:v>
      </x:c>
      <x:c r="D297" s="52" t="n">
        <x:f>SIMPLE!H229</x:f>
        <x:v>3646037.89</x:v>
      </x:c>
      <x:c r="E297" s="52" t="n">
        <x:f>RGM!H229</x:f>
        <x:v>1211707.45</x:v>
      </x:c>
      <x:c r="F297" s="51"/>
      <x:c r="G297" s="51"/>
      <x:c r="H297" s="51"/>
      <x:c r="I297" s="51"/>
      <x:c r="J297" s="51" t="n">
        <x:f>ANN!A230</x:f>
        <x:v>224</x:v>
      </x:c>
      <x:c r="K297" s="52" t="n">
        <x:f>ANN!G230</x:f>
        <x:v>26003.2</x:v>
      </x:c>
      <x:c r="L297" s="52" t="n">
        <x:f>SIMPLE!G230</x:f>
        <x:v>23224.76</x:v>
      </x:c>
      <x:c r="M297" s="52" t="n">
        <x:f>RGM!G230</x:f>
        <x:v>18634.69</x:v>
      </x:c>
    </x:row>
    <x:row r="298">
      <x:c r="B298" s="51" t="n">
        <x:f>ANN!A230</x:f>
        <x:v>224</x:v>
      </x:c>
      <x:c r="C298" s="52" t="n">
        <x:f>ANN!H230</x:f>
        <x:v>2063486.66</x:v>
      </x:c>
      <x:c r="D298" s="52" t="n">
        <x:f>SIMPLE!H230</x:f>
        <x:v>3646037.89</x:v>
      </x:c>
      <x:c r="E298" s="52" t="n">
        <x:f>RGM!H230</x:f>
        <x:v>1200791.17</x:v>
      </x:c>
      <x:c r="F298" s="51"/>
      <x:c r="G298" s="51"/>
      <x:c r="H298" s="51"/>
      <x:c r="I298" s="51"/>
      <x:c r="J298" s="51" t="n">
        <x:f>ANN!A231</x:f>
        <x:v>225</x:v>
      </x:c>
      <x:c r="K298" s="52" t="n">
        <x:f>ANN!G231</x:f>
        <x:v>26003.2</x:v>
      </x:c>
      <x:c r="L298" s="52" t="n">
        <x:f>SIMPLE!G231</x:f>
        <x:v>22475.58</x:v>
      </x:c>
      <x:c r="M298" s="52" t="n">
        <x:f>RGM!G231</x:f>
        <x:v>18318.42</x:v>
      </x:c>
    </x:row>
    <x:row r="299">
      <x:c r="B299" s="51" t="n">
        <x:f>ANN!A231</x:f>
        <x:v>225</x:v>
      </x:c>
      <x:c r="C299" s="52" t="n">
        <x:f>ANN!H231</x:f>
        <x:v>2050203.58</x:v>
      </x:c>
      <x:c r="D299" s="52" t="n">
        <x:f>SIMPLE!H231</x:f>
        <x:v>3646037.89</x:v>
      </x:c>
      <x:c r="E299" s="52" t="n">
        <x:f>RGM!H231</x:f>
        <x:v>1189874.89</x:v>
      </x:c>
      <x:c r="F299" s="51"/>
      <x:c r="G299" s="51"/>
      <x:c r="H299" s="51"/>
      <x:c r="I299" s="51"/>
      <x:c r="J299" s="51" t="n">
        <x:f>ANN!A232</x:f>
        <x:v>226</x:v>
      </x:c>
      <x:c r="K299" s="52" t="n">
        <x:f>ANN!G232</x:f>
        <x:v>26003.2</x:v>
      </x:c>
      <x:c r="L299" s="52" t="n">
        <x:f>SIMPLE!G232</x:f>
        <x:v>23224.76</x:v>
      </x:c>
      <x:c r="M299" s="52" t="n">
        <x:f>RGM!G232</x:f>
        <x:v>18495.62</x:v>
      </x:c>
    </x:row>
    <x:row r="300">
      <x:c r="B300" s="51" t="n">
        <x:f>ANN!A232</x:f>
        <x:v>226</x:v>
      </x:c>
      <x:c r="C300" s="52" t="n">
        <x:f>ANN!H232</x:f>
        <x:v>2037259.9</x:v>
      </x:c>
      <x:c r="D300" s="52" t="n">
        <x:f>SIMPLE!H232</x:f>
        <x:v>3646037.89</x:v>
      </x:c>
      <x:c r="E300" s="52" t="n">
        <x:f>RGM!H232</x:f>
        <x:v>1178958.61</x:v>
      </x:c>
      <x:c r="F300" s="51"/>
      <x:c r="G300" s="51"/>
      <x:c r="H300" s="51"/>
      <x:c r="I300" s="51"/>
      <x:c r="J300" s="51" t="n">
        <x:f>ANN!A233</x:f>
        <x:v>227</x:v>
      </x:c>
      <x:c r="K300" s="52" t="n">
        <x:f>ANN!G233</x:f>
        <x:v>26003.2</x:v>
      </x:c>
      <x:c r="L300" s="52" t="n">
        <x:f>SIMPLE!G233</x:f>
        <x:v>22475.58</x:v>
      </x:c>
      <x:c r="M300" s="52" t="n">
        <x:f>RGM!G233</x:f>
        <x:v>18183.83</x:v>
      </x:c>
    </x:row>
    <x:row r="301">
      <x:c r="B301" s="51" t="n">
        <x:f>ANN!A233</x:f>
        <x:v>227</x:v>
      </x:c>
      <x:c r="C301" s="52" t="n">
        <x:f>ANN!H233</x:f>
        <x:v>2023815.15</x:v>
      </x:c>
      <x:c r="D301" s="52" t="n">
        <x:f>SIMPLE!H233</x:f>
        <x:v>3646037.89</x:v>
      </x:c>
      <x:c r="E301" s="52" t="n">
        <x:f>RGM!H233</x:f>
        <x:v>1168042.33</x:v>
      </x:c>
      <x:c r="F301" s="51"/>
      <x:c r="G301" s="51"/>
      <x:c r="H301" s="51"/>
      <x:c r="I301" s="51"/>
      <x:c r="J301" s="51" t="n">
        <x:f>ANN!A234</x:f>
        <x:v>228</x:v>
      </x:c>
      <x:c r="K301" s="52" t="n">
        <x:f>ANN!G234</x:f>
        <x:v>26003.2</x:v>
      </x:c>
      <x:c r="L301" s="52" t="n">
        <x:f>SIMPLE!G234</x:f>
        <x:v>23224.76</x:v>
      </x:c>
      <x:c r="M301" s="52" t="n">
        <x:f>RGM!G234</x:f>
        <x:v>18356.55</x:v>
      </x:c>
    </x:row>
    <x:row r="302">
      <x:c r="B302" s="51" t="n">
        <x:f>ANN!A234</x:f>
        <x:v>228</x:v>
      </x:c>
      <x:c r="C302" s="52" t="n">
        <x:f>ANN!H234</x:f>
        <x:v>2010703.38</x:v>
      </x:c>
      <x:c r="D302" s="52" t="n">
        <x:f>SIMPLE!H234</x:f>
        <x:v>3646037.89</x:v>
      </x:c>
      <x:c r="E302" s="52" t="n">
        <x:f>RGM!H234</x:f>
        <x:v>1157126.05</x:v>
      </x:c>
      <x:c r="F302" s="51"/>
      <x:c r="G302" s="51"/>
      <x:c r="H302" s="51"/>
      <x:c r="I302" s="51"/>
      <x:c r="J302" s="51" t="n">
        <x:f>ANN!A235</x:f>
        <x:v>229</x:v>
      </x:c>
      <x:c r="K302" s="52" t="n">
        <x:f>ANN!G235</x:f>
        <x:v>26003.2</x:v>
      </x:c>
      <x:c r="L302" s="52" t="n">
        <x:f>SIMPLE!G235</x:f>
        <x:v>23224.76</x:v>
      </x:c>
      <x:c r="M302" s="52" t="n">
        <x:f>RGM!G235</x:f>
        <x:v>18287.01</x:v>
      </x:c>
    </x:row>
    <x:row r="303">
      <x:c r="B303" s="51" t="n">
        <x:f>ANN!A235</x:f>
        <x:v>229</x:v>
      </x:c>
      <x:c r="C303" s="52" t="n">
        <x:f>ANN!H235</x:f>
        <x:v>1997508.09</x:v>
      </x:c>
      <x:c r="D303" s="52" t="n">
        <x:f>SIMPLE!H235</x:f>
        <x:v>3646037.89</x:v>
      </x:c>
      <x:c r="E303" s="52" t="n">
        <x:f>RGM!H235</x:f>
        <x:v>1146209.77</x:v>
      </x:c>
      <x:c r="F303" s="51"/>
      <x:c r="G303" s="51"/>
      <x:c r="H303" s="51"/>
      <x:c r="I303" s="51"/>
      <x:c r="J303" s="51" t="n">
        <x:f>ANN!A236</x:f>
        <x:v>230</x:v>
      </x:c>
      <x:c r="K303" s="52" t="n">
        <x:f>ANN!G236</x:f>
        <x:v>26003.2</x:v>
      </x:c>
      <x:c r="L303" s="52" t="n">
        <x:f>SIMPLE!G236</x:f>
        <x:v>22475.58</x:v>
      </x:c>
      <x:c r="M303" s="52" t="n">
        <x:f>RGM!G236</x:f>
        <x:v>17981.96</x:v>
      </x:c>
    </x:row>
    <x:row r="304">
      <x:c r="B304" s="51" t="n">
        <x:f>ANN!A236</x:f>
        <x:v>230</x:v>
      </x:c>
      <x:c r="C304" s="52" t="n">
        <x:f>ANN!H236</x:f>
        <x:v>1983818.3</x:v>
      </x:c>
      <x:c r="D304" s="52" t="n">
        <x:f>SIMPLE!H236</x:f>
        <x:v>3646037.89</x:v>
      </x:c>
      <x:c r="E304" s="52" t="n">
        <x:f>RGM!H236</x:f>
        <x:v>1135293.49</x:v>
      </x:c>
      <x:c r="F304" s="51"/>
      <x:c r="G304" s="51"/>
      <x:c r="H304" s="51"/>
      <x:c r="I304" s="51"/>
      <x:c r="J304" s="51" t="n">
        <x:f>ANN!A237</x:f>
        <x:v>231</x:v>
      </x:c>
      <x:c r="K304" s="52" t="n">
        <x:f>ANN!G237</x:f>
        <x:v>26003.2</x:v>
      </x:c>
      <x:c r="L304" s="52" t="n">
        <x:f>SIMPLE!G237</x:f>
        <x:v>23224.76</x:v>
      </x:c>
      <x:c r="M304" s="52" t="n">
        <x:f>RGM!G237</x:f>
        <x:v>18147.94</x:v>
      </x:c>
    </x:row>
    <x:row r="305">
      <x:c r="B305" s="51" t="n">
        <x:f>ANN!A237</x:f>
        <x:v>231</x:v>
      </x:c>
      <x:c r="C305" s="52" t="n">
        <x:f>ANN!H237</x:f>
        <x:v>1970451.75</x:v>
      </x:c>
      <x:c r="D305" s="52" t="n">
        <x:f>SIMPLE!H237</x:f>
        <x:v>3646037.89</x:v>
      </x:c>
      <x:c r="E305" s="52" t="n">
        <x:f>RGM!H237</x:f>
        <x:v>1124377.21</x:v>
      </x:c>
      <x:c r="F305" s="51"/>
      <x:c r="G305" s="51"/>
      <x:c r="H305" s="51"/>
      <x:c r="I305" s="51"/>
      <x:c r="J305" s="51" t="n">
        <x:f>ANN!A238</x:f>
        <x:v>232</x:v>
      </x:c>
      <x:c r="K305" s="52" t="n">
        <x:f>ANN!G238</x:f>
        <x:v>26003.2</x:v>
      </x:c>
      <x:c r="L305" s="52" t="n">
        <x:f>SIMPLE!G238</x:f>
        <x:v>22475.58</x:v>
      </x:c>
      <x:c r="M305" s="52" t="n">
        <x:f>RGM!G238</x:f>
        <x:v>17847.37</x:v>
      </x:c>
    </x:row>
    <x:row r="306">
      <x:c r="B306" s="51" t="n">
        <x:f>ANN!A238</x:f>
        <x:v>232</x:v>
      </x:c>
      <x:c r="C306" s="52" t="n">
        <x:f>ANN!H238</x:f>
        <x:v>1956595.17</x:v>
      </x:c>
      <x:c r="D306" s="52" t="n">
        <x:f>SIMPLE!H238</x:f>
        <x:v>3646037.89</x:v>
      </x:c>
      <x:c r="E306" s="52" t="n">
        <x:f>RGM!H238</x:f>
        <x:v>1113460.93</x:v>
      </x:c>
      <x:c r="F306" s="51"/>
      <x:c r="G306" s="51"/>
      <x:c r="H306" s="51"/>
      <x:c r="I306" s="51"/>
      <x:c r="J306" s="51" t="n">
        <x:f>ANN!A239</x:f>
        <x:v>233</x:v>
      </x:c>
      <x:c r="K306" s="52" t="n">
        <x:f>ANN!G239</x:f>
        <x:v>26003.2</x:v>
      </x:c>
      <x:c r="L306" s="52" t="n">
        <x:f>SIMPLE!G239</x:f>
        <x:v>23224.76</x:v>
      </x:c>
      <x:c r="M306" s="52" t="n">
        <x:f>RGM!G239</x:f>
        <x:v>18008.87</x:v>
      </x:c>
    </x:row>
    <x:row r="307">
      <x:c r="B307" s="51" t="n">
        <x:f>ANN!A239</x:f>
        <x:v>233</x:v>
      </x:c>
      <x:c r="C307" s="52" t="n">
        <x:f>ANN!H239</x:f>
        <x:v>1943055.21</x:v>
      </x:c>
      <x:c r="D307" s="52" t="n">
        <x:f>SIMPLE!H239</x:f>
        <x:v>3646037.89</x:v>
      </x:c>
      <x:c r="E307" s="52" t="n">
        <x:f>RGM!H239</x:f>
        <x:v>1102544.65</x:v>
      </x:c>
      <x:c r="F307" s="51"/>
      <x:c r="G307" s="51"/>
      <x:c r="H307" s="51"/>
      <x:c r="I307" s="51"/>
      <x:c r="J307" s="51" t="n">
        <x:f>ANN!A240</x:f>
        <x:v>234</x:v>
      </x:c>
      <x:c r="K307" s="52" t="n">
        <x:f>ANN!G240</x:f>
        <x:v>26003.2</x:v>
      </x:c>
      <x:c r="L307" s="52" t="n">
        <x:f>SIMPLE!G240</x:f>
        <x:v>23224.76</x:v>
      </x:c>
      <x:c r="M307" s="52" t="n">
        <x:f>RGM!G240</x:f>
        <x:v>17939.34</x:v>
      </x:c>
    </x:row>
    <x:row r="308">
      <x:c r="B308" s="51" t="n">
        <x:f>ANN!A240</x:f>
        <x:v>234</x:v>
      </x:c>
      <x:c r="C308" s="52" t="n">
        <x:f>ANN!H240</x:f>
        <x:v>1929429.01</x:v>
      </x:c>
      <x:c r="D308" s="52" t="n">
        <x:f>SIMPLE!H240</x:f>
        <x:v>3646037.89</x:v>
      </x:c>
      <x:c r="E308" s="52" t="n">
        <x:f>RGM!H240</x:f>
        <x:v>1091628.37</x:v>
      </x:c>
      <x:c r="F308" s="51"/>
      <x:c r="G308" s="51"/>
      <x:c r="H308" s="51"/>
      <x:c r="I308" s="51"/>
      <x:c r="J308" s="51" t="n">
        <x:f>ANN!A241</x:f>
        <x:v>235</x:v>
      </x:c>
      <x:c r="K308" s="52" t="n">
        <x:f>ANN!G241</x:f>
        <x:v>26003.2</x:v>
      </x:c>
      <x:c r="L308" s="52" t="n">
        <x:f>SIMPLE!G241</x:f>
        <x:v>20977.2</x:v>
      </x:c>
      <x:c r="M308" s="52" t="n">
        <x:f>RGM!G241</x:f>
        <x:v>17196.88</x:v>
      </x:c>
    </x:row>
    <x:row r="309">
      <x:c r="B309" s="51" t="n">
        <x:f>ANN!A241</x:f>
        <x:v>235</x:v>
      </x:c>
      <x:c r="C309" s="52" t="n">
        <x:f>ANN!H241</x:f>
        <x:v>1914526.63</x:v>
      </x:c>
      <x:c r="D309" s="52" t="n">
        <x:f>SIMPLE!H241</x:f>
        <x:v>3646037.89</x:v>
      </x:c>
      <x:c r="E309" s="52" t="n">
        <x:f>RGM!H241</x:f>
        <x:v>1080712.09</x:v>
      </x:c>
      <x:c r="F309" s="51"/>
      <x:c r="G309" s="51"/>
      <x:c r="H309" s="51"/>
      <x:c r="I309" s="51"/>
      <x:c r="J309" s="51" t="n">
        <x:f>ANN!A242</x:f>
        <x:v>236</x:v>
      </x:c>
      <x:c r="K309" s="52" t="n">
        <x:f>ANN!G242</x:f>
        <x:v>26003.2</x:v>
      </x:c>
      <x:c r="L309" s="52" t="n">
        <x:f>SIMPLE!G242</x:f>
        <x:v>23224.76</x:v>
      </x:c>
      <x:c r="M309" s="52" t="n">
        <x:f>RGM!G242</x:f>
        <x:v>17800.27</x:v>
      </x:c>
    </x:row>
    <x:row r="310">
      <x:c r="B310" s="51" t="n">
        <x:f>ANN!A242</x:f>
        <x:v>236</x:v>
      </x:c>
      <x:c r="C310" s="52" t="n">
        <x:f>ANN!H242</x:f>
        <x:v>1900718.7</x:v>
      </x:c>
      <x:c r="D310" s="52" t="n">
        <x:f>SIMPLE!H242</x:f>
        <x:v>3646037.89</x:v>
      </x:c>
      <x:c r="E310" s="52" t="n">
        <x:f>RGM!H242</x:f>
        <x:v>1069795.81</x:v>
      </x:c>
      <x:c r="F310" s="51"/>
      <x:c r="G310" s="51"/>
      <x:c r="H310" s="51"/>
      <x:c r="I310" s="51"/>
      <x:c r="J310" s="51" t="n">
        <x:f>ANN!A243</x:f>
        <x:v>237</x:v>
      </x:c>
      <x:c r="K310" s="52" t="n">
        <x:f>ANN!G243</x:f>
        <x:v>26003.2</x:v>
      </x:c>
      <x:c r="L310" s="52" t="n">
        <x:f>SIMPLE!G243</x:f>
        <x:v>22475.58</x:v>
      </x:c>
      <x:c r="M310" s="52" t="n">
        <x:f>RGM!G243</x:f>
        <x:v>17510.91</x:v>
      </x:c>
    </x:row>
    <x:row r="311">
      <x:c r="B311" s="51" t="n">
        <x:f>ANN!A243</x:f>
        <x:v>237</x:v>
      </x:c>
      <x:c r="C311" s="52" t="n">
        <x:f>ANN!H243</x:f>
        <x:v>1886432.26</x:v>
      </x:c>
      <x:c r="D311" s="52" t="n">
        <x:f>SIMPLE!H243</x:f>
        <x:v>3646037.89</x:v>
      </x:c>
      <x:c r="E311" s="52" t="n">
        <x:f>RGM!H243</x:f>
        <x:v>1058879.53</x:v>
      </x:c>
      <x:c r="F311" s="51"/>
      <x:c r="G311" s="51"/>
      <x:c r="H311" s="51"/>
      <x:c r="I311" s="51"/>
      <x:c r="J311" s="51" t="n">
        <x:f>ANN!A244</x:f>
        <x:v>238</x:v>
      </x:c>
      <x:c r="K311" s="52" t="n">
        <x:f>ANN!G244</x:f>
        <x:v>26003.2</x:v>
      </x:c>
      <x:c r="L311" s="52" t="n">
        <x:f>SIMPLE!G244</x:f>
        <x:v>23224.76</x:v>
      </x:c>
      <x:c r="M311" s="52" t="n">
        <x:f>RGM!G244</x:f>
        <x:v>17661.2</x:v>
      </x:c>
    </x:row>
    <x:row r="312">
      <x:c r="B312" s="51" t="n">
        <x:f>ANN!A244</x:f>
        <x:v>238</x:v>
      </x:c>
      <x:c r="C312" s="52" t="n">
        <x:f>ANN!H244</x:f>
        <x:v>1872445.38</x:v>
      </x:c>
      <x:c r="D312" s="52" t="n">
        <x:f>SIMPLE!H244</x:f>
        <x:v>3646037.89</x:v>
      </x:c>
      <x:c r="E312" s="52" t="n">
        <x:f>RGM!H244</x:f>
        <x:v>1047963.25</x:v>
      </x:c>
      <x:c r="F312" s="51"/>
      <x:c r="G312" s="51"/>
      <x:c r="H312" s="51"/>
      <x:c r="I312" s="51"/>
      <x:c r="J312" s="51" t="n">
        <x:f>ANN!A245</x:f>
        <x:v>239</x:v>
      </x:c>
      <x:c r="K312" s="52" t="n">
        <x:f>ANN!G245</x:f>
        <x:v>26003.2</x:v>
      </x:c>
      <x:c r="L312" s="52" t="n">
        <x:f>SIMPLE!G245</x:f>
        <x:v>22475.58</x:v>
      </x:c>
      <x:c r="M312" s="52" t="n">
        <x:f>RGM!G245</x:f>
        <x:v>17376.33</x:v>
      </x:c>
    </x:row>
    <x:row r="313">
      <x:c r="B313" s="51" t="n">
        <x:f>ANN!A245</x:f>
        <x:v>239</x:v>
      </x:c>
      <x:c r="C313" s="52" t="n">
        <x:f>ANN!H245</x:f>
        <x:v>1857984.65</x:v>
      </x:c>
      <x:c r="D313" s="52" t="n">
        <x:f>SIMPLE!H245</x:f>
        <x:v>3646037.89</x:v>
      </x:c>
      <x:c r="E313" s="52" t="n">
        <x:f>RGM!H245</x:f>
        <x:v>1037046.97</x:v>
      </x:c>
      <x:c r="F313" s="51"/>
      <x:c r="G313" s="51"/>
      <x:c r="H313" s="51"/>
      <x:c r="I313" s="51"/>
      <x:c r="J313" s="51" t="n">
        <x:f>ANN!A246</x:f>
        <x:v>240</x:v>
      </x:c>
      <x:c r="K313" s="52" t="n">
        <x:f>ANN!G246</x:f>
        <x:v>26003.2</x:v>
      </x:c>
      <x:c r="L313" s="52" t="n">
        <x:f>SIMPLE!G246</x:f>
        <x:v>23224.76</x:v>
      </x:c>
      <x:c r="M313" s="52" t="n">
        <x:f>RGM!G246</x:f>
        <x:v>17522.13</x:v>
      </x:c>
    </x:row>
    <x:row r="314">
      <x:c r="B314" s="51" t="n">
        <x:f>ANN!A246</x:f>
        <x:v>240</x:v>
      </x:c>
      <x:c r="C314" s="52" t="n">
        <x:f>ANN!H246</x:f>
        <x:v>1843816.56</x:v>
      </x:c>
      <x:c r="D314" s="52" t="n">
        <x:f>SIMPLE!H246</x:f>
        <x:v>3646037.89</x:v>
      </x:c>
      <x:c r="E314" s="52" t="n">
        <x:f>RGM!H246</x:f>
        <x:v>1026130.69</x:v>
      </x:c>
      <x:c r="F314" s="51"/>
      <x:c r="G314" s="51"/>
      <x:c r="H314" s="51"/>
      <x:c r="I314" s="51"/>
      <x:c r="J314" s="51" t="n">
        <x:f>ANN!A247</x:f>
        <x:v>241</x:v>
      </x:c>
      <x:c r="K314" s="52" t="n">
        <x:f>ANN!G247</x:f>
        <x:v>26003.2</x:v>
      </x:c>
      <x:c r="L314" s="52" t="n">
        <x:f>SIMPLE!G247</x:f>
        <x:v>23224.76</x:v>
      </x:c>
      <x:c r="M314" s="52" t="n">
        <x:f>RGM!G247</x:f>
        <x:v>17452.59</x:v>
      </x:c>
    </x:row>
    <x:row r="315">
      <x:c r="B315" s="51" t="n">
        <x:f>ANN!A247</x:f>
        <x:v>241</x:v>
      </x:c>
      <x:c r="C315" s="52" t="n">
        <x:f>ANN!H247</x:f>
        <x:v>1829558.22</x:v>
      </x:c>
      <x:c r="D315" s="52" t="n">
        <x:f>SIMPLE!H247</x:f>
        <x:v>3646037.89</x:v>
      </x:c>
      <x:c r="E315" s="52" t="n">
        <x:f>RGM!H247</x:f>
        <x:v>1015214.41</x:v>
      </x:c>
      <x:c r="F315" s="51"/>
      <x:c r="G315" s="51"/>
      <x:c r="H315" s="51"/>
      <x:c r="I315" s="51"/>
      <x:c r="J315" s="51" t="n">
        <x:f>ANN!A248</x:f>
        <x:v>242</x:v>
      </x:c>
      <x:c r="K315" s="52" t="n">
        <x:f>ANN!G248</x:f>
        <x:v>26003.2</x:v>
      </x:c>
      <x:c r="L315" s="52" t="n">
        <x:f>SIMPLE!G248</x:f>
        <x:v>22475.58</x:v>
      </x:c>
      <x:c r="M315" s="52" t="n">
        <x:f>RGM!G248</x:f>
        <x:v>17174.45</x:v>
      </x:c>
    </x:row>
    <x:row r="316">
      <x:c r="B316" s="51" t="n">
        <x:f>ANN!A248</x:f>
        <x:v>242</x:v>
      </x:c>
      <x:c r="C316" s="52" t="n">
        <x:f>ANN!H248</x:f>
        <x:v>1814833.12</x:v>
      </x:c>
      <x:c r="D316" s="52" t="n">
        <x:f>SIMPLE!H248</x:f>
        <x:v>3646037.89</x:v>
      </x:c>
      <x:c r="E316" s="52" t="n">
        <x:f>RGM!H248</x:f>
        <x:v>1004298.13</x:v>
      </x:c>
      <x:c r="F316" s="51"/>
      <x:c r="G316" s="51"/>
      <x:c r="H316" s="51"/>
      <x:c r="I316" s="51"/>
      <x:c r="J316" s="51" t="n">
        <x:f>ANN!A249</x:f>
        <x:v>243</x:v>
      </x:c>
      <x:c r="K316" s="52" t="n">
        <x:f>ANN!G249</x:f>
        <x:v>26003.2</x:v>
      </x:c>
      <x:c r="L316" s="52" t="n">
        <x:f>SIMPLE!G249</x:f>
        <x:v>23224.76</x:v>
      </x:c>
      <x:c r="M316" s="52" t="n">
        <x:f>RGM!G249</x:f>
        <x:v>17313.52</x:v>
      </x:c>
    </x:row>
    <x:row r="317">
      <x:c r="B317" s="51" t="n">
        <x:f>ANN!A249</x:f>
        <x:v>243</x:v>
      </x:c>
      <x:c r="C317" s="52" t="n">
        <x:f>ANN!H249</x:f>
        <x:v>1800390.16</x:v>
      </x:c>
      <x:c r="D317" s="52" t="n">
        <x:f>SIMPLE!H249</x:f>
        <x:v>3646037.89</x:v>
      </x:c>
      <x:c r="E317" s="52" t="n">
        <x:f>RGM!H249</x:f>
        <x:v>993381.85</x:v>
      </x:c>
      <x:c r="F317" s="51"/>
      <x:c r="G317" s="51"/>
      <x:c r="H317" s="51"/>
      <x:c r="I317" s="51"/>
      <x:c r="J317" s="51" t="n">
        <x:f>ANN!A250</x:f>
        <x:v>244</x:v>
      </x:c>
      <x:c r="K317" s="52" t="n">
        <x:f>ANN!G250</x:f>
        <x:v>26003.2</x:v>
      </x:c>
      <x:c r="L317" s="52" t="n">
        <x:f>SIMPLE!G250</x:f>
        <x:v>22475.58</x:v>
      </x:c>
      <x:c r="M317" s="52" t="n">
        <x:f>RGM!G250</x:f>
        <x:v>17039.87</x:v>
      </x:c>
    </x:row>
    <x:row r="318">
      <x:c r="B318" s="51" t="n">
        <x:f>ANN!A250</x:f>
        <x:v>244</x:v>
      </x:c>
      <x:c r="C318" s="52" t="n">
        <x:f>ANN!H250</x:f>
        <x:v>1785485.26</x:v>
      </x:c>
      <x:c r="D318" s="52" t="n">
        <x:f>SIMPLE!H250</x:f>
        <x:v>3646037.89</x:v>
      </x:c>
      <x:c r="E318" s="52" t="n">
        <x:f>RGM!H250</x:f>
        <x:v>982465.57</x:v>
      </x:c>
      <x:c r="F318" s="51"/>
      <x:c r="G318" s="51"/>
      <x:c r="H318" s="51"/>
      <x:c r="I318" s="51"/>
      <x:c r="J318" s="51" t="n">
        <x:f>ANN!A251</x:f>
        <x:v>245</x:v>
      </x:c>
      <x:c r="K318" s="52" t="n">
        <x:f>ANN!G251</x:f>
        <x:v>26003.2</x:v>
      </x:c>
      <x:c r="L318" s="52" t="n">
        <x:f>SIMPLE!G251</x:f>
        <x:v>23224.76</x:v>
      </x:c>
      <x:c r="M318" s="52" t="n">
        <x:f>RGM!G251</x:f>
        <x:v>17174.45</x:v>
      </x:c>
    </x:row>
    <x:row r="319">
      <x:c r="B319" s="51" t="n">
        <x:f>ANN!A251</x:f>
        <x:v>245</x:v>
      </x:c>
      <x:c r="C319" s="52" t="n">
        <x:f>ANN!H251</x:f>
        <x:v>1770855.36</x:v>
      </x:c>
      <x:c r="D319" s="52" t="n">
        <x:f>SIMPLE!H251</x:f>
        <x:v>3646037.89</x:v>
      </x:c>
      <x:c r="E319" s="52" t="n">
        <x:f>RGM!H251</x:f>
        <x:v>971549.29</x:v>
      </x:c>
      <x:c r="F319" s="51"/>
      <x:c r="G319" s="51"/>
      <x:c r="H319" s="51"/>
      <x:c r="I319" s="51"/>
      <x:c r="J319" s="51" t="n">
        <x:f>ANN!A252</x:f>
        <x:v>246</x:v>
      </x:c>
      <x:c r="K319" s="52" t="n">
        <x:f>ANN!G252</x:f>
        <x:v>26003.2</x:v>
      </x:c>
      <x:c r="L319" s="52" t="n">
        <x:f>SIMPLE!G252</x:f>
        <x:v>23224.76</x:v>
      </x:c>
      <x:c r="M319" s="52" t="n">
        <x:f>RGM!G252</x:f>
        <x:v>17104.92</x:v>
      </x:c>
    </x:row>
    <x:row r="320">
      <x:c r="B320" s="51" t="n">
        <x:f>ANN!A252</x:f>
        <x:v>246</x:v>
      </x:c>
      <x:c r="C320" s="52" t="n">
        <x:f>ANN!H252</x:f>
        <x:v>1756132.27</x:v>
      </x:c>
      <x:c r="D320" s="52" t="n">
        <x:f>SIMPLE!H252</x:f>
        <x:v>3646037.89</x:v>
      </x:c>
      <x:c r="E320" s="52" t="n">
        <x:f>RGM!H252</x:f>
        <x:v>960633.01</x:v>
      </x:c>
      <x:c r="F320" s="51"/>
      <x:c r="G320" s="51"/>
      <x:c r="H320" s="51"/>
      <x:c r="I320" s="51"/>
      <x:c r="J320" s="51" t="n">
        <x:f>ANN!A253</x:f>
        <x:v>247</x:v>
      </x:c>
      <x:c r="K320" s="52" t="n">
        <x:f>ANN!G253</x:f>
        <x:v>26003.2</x:v>
      </x:c>
      <x:c r="L320" s="52" t="n">
        <x:f>SIMPLE!G253</x:f>
        <x:v>20977.2</x:v>
      </x:c>
      <x:c r="M320" s="52" t="n">
        <x:f>RGM!G253</x:f>
        <x:v>16443.21</x:v>
      </x:c>
    </x:row>
    <x:row r="321">
      <x:c r="B321" s="51" t="n">
        <x:f>ANN!A253</x:f>
        <x:v>247</x:v>
      </x:c>
      <x:c r="C321" s="52" t="n">
        <x:f>ANN!H253</x:f>
        <x:v>1740232.84</x:v>
      </x:c>
      <x:c r="D321" s="52" t="n">
        <x:f>SIMPLE!H253</x:f>
        <x:v>3646037.89</x:v>
      </x:c>
      <x:c r="E321" s="52" t="n">
        <x:f>RGM!H253</x:f>
        <x:v>949716.73</x:v>
      </x:c>
      <x:c r="F321" s="51"/>
      <x:c r="G321" s="51"/>
      <x:c r="H321" s="51"/>
      <x:c r="I321" s="51"/>
      <x:c r="J321" s="51" t="n">
        <x:f>ANN!A254</x:f>
        <x:v>248</x:v>
      </x:c>
      <x:c r="K321" s="52" t="n">
        <x:f>ANN!G254</x:f>
        <x:v>26003.2</x:v>
      </x:c>
      <x:c r="L321" s="52" t="n">
        <x:f>SIMPLE!G254</x:f>
        <x:v>23224.76</x:v>
      </x:c>
      <x:c r="M321" s="52" t="n">
        <x:f>RGM!G254</x:f>
        <x:v>16965.85</x:v>
      </x:c>
    </x:row>
    <x:row r="322">
      <x:c r="B322" s="51" t="n">
        <x:f>ANN!A254</x:f>
        <x:v>248</x:v>
      </x:c>
      <x:c r="C322" s="52" t="n">
        <x:f>ANN!H254</x:f>
        <x:v>1725314.68</x:v>
      </x:c>
      <x:c r="D322" s="52" t="n">
        <x:f>SIMPLE!H254</x:f>
        <x:v>3646037.89</x:v>
      </x:c>
      <x:c r="E322" s="52" t="n">
        <x:f>RGM!H254</x:f>
        <x:v>938800.45</x:v>
      </x:c>
      <x:c r="F322" s="51"/>
      <x:c r="G322" s="51"/>
      <x:c r="H322" s="51"/>
      <x:c r="I322" s="51"/>
      <x:c r="J322" s="51" t="n">
        <x:f>ANN!A255</x:f>
        <x:v>249</x:v>
      </x:c>
      <x:c r="K322" s="52" t="n">
        <x:f>ANN!G255</x:f>
        <x:v>26003.2</x:v>
      </x:c>
      <x:c r="L322" s="52" t="n">
        <x:f>SIMPLE!G255</x:f>
        <x:v>22475.58</x:v>
      </x:c>
      <x:c r="M322" s="52" t="n">
        <x:f>RGM!G255</x:f>
        <x:v>16703.41</x:v>
      </x:c>
    </x:row>
    <x:row r="323">
      <x:c r="B323" s="51" t="n">
        <x:f>ANN!A255</x:f>
        <x:v>249</x:v>
      </x:c>
      <x:c r="C323" s="52" t="n">
        <x:f>ANN!H255</x:f>
        <x:v>1709946.98</x:v>
      </x:c>
      <x:c r="D323" s="52" t="n">
        <x:f>SIMPLE!H255</x:f>
        <x:v>3646037.89</x:v>
      </x:c>
      <x:c r="E323" s="52" t="n">
        <x:f>RGM!H255</x:f>
        <x:v>927884.17</x:v>
      </x:c>
      <x:c r="F323" s="51"/>
      <x:c r="G323" s="51"/>
      <x:c r="H323" s="51"/>
      <x:c r="I323" s="51"/>
      <x:c r="J323" s="51" t="n">
        <x:f>ANN!A256</x:f>
        <x:v>250</x:v>
      </x:c>
      <x:c r="K323" s="52" t="n">
        <x:f>ANN!G256</x:f>
        <x:v>26003.2</x:v>
      </x:c>
      <x:c r="L323" s="52" t="n">
        <x:f>SIMPLE!G256</x:f>
        <x:v>23224.76</x:v>
      </x:c>
      <x:c r="M323" s="52" t="n">
        <x:f>RGM!G256</x:f>
        <x:v>16826.78</x:v>
      </x:c>
    </x:row>
    <x:row r="324">
      <x:c r="B324" s="51" t="n">
        <x:f>ANN!A256</x:f>
        <x:v>250</x:v>
      </x:c>
      <x:c r="C324" s="52" t="n">
        <x:f>ANN!H256</x:f>
        <x:v>1694835.91</x:v>
      </x:c>
      <x:c r="D324" s="52" t="n">
        <x:f>SIMPLE!H256</x:f>
        <x:v>3646037.89</x:v>
      </x:c>
      <x:c r="E324" s="52" t="n">
        <x:f>RGM!H256</x:f>
        <x:v>916967.89</x:v>
      </x:c>
      <x:c r="F324" s="51"/>
      <x:c r="G324" s="51"/>
      <x:c r="H324" s="51"/>
      <x:c r="I324" s="51"/>
      <x:c r="J324" s="51" t="n">
        <x:f>ANN!A257</x:f>
        <x:v>251</x:v>
      </x:c>
      <x:c r="K324" s="52" t="n">
        <x:f>ANN!G257</x:f>
        <x:v>26003.2</x:v>
      </x:c>
      <x:c r="L324" s="52" t="n">
        <x:f>SIMPLE!G257</x:f>
        <x:v>22475.58</x:v>
      </x:c>
      <x:c r="M324" s="52" t="n">
        <x:f>RGM!G257</x:f>
        <x:v>16568.82</x:v>
      </x:c>
    </x:row>
    <x:row r="325">
      <x:c r="B325" s="51" t="n">
        <x:f>ANN!A257</x:f>
        <x:v>251</x:v>
      </x:c>
      <x:c r="C325" s="52" t="n">
        <x:f>ANN!H257</x:f>
        <x:v>1679280.33</x:v>
      </x:c>
      <x:c r="D325" s="52" t="n">
        <x:f>SIMPLE!H257</x:f>
        <x:v>3646037.89</x:v>
      </x:c>
      <x:c r="E325" s="52" t="n">
        <x:f>RGM!H257</x:f>
        <x:v>906051.61</x:v>
      </x:c>
      <x:c r="F325" s="51"/>
      <x:c r="G325" s="51"/>
      <x:c r="H325" s="51"/>
      <x:c r="I325" s="51"/>
      <x:c r="J325" s="51" t="n">
        <x:f>ANN!A258</x:f>
        <x:v>252</x:v>
      </x:c>
      <x:c r="K325" s="52" t="n">
        <x:f>ANN!G258</x:f>
        <x:v>26003.2</x:v>
      </x:c>
      <x:c r="L325" s="52" t="n">
        <x:f>SIMPLE!G258</x:f>
        <x:v>23224.76</x:v>
      </x:c>
      <x:c r="M325" s="52" t="n">
        <x:f>RGM!G258</x:f>
        <x:v>16687.7</x:v>
      </x:c>
    </x:row>
    <x:row r="326">
      <x:c r="B326" s="51" t="n">
        <x:f>ANN!A258</x:f>
        <x:v>252</x:v>
      </x:c>
      <x:c r="C326" s="52" t="n">
        <x:f>ANN!H258</x:f>
        <x:v>1663973.92</x:v>
      </x:c>
      <x:c r="D326" s="52" t="n">
        <x:f>SIMPLE!H258</x:f>
        <x:v>3646037.89</x:v>
      </x:c>
      <x:c r="E326" s="52" t="n">
        <x:f>RGM!H258</x:f>
        <x:v>895135.33</x:v>
      </x:c>
      <x:c r="F326" s="51"/>
      <x:c r="G326" s="51"/>
      <x:c r="H326" s="51"/>
      <x:c r="I326" s="51"/>
      <x:c r="J326" s="51" t="n">
        <x:f>ANN!A259</x:f>
        <x:v>253</x:v>
      </x:c>
      <x:c r="K326" s="52" t="n">
        <x:f>ANN!G259</x:f>
        <x:v>26003.2</x:v>
      </x:c>
      <x:c r="L326" s="52" t="n">
        <x:f>SIMPLE!G259</x:f>
        <x:v>23224.76</x:v>
      </x:c>
      <x:c r="M326" s="52" t="n">
        <x:f>RGM!G259</x:f>
        <x:v>16618.17</x:v>
      </x:c>
    </x:row>
    <x:row r="327">
      <x:c r="B327" s="51" t="n">
        <x:f>ANN!A259</x:f>
        <x:v>253</x:v>
      </x:c>
      <x:c r="C327" s="52" t="n">
        <x:f>ANN!H259</x:f>
        <x:v>1648570.01</x:v>
      </x:c>
      <x:c r="D327" s="52" t="n">
        <x:f>SIMPLE!H259</x:f>
        <x:v>3646037.89</x:v>
      </x:c>
      <x:c r="E327" s="52" t="n">
        <x:f>RGM!H259</x:f>
        <x:v>884219.05</x:v>
      </x:c>
      <x:c r="F327" s="51"/>
      <x:c r="G327" s="51"/>
      <x:c r="H327" s="51"/>
      <x:c r="I327" s="51"/>
      <x:c r="J327" s="51" t="n">
        <x:f>ANN!A260</x:f>
        <x:v>254</x:v>
      </x:c>
      <x:c r="K327" s="52" t="n">
        <x:f>ANN!G260</x:f>
        <x:v>26003.2</x:v>
      </x:c>
      <x:c r="L327" s="52" t="n">
        <x:f>SIMPLE!G260</x:f>
        <x:v>22475.58</x:v>
      </x:c>
      <x:c r="M327" s="52" t="n">
        <x:f>RGM!G260</x:f>
        <x:v>16366.95</x:v>
      </x:c>
    </x:row>
    <x:row r="328">
      <x:c r="B328" s="51" t="n">
        <x:f>ANN!A260</x:f>
        <x:v>254</x:v>
      </x:c>
      <x:c r="C328" s="52" t="n">
        <x:f>ANN!H260</x:f>
        <x:v>1632729.23</x:v>
      </x:c>
      <x:c r="D328" s="52" t="n">
        <x:f>SIMPLE!H260</x:f>
        <x:v>3646037.89</x:v>
      </x:c>
      <x:c r="E328" s="52" t="n">
        <x:f>RGM!H260</x:f>
        <x:v>873302.77</x:v>
      </x:c>
      <x:c r="F328" s="51"/>
      <x:c r="G328" s="51"/>
      <x:c r="H328" s="51"/>
      <x:c r="I328" s="51"/>
      <x:c r="J328" s="51" t="n">
        <x:f>ANN!A261</x:f>
        <x:v>255</x:v>
      </x:c>
      <x:c r="K328" s="52" t="n">
        <x:f>ANN!G261</x:f>
        <x:v>26003.2</x:v>
      </x:c>
      <x:c r="L328" s="52" t="n">
        <x:f>SIMPLE!G261</x:f>
        <x:v>23224.76</x:v>
      </x:c>
      <x:c r="M328" s="52" t="n">
        <x:f>RGM!G261</x:f>
        <x:v>16479.1</x:v>
      </x:c>
    </x:row>
    <x:row r="329">
      <x:c r="B329" s="51" t="n">
        <x:f>ANN!A261</x:f>
        <x:v>255</x:v>
      </x:c>
      <x:c r="C329" s="52" t="n">
        <x:f>ANN!H261</x:f>
        <x:v>1617126.29</x:v>
      </x:c>
      <x:c r="D329" s="52" t="n">
        <x:f>SIMPLE!H261</x:f>
        <x:v>3646037.89</x:v>
      </x:c>
      <x:c r="E329" s="52" t="n">
        <x:f>RGM!H261</x:f>
        <x:v>862386.49</x:v>
      </x:c>
      <x:c r="F329" s="51"/>
      <x:c r="G329" s="51"/>
      <x:c r="H329" s="51"/>
      <x:c r="I329" s="51"/>
      <x:c r="J329" s="51" t="n">
        <x:f>ANN!A262</x:f>
        <x:v>256</x:v>
      </x:c>
      <x:c r="K329" s="52" t="n">
        <x:f>ANN!G262</x:f>
        <x:v>26003.2</x:v>
      </x:c>
      <x:c r="L329" s="52" t="n">
        <x:f>SIMPLE!G262</x:f>
        <x:v>22475.58</x:v>
      </x:c>
      <x:c r="M329" s="52" t="n">
        <x:f>RGM!G262</x:f>
        <x:v>16232.36</x:v>
      </x:c>
    </x:row>
    <x:row r="330">
      <x:c r="B330" s="51" t="n">
        <x:f>ANN!A262</x:f>
        <x:v>256</x:v>
      </x:c>
      <x:c r="C330" s="52" t="n">
        <x:f>ANN!H262</x:f>
        <x:v>1601091.68</x:v>
      </x:c>
      <x:c r="D330" s="52" t="n">
        <x:f>SIMPLE!H262</x:f>
        <x:v>3646037.89</x:v>
      </x:c>
      <x:c r="E330" s="52" t="n">
        <x:f>RGM!H262</x:f>
        <x:v>851470.21</x:v>
      </x:c>
      <x:c r="F330" s="51"/>
      <x:c r="G330" s="51"/>
      <x:c r="H330" s="51"/>
      <x:c r="I330" s="51"/>
      <x:c r="J330" s="51" t="n">
        <x:f>ANN!A263</x:f>
        <x:v>257</x:v>
      </x:c>
      <x:c r="K330" s="52" t="n">
        <x:f>ANN!G263</x:f>
        <x:v>26003.2</x:v>
      </x:c>
      <x:c r="L330" s="52" t="n">
        <x:f>SIMPLE!G263</x:f>
        <x:v>23224.76</x:v>
      </x:c>
      <x:c r="M330" s="52" t="n">
        <x:f>RGM!G263</x:f>
        <x:v>16340.03</x:v>
      </x:c>
    </x:row>
    <x:row r="331">
      <x:c r="B331" s="51" t="n">
        <x:f>ANN!A263</x:f>
        <x:v>257</x:v>
      </x:c>
      <x:c r="C331" s="52" t="n">
        <x:f>ANN!H263</x:f>
        <x:v>1585287.21</x:v>
      </x:c>
      <x:c r="D331" s="52" t="n">
        <x:f>SIMPLE!H263</x:f>
        <x:v>3646037.89</x:v>
      </x:c>
      <x:c r="E331" s="52" t="n">
        <x:f>RGM!H263</x:f>
        <x:v>840553.93</x:v>
      </x:c>
      <x:c r="F331" s="51"/>
      <x:c r="G331" s="51"/>
      <x:c r="H331" s="51"/>
      <x:c r="I331" s="51"/>
      <x:c r="J331" s="51" t="n">
        <x:f>ANN!A264</x:f>
        <x:v>258</x:v>
      </x:c>
      <x:c r="K331" s="52" t="n">
        <x:f>ANN!G264</x:f>
        <x:v>26003.2</x:v>
      </x:c>
      <x:c r="L331" s="52" t="n">
        <x:f>SIMPLE!G264</x:f>
        <x:v>23224.76</x:v>
      </x:c>
      <x:c r="M331" s="52" t="n">
        <x:f>RGM!G264</x:f>
        <x:v>16270.49</x:v>
      </x:c>
    </x:row>
    <x:row r="332">
      <x:c r="B332" s="51" t="n">
        <x:f>ANN!A264</x:f>
        <x:v>258</x:v>
      </x:c>
      <x:c r="C332" s="52" t="n">
        <x:f>ANN!H264</x:f>
        <x:v>1569382.07</x:v>
      </x:c>
      <x:c r="D332" s="52" t="n">
        <x:f>SIMPLE!H264</x:f>
        <x:v>3646037.89</x:v>
      </x:c>
      <x:c r="E332" s="52" t="n">
        <x:f>RGM!H264</x:f>
        <x:v>829637.65</x:v>
      </x:c>
      <x:c r="F332" s="51"/>
      <x:c r="G332" s="51"/>
      <x:c r="H332" s="51"/>
      <x:c r="I332" s="51"/>
      <x:c r="J332" s="51" t="n">
        <x:f>ANN!A265</x:f>
        <x:v>259</x:v>
      </x:c>
      <x:c r="K332" s="52" t="n">
        <x:f>ANN!G265</x:f>
        <x:v>26003.2</x:v>
      </x:c>
      <x:c r="L332" s="52" t="n">
        <x:f>SIMPLE!G265</x:f>
        <x:v>21726.39</x:v>
      </x:c>
      <x:c r="M332" s="52" t="n">
        <x:f>RGM!G265</x:f>
        <x:v>15860.01</x:v>
      </x:c>
    </x:row>
    <x:row r="333">
      <x:c r="B333" s="51" t="n">
        <x:f>ANN!A265</x:f>
        <x:v>259</x:v>
      </x:c>
      <x:c r="C333" s="52" t="n">
        <x:f>ANN!H265</x:f>
        <x:v>1552730.67</x:v>
      </x:c>
      <x:c r="D333" s="52" t="n">
        <x:f>SIMPLE!H265</x:f>
        <x:v>3646037.89</x:v>
      </x:c>
      <x:c r="E333" s="52" t="n">
        <x:f>RGM!H265</x:f>
        <x:v>818721.37</x:v>
      </x:c>
      <x:c r="F333" s="51"/>
      <x:c r="G333" s="51"/>
      <x:c r="H333" s="51"/>
      <x:c r="I333" s="51"/>
      <x:c r="J333" s="51" t="n">
        <x:f>ANN!A266</x:f>
        <x:v>260</x:v>
      </x:c>
      <x:c r="K333" s="52" t="n">
        <x:f>ANN!G266</x:f>
        <x:v>26003.2</x:v>
      </x:c>
      <x:c r="L333" s="52" t="n">
        <x:f>SIMPLE!G266</x:f>
        <x:v>23224.76</x:v>
      </x:c>
      <x:c r="M333" s="52" t="n">
        <x:f>RGM!G266</x:f>
        <x:v>16131.42</x:v>
      </x:c>
    </x:row>
    <x:row r="334">
      <x:c r="B334" s="51" t="n">
        <x:f>ANN!A266</x:f>
        <x:v>260</x:v>
      </x:c>
      <x:c r="C334" s="52" t="n">
        <x:f>ANN!H266</x:f>
        <x:v>1536618.15</x:v>
      </x:c>
      <x:c r="D334" s="52" t="n">
        <x:f>SIMPLE!H266</x:f>
        <x:v>3646037.89</x:v>
      </x:c>
      <x:c r="E334" s="52" t="n">
        <x:f>RGM!H266</x:f>
        <x:v>807805.09</x:v>
      </x:c>
      <x:c r="F334" s="51"/>
      <x:c r="G334" s="51"/>
      <x:c r="H334" s="51"/>
      <x:c r="I334" s="51"/>
      <x:c r="J334" s="51" t="n">
        <x:f>ANN!A267</x:f>
        <x:v>261</x:v>
      </x:c>
      <x:c r="K334" s="52" t="n">
        <x:f>ANN!G267</x:f>
        <x:v>26003.2</x:v>
      </x:c>
      <x:c r="L334" s="52" t="n">
        <x:f>SIMPLE!G267</x:f>
        <x:v>22475.58</x:v>
      </x:c>
      <x:c r="M334" s="52" t="n">
        <x:f>RGM!G267</x:f>
        <x:v>15895.9</x:v>
      </x:c>
    </x:row>
    <x:row r="335">
      <x:c r="B335" s="51" t="n">
        <x:f>ANN!A267</x:f>
        <x:v>261</x:v>
      </x:c>
      <x:c r="C335" s="52" t="n">
        <x:f>ANN!H267</x:f>
        <x:v>1520087.25</x:v>
      </x:c>
      <x:c r="D335" s="52" t="n">
        <x:f>SIMPLE!H267</x:f>
        <x:v>3646037.89</x:v>
      </x:c>
      <x:c r="E335" s="52" t="n">
        <x:f>RGM!H267</x:f>
        <x:v>796888.81</x:v>
      </x:c>
      <x:c r="F335" s="51"/>
      <x:c r="G335" s="51"/>
      <x:c r="H335" s="51"/>
      <x:c r="I335" s="51"/>
      <x:c r="J335" s="51" t="n">
        <x:f>ANN!A268</x:f>
        <x:v>262</x:v>
      </x:c>
      <x:c r="K335" s="52" t="n">
        <x:f>ANN!G268</x:f>
        <x:v>26003.2</x:v>
      </x:c>
      <x:c r="L335" s="52" t="n">
        <x:f>SIMPLE!G268</x:f>
        <x:v>23224.76</x:v>
      </x:c>
      <x:c r="M335" s="52" t="n">
        <x:f>RGM!G268</x:f>
        <x:v>15992.35</x:v>
      </x:c>
    </x:row>
    <x:row r="336">
      <x:c r="B336" s="51" t="n">
        <x:f>ANN!A268</x:f>
        <x:v>262</x:v>
      </x:c>
      <x:c r="C336" s="52" t="n">
        <x:f>ANN!H268</x:f>
        <x:v>1503766.8</x:v>
      </x:c>
      <x:c r="D336" s="52" t="n">
        <x:f>SIMPLE!H268</x:f>
        <x:v>3646037.89</x:v>
      </x:c>
      <x:c r="E336" s="52" t="n">
        <x:f>RGM!H268</x:f>
        <x:v>785972.53</x:v>
      </x:c>
      <x:c r="F336" s="51"/>
      <x:c r="G336" s="51"/>
      <x:c r="H336" s="51"/>
      <x:c r="I336" s="51"/>
      <x:c r="J336" s="51" t="n">
        <x:f>ANN!A269</x:f>
        <x:v>263</x:v>
      </x:c>
      <x:c r="K336" s="52" t="n">
        <x:f>ANN!G269</x:f>
        <x:v>26003.2</x:v>
      </x:c>
      <x:c r="L336" s="52" t="n">
        <x:f>SIMPLE!G269</x:f>
        <x:v>22475.58</x:v>
      </x:c>
      <x:c r="M336" s="52" t="n">
        <x:f>RGM!G269</x:f>
        <x:v>15761.32</x:v>
      </x:c>
    </x:row>
    <x:row r="337">
      <x:c r="B337" s="51" t="n">
        <x:f>ANN!A269</x:f>
        <x:v>263</x:v>
      </x:c>
      <x:c r="C337" s="52" t="n">
        <x:f>ANN!H269</x:f>
        <x:v>1487033.4</x:v>
      </x:c>
      <x:c r="D337" s="52" t="n">
        <x:f>SIMPLE!H269</x:f>
        <x:v>3646037.89</x:v>
      </x:c>
      <x:c r="E337" s="52" t="n">
        <x:f>RGM!H269</x:f>
        <x:v>775056.25</x:v>
      </x:c>
      <x:c r="F337" s="51"/>
      <x:c r="G337" s="51"/>
      <x:c r="H337" s="51"/>
      <x:c r="I337" s="51"/>
      <x:c r="J337" s="51" t="n">
        <x:f>ANN!A270</x:f>
        <x:v>264</x:v>
      </x:c>
      <x:c r="K337" s="52" t="n">
        <x:f>ANN!G270</x:f>
        <x:v>26003.2</x:v>
      </x:c>
      <x:c r="L337" s="52" t="n">
        <x:f>SIMPLE!G270</x:f>
        <x:v>23224.76</x:v>
      </x:c>
      <x:c r="M337" s="52" t="n">
        <x:f>RGM!G270</x:f>
        <x:v>15853.28</x:v>
      </x:c>
    </x:row>
    <x:row r="338">
      <x:c r="B338" s="51" t="n">
        <x:f>ANN!A270</x:f>
        <x:v>264</x:v>
      </x:c>
      <x:c r="C338" s="52" t="n">
        <x:f>ANN!H270</x:f>
        <x:v>1470502.4</x:v>
      </x:c>
      <x:c r="D338" s="52" t="n">
        <x:f>SIMPLE!H270</x:f>
        <x:v>3646037.89</x:v>
      </x:c>
      <x:c r="E338" s="52" t="n">
        <x:f>RGM!H270</x:f>
        <x:v>764139.97</x:v>
      </x:c>
      <x:c r="F338" s="51"/>
      <x:c r="G338" s="51"/>
      <x:c r="H338" s="51"/>
      <x:c r="I338" s="51"/>
      <x:c r="J338" s="51" t="n">
        <x:f>ANN!A271</x:f>
        <x:v>265</x:v>
      </x:c>
      <x:c r="K338" s="52" t="n">
        <x:f>ANN!G271</x:f>
        <x:v>26003.2</x:v>
      </x:c>
      <x:c r="L338" s="52" t="n">
        <x:f>SIMPLE!G271</x:f>
        <x:v>23224.76</x:v>
      </x:c>
      <x:c r="M338" s="52" t="n">
        <x:f>RGM!G271</x:f>
        <x:v>15783.75</x:v>
      </x:c>
    </x:row>
    <x:row r="339">
      <x:c r="B339" s="51" t="n">
        <x:f>ANN!A271</x:f>
        <x:v>265</x:v>
      </x:c>
      <x:c r="C339" s="52" t="n">
        <x:f>ANN!H271</x:f>
        <x:v>1453866.1</x:v>
      </x:c>
      <x:c r="D339" s="52" t="n">
        <x:f>SIMPLE!H271</x:f>
        <x:v>3646037.89</x:v>
      </x:c>
      <x:c r="E339" s="52" t="n">
        <x:f>RGM!H271</x:f>
        <x:v>753223.69</x:v>
      </x:c>
      <x:c r="F339" s="51"/>
      <x:c r="G339" s="51"/>
      <x:c r="H339" s="51"/>
      <x:c r="I339" s="51"/>
      <x:c r="J339" s="51" t="n">
        <x:f>ANN!A272</x:f>
        <x:v>266</x:v>
      </x:c>
      <x:c r="K339" s="52" t="n">
        <x:f>ANN!G272</x:f>
        <x:v>26003.2</x:v>
      </x:c>
      <x:c r="L339" s="52" t="n">
        <x:f>SIMPLE!G272</x:f>
        <x:v>22475.58</x:v>
      </x:c>
      <x:c r="M339" s="52" t="n">
        <x:f>RGM!G272</x:f>
        <x:v>15559.44</x:v>
      </x:c>
    </x:row>
    <x:row r="340">
      <x:c r="B340" s="51" t="n">
        <x:f>ANN!A272</x:f>
        <x:v>266</x:v>
      </x:c>
      <x:c r="C340" s="52" t="n">
        <x:f>ANN!H272</x:f>
        <x:v>1436825.09</x:v>
      </x:c>
      <x:c r="D340" s="52" t="n">
        <x:f>SIMPLE!H272</x:f>
        <x:v>3646037.89</x:v>
      </x:c>
      <x:c r="E340" s="52" t="n">
        <x:f>RGM!H272</x:f>
        <x:v>742307.41</x:v>
      </x:c>
      <x:c r="F340" s="51"/>
      <x:c r="G340" s="51"/>
      <x:c r="H340" s="51"/>
      <x:c r="I340" s="51"/>
      <x:c r="J340" s="51" t="n">
        <x:f>ANN!A273</x:f>
        <x:v>267</x:v>
      </x:c>
      <x:c r="K340" s="52" t="n">
        <x:f>ANN!G273</x:f>
        <x:v>26003.2</x:v>
      </x:c>
      <x:c r="L340" s="52" t="n">
        <x:f>SIMPLE!G273</x:f>
        <x:v>23224.76</x:v>
      </x:c>
      <x:c r="M340" s="52" t="n">
        <x:f>RGM!G273</x:f>
        <x:v>15644.68</x:v>
      </x:c>
    </x:row>
    <x:row r="341">
      <x:c r="B341" s="51" t="n">
        <x:f>ANN!A273</x:f>
        <x:v>267</x:v>
      </x:c>
      <x:c r="C341" s="52" t="n">
        <x:f>ANN!H273</x:f>
        <x:v>1419974.27</x:v>
      </x:c>
      <x:c r="D341" s="52" t="n">
        <x:f>SIMPLE!H273</x:f>
        <x:v>3646037.89</x:v>
      </x:c>
      <x:c r="E341" s="52" t="n">
        <x:f>RGM!H273</x:f>
        <x:v>731391.13</x:v>
      </x:c>
      <x:c r="F341" s="51"/>
      <x:c r="G341" s="51"/>
      <x:c r="H341" s="51"/>
      <x:c r="I341" s="51"/>
      <x:c r="J341" s="51" t="n">
        <x:f>ANN!A274</x:f>
        <x:v>268</x:v>
      </x:c>
      <x:c r="K341" s="52" t="n">
        <x:f>ANN!G274</x:f>
        <x:v>26003.2</x:v>
      </x:c>
      <x:c r="L341" s="52" t="n">
        <x:f>SIMPLE!G274</x:f>
        <x:v>22475.58</x:v>
      </x:c>
      <x:c r="M341" s="52" t="n">
        <x:f>RGM!G274</x:f>
        <x:v>15424.86</x:v>
      </x:c>
    </x:row>
    <x:row r="342">
      <x:c r="B342" s="51" t="n">
        <x:f>ANN!A274</x:f>
        <x:v>268</x:v>
      </x:c>
      <x:c r="C342" s="52" t="n">
        <x:f>ANN!H274</x:f>
        <x:v>1402724.34</x:v>
      </x:c>
      <x:c r="D342" s="52" t="n">
        <x:f>SIMPLE!H274</x:f>
        <x:v>3646037.89</x:v>
      </x:c>
      <x:c r="E342" s="52" t="n">
        <x:f>RGM!H274</x:f>
        <x:v>720474.85</x:v>
      </x:c>
      <x:c r="F342" s="51"/>
      <x:c r="G342" s="51"/>
      <x:c r="H342" s="51"/>
      <x:c r="I342" s="51"/>
      <x:c r="J342" s="51" t="n">
        <x:f>ANN!A275</x:f>
        <x:v>269</x:v>
      </x:c>
      <x:c r="K342" s="52" t="n">
        <x:f>ANN!G275</x:f>
        <x:v>26003.2</x:v>
      </x:c>
      <x:c r="L342" s="52" t="n">
        <x:f>SIMPLE!G275</x:f>
        <x:v>23224.76</x:v>
      </x:c>
      <x:c r="M342" s="52" t="n">
        <x:f>RGM!G275</x:f>
        <x:v>15505.61</x:v>
      </x:c>
    </x:row>
    <x:row r="343">
      <x:c r="B343" s="51" t="n">
        <x:f>ANN!A275</x:f>
        <x:v>269</x:v>
      </x:c>
      <x:c r="C343" s="52" t="n">
        <x:f>ANN!H275</x:f>
        <x:v>1385656.3</x:v>
      </x:c>
      <x:c r="D343" s="52" t="n">
        <x:f>SIMPLE!H275</x:f>
        <x:v>3646037.89</x:v>
      </x:c>
      <x:c r="E343" s="52" t="n">
        <x:f>RGM!H275</x:f>
        <x:v>709558.57</x:v>
      </x:c>
      <x:c r="F343" s="51"/>
      <x:c r="G343" s="51"/>
      <x:c r="H343" s="51"/>
      <x:c r="I343" s="51"/>
      <x:c r="J343" s="51" t="n">
        <x:f>ANN!A276</x:f>
        <x:v>270</x:v>
      </x:c>
      <x:c r="K343" s="52" t="n">
        <x:f>ANN!G276</x:f>
        <x:v>26003.2</x:v>
      </x:c>
      <x:c r="L343" s="52" t="n">
        <x:f>SIMPLE!G276</x:f>
        <x:v>23224.76</x:v>
      </x:c>
      <x:c r="M343" s="52" t="n">
        <x:f>RGM!G276</x:f>
        <x:v>15436.07</x:v>
      </x:c>
    </x:row>
    <x:row r="344">
      <x:c r="B344" s="51" t="n">
        <x:f>ANN!A276</x:f>
        <x:v>270</x:v>
      </x:c>
      <x:c r="C344" s="52" t="n">
        <x:f>ANN!H276</x:f>
        <x:v>1368479.54</x:v>
      </x:c>
      <x:c r="D344" s="52" t="n">
        <x:f>SIMPLE!H276</x:f>
        <x:v>3646037.89</x:v>
      </x:c>
      <x:c r="E344" s="52" t="n">
        <x:f>RGM!H276</x:f>
        <x:v>698642.29</x:v>
      </x:c>
      <x:c r="F344" s="51"/>
      <x:c r="G344" s="51"/>
      <x:c r="H344" s="51"/>
      <x:c r="I344" s="51"/>
      <x:c r="J344" s="51" t="n">
        <x:f>ANN!A277</x:f>
        <x:v>271</x:v>
      </x:c>
      <x:c r="K344" s="52" t="n">
        <x:f>ANN!G277</x:f>
        <x:v>26003.2</x:v>
      </x:c>
      <x:c r="L344" s="52" t="n">
        <x:f>SIMPLE!G277</x:f>
        <x:v>20977.2</x:v>
      </x:c>
      <x:c r="M344" s="52" t="n">
        <x:f>RGM!G277</x:f>
        <x:v>14935.87</x:v>
      </x:c>
    </x:row>
    <x:row r="345">
      <x:c r="B345" s="51" t="n">
        <x:f>ANN!A277</x:f>
        <x:v>271</x:v>
      </x:c>
      <x:c r="C345" s="52" t="n">
        <x:f>ANN!H277</x:f>
        <x:v>1350349.78</x:v>
      </x:c>
      <x:c r="D345" s="52" t="n">
        <x:f>SIMPLE!H277</x:f>
        <x:v>3646037.89</x:v>
      </x:c>
      <x:c r="E345" s="52" t="n">
        <x:f>RGM!H277</x:f>
        <x:v>687726.01</x:v>
      </x:c>
      <x:c r="F345" s="51"/>
      <x:c r="G345" s="51"/>
      <x:c r="H345" s="51"/>
      <x:c r="I345" s="51"/>
      <x:c r="J345" s="51" t="n">
        <x:f>ANN!A278</x:f>
        <x:v>272</x:v>
      </x:c>
      <x:c r="K345" s="52" t="n">
        <x:f>ANN!G278</x:f>
        <x:v>26003.2</x:v>
      </x:c>
      <x:c r="L345" s="52" t="n">
        <x:f>SIMPLE!G278</x:f>
        <x:v>23224.76</x:v>
      </x:c>
      <x:c r="M345" s="52" t="n">
        <x:f>RGM!G278</x:f>
        <x:v>15297</x:v>
      </x:c>
    </x:row>
    <x:row r="346">
      <x:c r="B346" s="51" t="n">
        <x:f>ANN!A278</x:f>
        <x:v>272</x:v>
      </x:c>
      <x:c r="C346" s="52" t="n">
        <x:f>ANN!H278</x:f>
        <x:v>1332948.12</x:v>
      </x:c>
      <x:c r="D346" s="52" t="n">
        <x:f>SIMPLE!H278</x:f>
        <x:v>3646037.89</x:v>
      </x:c>
      <x:c r="E346" s="52" t="n">
        <x:f>RGM!H278</x:f>
        <x:v>676809.73</x:v>
      </x:c>
      <x:c r="F346" s="51"/>
      <x:c r="G346" s="51"/>
      <x:c r="H346" s="51"/>
      <x:c r="I346" s="51"/>
      <x:c r="J346" s="51" t="n">
        <x:f>ANN!A279</x:f>
        <x:v>273</x:v>
      </x:c>
      <x:c r="K346" s="52" t="n">
        <x:f>ANN!G279</x:f>
        <x:v>26003.2</x:v>
      </x:c>
      <x:c r="L346" s="52" t="n">
        <x:f>SIMPLE!G279</x:f>
        <x:v>22475.58</x:v>
      </x:c>
      <x:c r="M346" s="52" t="n">
        <x:f>RGM!G279</x:f>
        <x:v>15088.39</x:v>
      </x:c>
    </x:row>
    <x:row r="347">
      <x:c r="B347" s="51" t="n">
        <x:f>ANN!A279</x:f>
        <x:v>273</x:v>
      </x:c>
      <x:c r="C347" s="52" t="n">
        <x:f>ANN!H279</x:f>
        <x:v>1315161.72</x:v>
      </x:c>
      <x:c r="D347" s="52" t="n">
        <x:f>SIMPLE!H279</x:f>
        <x:v>3646037.89</x:v>
      </x:c>
      <x:c r="E347" s="52" t="n">
        <x:f>RGM!H279</x:f>
        <x:v>665893.45</x:v>
      </x:c>
      <x:c r="F347" s="51"/>
      <x:c r="G347" s="51"/>
      <x:c r="H347" s="51"/>
      <x:c r="I347" s="51"/>
      <x:c r="J347" s="51" t="n">
        <x:f>ANN!A280</x:f>
        <x:v>274</x:v>
      </x:c>
      <x:c r="K347" s="52" t="n">
        <x:f>ANN!G280</x:f>
        <x:v>26003.2</x:v>
      </x:c>
      <x:c r="L347" s="52" t="n">
        <x:f>SIMPLE!G280</x:f>
        <x:v>23224.76</x:v>
      </x:c>
      <x:c r="M347" s="52" t="n">
        <x:f>RGM!G280</x:f>
        <x:v>15157.93</x:v>
      </x:c>
    </x:row>
    <x:row r="348">
      <x:c r="B348" s="51" t="n">
        <x:f>ANN!A280</x:f>
        <x:v>274</x:v>
      </x:c>
      <x:c r="C348" s="52" t="n">
        <x:f>ANN!H280</x:f>
        <x:v>1297535.92</x:v>
      </x:c>
      <x:c r="D348" s="52" t="n">
        <x:f>SIMPLE!H280</x:f>
        <x:v>3646037.89</x:v>
      </x:c>
      <x:c r="E348" s="52" t="n">
        <x:f>RGM!H280</x:f>
        <x:v>654977.17</x:v>
      </x:c>
      <x:c r="F348" s="51"/>
      <x:c r="G348" s="51"/>
      <x:c r="H348" s="51"/>
      <x:c r="I348" s="51"/>
      <x:c r="J348" s="51" t="n">
        <x:f>ANN!A281</x:f>
        <x:v>275</x:v>
      </x:c>
      <x:c r="K348" s="52" t="n">
        <x:f>ANN!G281</x:f>
        <x:v>26003.2</x:v>
      </x:c>
      <x:c r="L348" s="52" t="n">
        <x:f>SIMPLE!G281</x:f>
        <x:v>22475.58</x:v>
      </x:c>
      <x:c r="M348" s="52" t="n">
        <x:f>RGM!G281</x:f>
        <x:v>14953.81</x:v>
      </x:c>
    </x:row>
    <x:row r="349">
      <x:c r="B349" s="51" t="n">
        <x:f>ANN!A281</x:f>
        <x:v>275</x:v>
      </x:c>
      <x:c r="C349" s="52" t="n">
        <x:f>ANN!H281</x:f>
        <x:v>1279531.23</x:v>
      </x:c>
      <x:c r="D349" s="52" t="n">
        <x:f>SIMPLE!H281</x:f>
        <x:v>3646037.89</x:v>
      </x:c>
      <x:c r="E349" s="52" t="n">
        <x:f>RGM!H281</x:f>
        <x:v>644060.89</x:v>
      </x:c>
      <x:c r="F349" s="51"/>
      <x:c r="G349" s="51"/>
      <x:c r="H349" s="51"/>
      <x:c r="I349" s="51"/>
      <x:c r="J349" s="51" t="n">
        <x:f>ANN!A282</x:f>
        <x:v>276</x:v>
      </x:c>
      <x:c r="K349" s="52" t="n">
        <x:f>ANN!G282</x:f>
        <x:v>26003.2</x:v>
      </x:c>
      <x:c r="L349" s="52" t="n">
        <x:f>SIMPLE!G282</x:f>
        <x:v>23224.76</x:v>
      </x:c>
      <x:c r="M349" s="52" t="n">
        <x:f>RGM!G282</x:f>
        <x:v>15018.86</x:v>
      </x:c>
    </x:row>
    <x:row r="350">
      <x:c r="B350" s="51" t="n">
        <x:f>ANN!A282</x:f>
        <x:v>276</x:v>
      </x:c>
      <x:c r="C350" s="52" t="n">
        <x:f>ANN!H282</x:f>
        <x:v>1261678.47</x:v>
      </x:c>
      <x:c r="D350" s="52" t="n">
        <x:f>SIMPLE!H282</x:f>
        <x:v>3646037.89</x:v>
      </x:c>
      <x:c r="E350" s="52" t="n">
        <x:f>RGM!H282</x:f>
        <x:v>633144.61</x:v>
      </x:c>
      <x:c r="F350" s="51"/>
      <x:c r="G350" s="51"/>
      <x:c r="H350" s="51"/>
      <x:c r="I350" s="51"/>
      <x:c r="J350" s="51" t="n">
        <x:f>ANN!A283</x:f>
        <x:v>277</x:v>
      </x:c>
      <x:c r="K350" s="52" t="n">
        <x:f>ANN!G283</x:f>
        <x:v>26003.2</x:v>
      </x:c>
      <x:c r="L350" s="52" t="n">
        <x:f>SIMPLE!G283</x:f>
        <x:v>23224.76</x:v>
      </x:c>
      <x:c r="M350" s="52" t="n">
        <x:f>RGM!G283</x:f>
        <x:v>14949.32</x:v>
      </x:c>
    </x:row>
    <x:row r="351">
      <x:c r="B351" s="51" t="n">
        <x:f>ANN!A283</x:f>
        <x:v>277</x:v>
      </x:c>
      <x:c r="C351" s="52" t="n">
        <x:f>ANN!H283</x:f>
        <x:v>1243711.99</x:v>
      </x:c>
      <x:c r="D351" s="52" t="n">
        <x:f>SIMPLE!H283</x:f>
        <x:v>3646037.89</x:v>
      </x:c>
      <x:c r="E351" s="52" t="n">
        <x:f>RGM!H283</x:f>
        <x:v>622228.33</x:v>
      </x:c>
      <x:c r="F351" s="51"/>
      <x:c r="G351" s="51"/>
      <x:c r="H351" s="51"/>
      <x:c r="I351" s="51"/>
      <x:c r="J351" s="51" t="n">
        <x:f>ANN!A284</x:f>
        <x:v>278</x:v>
      </x:c>
      <x:c r="K351" s="52" t="n">
        <x:f>ANN!G284</x:f>
        <x:v>26003.2</x:v>
      </x:c>
      <x:c r="L351" s="52" t="n">
        <x:f>SIMPLE!G284</x:f>
        <x:v>22475.58</x:v>
      </x:c>
      <x:c r="M351" s="52" t="n">
        <x:f>RGM!G284</x:f>
        <x:v>14751.93</x:v>
      </x:c>
    </x:row>
    <x:row r="352">
      <x:c r="B352" s="51" t="n">
        <x:f>ANN!A284</x:f>
        <x:v>278</x:v>
      </x:c>
      <x:c r="C352" s="52" t="n">
        <x:f>ANN!H284</x:f>
        <x:v>1225375.51</x:v>
      </x:c>
      <x:c r="D352" s="52" t="n">
        <x:f>SIMPLE!H284</x:f>
        <x:v>3646037.89</x:v>
      </x:c>
      <x:c r="E352" s="52" t="n">
        <x:f>RGM!H284</x:f>
        <x:v>611312.05</x:v>
      </x:c>
      <x:c r="F352" s="51"/>
      <x:c r="G352" s="51"/>
      <x:c r="H352" s="51"/>
      <x:c r="I352" s="51"/>
      <x:c r="J352" s="51" t="n">
        <x:f>ANN!A285</x:f>
        <x:v>279</x:v>
      </x:c>
      <x:c r="K352" s="52" t="n">
        <x:f>ANN!G285</x:f>
        <x:v>26003.2</x:v>
      </x:c>
      <x:c r="L352" s="52" t="n">
        <x:f>SIMPLE!G285</x:f>
        <x:v>23224.76</x:v>
      </x:c>
      <x:c r="M352" s="52" t="n">
        <x:f>RGM!G285</x:f>
        <x:v>14810.25</x:v>
      </x:c>
    </x:row>
    <x:row r="353">
      <x:c r="B353" s="51" t="n">
        <x:f>ANN!A285</x:f>
        <x:v>279</x:v>
      </x:c>
      <x:c r="C353" s="52" t="n">
        <x:f>ANN!H285</x:f>
        <x:v>1207177.78</x:v>
      </x:c>
      <x:c r="D353" s="52" t="n">
        <x:f>SIMPLE!H285</x:f>
        <x:v>3646037.89</x:v>
      </x:c>
      <x:c r="E353" s="52" t="n">
        <x:f>RGM!H285</x:f>
        <x:v>600395.77</x:v>
      </x:c>
      <x:c r="F353" s="51"/>
      <x:c r="G353" s="51"/>
      <x:c r="H353" s="51"/>
      <x:c r="I353" s="51"/>
      <x:c r="J353" s="51" t="n">
        <x:f>ANN!A286</x:f>
        <x:v>280</x:v>
      </x:c>
      <x:c r="K353" s="52" t="n">
        <x:f>ANN!G286</x:f>
        <x:v>26003.2</x:v>
      </x:c>
      <x:c r="L353" s="52" t="n">
        <x:f>SIMPLE!G286</x:f>
        <x:v>22475.58</x:v>
      </x:c>
      <x:c r="M353" s="52" t="n">
        <x:f>RGM!G286</x:f>
        <x:v>14617.35</x:v>
      </x:c>
    </x:row>
    <x:row r="354">
      <x:c r="B354" s="51" t="n">
        <x:f>ANN!A286</x:f>
        <x:v>280</x:v>
      </x:c>
      <x:c r="C354" s="52" t="n">
        <x:f>ANN!H286</x:f>
        <x:v>1188616.09</x:v>
      </x:c>
      <x:c r="D354" s="52" t="n">
        <x:f>SIMPLE!H286</x:f>
        <x:v>3646037.89</x:v>
      </x:c>
      <x:c r="E354" s="52" t="n">
        <x:f>RGM!H286</x:f>
        <x:v>589479.49</x:v>
      </x:c>
      <x:c r="F354" s="51"/>
      <x:c r="G354" s="51"/>
      <x:c r="H354" s="51"/>
      <x:c r="I354" s="51"/>
      <x:c r="J354" s="51" t="n">
        <x:f>ANN!A287</x:f>
        <x:v>281</x:v>
      </x:c>
      <x:c r="K354" s="52" t="n">
        <x:f>ANN!G287</x:f>
        <x:v>26003.2</x:v>
      </x:c>
      <x:c r="L354" s="52" t="n">
        <x:f>SIMPLE!G287</x:f>
        <x:v>23224.76</x:v>
      </x:c>
      <x:c r="M354" s="52" t="n">
        <x:f>RGM!G287</x:f>
        <x:v>14671.18</x:v>
      </x:c>
    </x:row>
    <x:row r="355">
      <x:c r="B355" s="51" t="n">
        <x:f>ANN!A287</x:f>
        <x:v>281</x:v>
      </x:c>
      <x:c r="C355" s="52" t="n">
        <x:f>ANN!H287</x:f>
        <x:v>1170184.21</x:v>
      </x:c>
      <x:c r="D355" s="52" t="n">
        <x:f>SIMPLE!H287</x:f>
        <x:v>3646037.89</x:v>
      </x:c>
      <x:c r="E355" s="52" t="n">
        <x:f>RGM!H287</x:f>
        <x:v>578563.21</x:v>
      </x:c>
      <x:c r="F355" s="51"/>
      <x:c r="G355" s="51"/>
      <x:c r="H355" s="51"/>
      <x:c r="I355" s="51"/>
      <x:c r="J355" s="51" t="n">
        <x:f>ANN!A288</x:f>
        <x:v>282</x:v>
      </x:c>
      <x:c r="K355" s="52" t="n">
        <x:f>ANN!G288</x:f>
        <x:v>26003.2</x:v>
      </x:c>
      <x:c r="L355" s="52" t="n">
        <x:f>SIMPLE!G288</x:f>
        <x:v>23224.76</x:v>
      </x:c>
      <x:c r="M355" s="52" t="n">
        <x:f>RGM!G288</x:f>
        <x:v>14601.65</x:v>
      </x:c>
    </x:row>
    <x:row r="356">
      <x:c r="B356" s="51" t="n">
        <x:f>ANN!A288</x:f>
        <x:v>282</x:v>
      </x:c>
      <x:c r="C356" s="52" t="n">
        <x:f>ANN!H288</x:f>
        <x:v>1151634.92</x:v>
      </x:c>
      <x:c r="D356" s="52" t="n">
        <x:f>SIMPLE!H288</x:f>
        <x:v>3646037.89</x:v>
      </x:c>
      <x:c r="E356" s="52" t="n">
        <x:f>RGM!H288</x:f>
        <x:v>567646.93</x:v>
      </x:c>
      <x:c r="F356" s="51"/>
      <x:c r="G356" s="51"/>
      <x:c r="H356" s="51"/>
      <x:c r="I356" s="51"/>
      <x:c r="J356" s="51" t="n">
        <x:f>ANN!A289</x:f>
        <x:v>283</x:v>
      </x:c>
      <x:c r="K356" s="52" t="n">
        <x:f>ANN!G289</x:f>
        <x:v>26003.2</x:v>
      </x:c>
      <x:c r="L356" s="52" t="n">
        <x:f>SIMPLE!G289</x:f>
        <x:v>20977.2</x:v>
      </x:c>
      <x:c r="M356" s="52" t="n">
        <x:f>RGM!G289</x:f>
        <x:v>14182.19</x:v>
      </x:c>
    </x:row>
    <x:row r="357">
      <x:c r="B357" s="51" t="n">
        <x:f>ANN!A289</x:f>
        <x:v>283</x:v>
      </x:c>
      <x:c r="C357" s="52" t="n">
        <x:f>ANN!H289</x:f>
        <x:v>1132257.56</x:v>
      </x:c>
      <x:c r="D357" s="52" t="n">
        <x:f>SIMPLE!H289</x:f>
        <x:v>3646037.89</x:v>
      </x:c>
      <x:c r="E357" s="52" t="n">
        <x:f>RGM!H289</x:f>
        <x:v>556730.65</x:v>
      </x:c>
      <x:c r="F357" s="51"/>
      <x:c r="G357" s="51"/>
      <x:c r="H357" s="51"/>
      <x:c r="I357" s="51"/>
      <x:c r="J357" s="51" t="n">
        <x:f>ANN!A290</x:f>
        <x:v>284</x:v>
      </x:c>
      <x:c r="K357" s="52" t="n">
        <x:f>ANN!G290</x:f>
        <x:v>26003.2</x:v>
      </x:c>
      <x:c r="L357" s="52" t="n">
        <x:f>SIMPLE!G290</x:f>
        <x:v>23224.76</x:v>
      </x:c>
      <x:c r="M357" s="52" t="n">
        <x:f>RGM!G290</x:f>
        <x:v>14462.58</x:v>
      </x:c>
    </x:row>
    <x:row r="358">
      <x:c r="B358" s="51" t="n">
        <x:f>ANN!A290</x:f>
        <x:v>284</x:v>
      </x:c>
      <x:c r="C358" s="52" t="n">
        <x:f>ANN!H290</x:f>
        <x:v>1113466.69</x:v>
      </x:c>
      <x:c r="D358" s="52" t="n">
        <x:f>SIMPLE!H290</x:f>
        <x:v>3646037.89</x:v>
      </x:c>
      <x:c r="E358" s="52" t="n">
        <x:f>RGM!H290</x:f>
        <x:v>545814.37</x:v>
      </x:c>
      <x:c r="F358" s="51"/>
      <x:c r="G358" s="51"/>
      <x:c r="H358" s="51"/>
      <x:c r="I358" s="51"/>
      <x:c r="J358" s="51" t="n">
        <x:f>ANN!A291</x:f>
        <x:v>285</x:v>
      </x:c>
      <x:c r="K358" s="52" t="n">
        <x:f>ANN!G291</x:f>
        <x:v>26003.2</x:v>
      </x:c>
      <x:c r="L358" s="52" t="n">
        <x:f>SIMPLE!G291</x:f>
        <x:v>22475.58</x:v>
      </x:c>
      <x:c r="M358" s="52" t="n">
        <x:f>RGM!G291</x:f>
        <x:v>14280.89</x:v>
      </x:c>
    </x:row>
    <x:row r="359">
      <x:c r="B359" s="51" t="n">
        <x:f>ANN!A291</x:f>
        <x:v>285</x:v>
      </x:c>
      <x:c r="C359" s="52" t="n">
        <x:f>ANN!H291</x:f>
        <x:v>1094327.33</x:v>
      </x:c>
      <x:c r="D359" s="52" t="n">
        <x:f>SIMPLE!H291</x:f>
        <x:v>3646037.89</x:v>
      </x:c>
      <x:c r="E359" s="52" t="n">
        <x:f>RGM!H291</x:f>
        <x:v>534898.09</x:v>
      </x:c>
      <x:c r="F359" s="51"/>
      <x:c r="G359" s="51"/>
      <x:c r="H359" s="51"/>
      <x:c r="I359" s="51"/>
      <x:c r="J359" s="51" t="n">
        <x:f>ANN!A292</x:f>
        <x:v>286</x:v>
      </x:c>
      <x:c r="K359" s="52" t="n">
        <x:f>ANN!G292</x:f>
        <x:v>26003.2</x:v>
      </x:c>
      <x:c r="L359" s="52" t="n">
        <x:f>SIMPLE!G292</x:f>
        <x:v>23224.76</x:v>
      </x:c>
      <x:c r="M359" s="52" t="n">
        <x:f>RGM!G292</x:f>
        <x:v>14323.51</x:v>
      </x:c>
    </x:row>
    <x:row r="360">
      <x:c r="B360" s="51" t="n">
        <x:f>ANN!A292</x:f>
        <x:v>286</x:v>
      </x:c>
      <x:c r="C360" s="52" t="n">
        <x:f>ANN!H292</x:f>
        <x:v>1075294.85</x:v>
      </x:c>
      <x:c r="D360" s="52" t="n">
        <x:f>SIMPLE!H292</x:f>
        <x:v>3646037.89</x:v>
      </x:c>
      <x:c r="E360" s="52" t="n">
        <x:f>RGM!H292</x:f>
        <x:v>523981.81</x:v>
      </x:c>
      <x:c r="F360" s="51"/>
      <x:c r="G360" s="51"/>
      <x:c r="H360" s="51"/>
      <x:c r="I360" s="51"/>
      <x:c r="J360" s="51" t="n">
        <x:f>ANN!A293</x:f>
        <x:v>287</x:v>
      </x:c>
      <x:c r="K360" s="52" t="n">
        <x:f>ANN!G293</x:f>
        <x:v>26003.2</x:v>
      </x:c>
      <x:c r="L360" s="52" t="n">
        <x:f>SIMPLE!G293</x:f>
        <x:v>22475.58</x:v>
      </x:c>
      <x:c r="M360" s="52" t="n">
        <x:f>RGM!G293</x:f>
        <x:v>14146.3</x:v>
      </x:c>
    </x:row>
    <x:row r="361">
      <x:c r="B361" s="51" t="n">
        <x:f>ANN!A293</x:f>
        <x:v>287</x:v>
      </x:c>
      <x:c r="C361" s="52" t="n">
        <x:f>ANN!H293</x:f>
        <x:v>1055920.18</x:v>
      </x:c>
      <x:c r="D361" s="52" t="n">
        <x:f>SIMPLE!H293</x:f>
        <x:v>3646037.89</x:v>
      </x:c>
      <x:c r="E361" s="52" t="n">
        <x:f>RGM!H293</x:f>
        <x:v>513065.53</x:v>
      </x:c>
      <x:c r="F361" s="51"/>
      <x:c r="G361" s="51"/>
      <x:c r="H361" s="51"/>
      <x:c r="I361" s="51"/>
      <x:c r="J361" s="51" t="n">
        <x:f>ANN!A294</x:f>
        <x:v>288</x:v>
      </x:c>
      <x:c r="K361" s="52" t="n">
        <x:f>ANN!G294</x:f>
        <x:v>26003.2</x:v>
      </x:c>
      <x:c r="L361" s="52" t="n">
        <x:f>SIMPLE!G294</x:f>
        <x:v>23224.76</x:v>
      </x:c>
      <x:c r="M361" s="52" t="n">
        <x:f>RGM!G294</x:f>
        <x:v>14184.44</x:v>
      </x:c>
    </x:row>
    <x:row r="362">
      <x:c r="B362" s="51" t="n">
        <x:f>ANN!A294</x:f>
        <x:v>288</x:v>
      </x:c>
      <x:c r="C362" s="52" t="n">
        <x:f>ANN!H294</x:f>
        <x:v>1036643.05</x:v>
      </x:c>
      <x:c r="D362" s="52" t="n">
        <x:f>SIMPLE!H294</x:f>
        <x:v>3646037.89</x:v>
      </x:c>
      <x:c r="E362" s="52" t="n">
        <x:f>RGM!H294</x:f>
        <x:v>502149.25</x:v>
      </x:c>
      <x:c r="F362" s="51"/>
      <x:c r="G362" s="51"/>
      <x:c r="H362" s="51"/>
      <x:c r="I362" s="51"/>
      <x:c r="J362" s="51" t="n">
        <x:f>ANN!A295</x:f>
        <x:v>289</x:v>
      </x:c>
      <x:c r="K362" s="52" t="n">
        <x:f>ANN!G295</x:f>
        <x:v>26003.2</x:v>
      </x:c>
      <x:c r="L362" s="52" t="n">
        <x:f>SIMPLE!G295</x:f>
        <x:v>23224.76</x:v>
      </x:c>
      <x:c r="M362" s="52" t="n">
        <x:f>RGM!G295</x:f>
        <x:v>14114.9</x:v>
      </x:c>
    </x:row>
    <x:row r="363">
      <x:c r="B363" s="51" t="n">
        <x:f>ANN!A295</x:f>
        <x:v>289</x:v>
      </x:c>
      <x:c r="C363" s="52" t="n">
        <x:f>ANN!H295</x:f>
        <x:v>1017243.12</x:v>
      </x:c>
      <x:c r="D363" s="52" t="n">
        <x:f>SIMPLE!H295</x:f>
        <x:v>3646037.89</x:v>
      </x:c>
      <x:c r="E363" s="52" t="n">
        <x:f>RGM!H295</x:f>
        <x:v>491232.97</x:v>
      </x:c>
      <x:c r="F363" s="51"/>
      <x:c r="G363" s="51"/>
      <x:c r="H363" s="51"/>
      <x:c r="I363" s="51"/>
      <x:c r="J363" s="51" t="n">
        <x:f>ANN!A296</x:f>
        <x:v>290</x:v>
      </x:c>
      <x:c r="K363" s="52" t="n">
        <x:f>ANN!G296</x:f>
        <x:v>26003.2</x:v>
      </x:c>
      <x:c r="L363" s="52" t="n">
        <x:f>SIMPLE!G296</x:f>
        <x:v>22475.58</x:v>
      </x:c>
      <x:c r="M363" s="52" t="n">
        <x:f>RGM!G296</x:f>
        <x:v>13944.43</x:v>
      </x:c>
    </x:row>
    <x:row r="364">
      <x:c r="B364" s="51" t="n">
        <x:f>ANN!A296</x:f>
        <x:v>290</x:v>
      </x:c>
      <x:c r="C364" s="52" t="n">
        <x:f>ANN!H296</x:f>
        <x:v>997510.6</x:v>
      </x:c>
      <x:c r="D364" s="52" t="n">
        <x:f>SIMPLE!H296</x:f>
        <x:v>3646037.89</x:v>
      </x:c>
      <x:c r="E364" s="52" t="n">
        <x:f>RGM!H296</x:f>
        <x:v>480316.69</x:v>
      </x:c>
      <x:c r="F364" s="51"/>
      <x:c r="G364" s="51"/>
      <x:c r="H364" s="51"/>
      <x:c r="I364" s="51"/>
      <x:c r="J364" s="51" t="n">
        <x:f>ANN!A297</x:f>
        <x:v>291</x:v>
      </x:c>
      <x:c r="K364" s="52" t="n">
        <x:f>ANN!G297</x:f>
        <x:v>26003.2</x:v>
      </x:c>
      <x:c r="L364" s="52" t="n">
        <x:f>SIMPLE!G297</x:f>
        <x:v>23224.76</x:v>
      </x:c>
      <x:c r="M364" s="52" t="n">
        <x:f>RGM!G297</x:f>
        <x:v>13975.83</x:v>
      </x:c>
    </x:row>
    <x:row r="365">
      <x:c r="B365" s="51" t="n">
        <x:f>ANN!A297</x:f>
        <x:v>291</x:v>
      </x:c>
      <x:c r="C365" s="52" t="n">
        <x:f>ANN!H297</x:f>
        <x:v>977861.41</x:v>
      </x:c>
      <x:c r="D365" s="52" t="n">
        <x:f>SIMPLE!H297</x:f>
        <x:v>3646037.89</x:v>
      </x:c>
      <x:c r="E365" s="52" t="n">
        <x:f>RGM!H297</x:f>
        <x:v>469400.41</x:v>
      </x:c>
      <x:c r="F365" s="51"/>
      <x:c r="G365" s="51"/>
      <x:c r="H365" s="51"/>
      <x:c r="I365" s="51"/>
      <x:c r="J365" s="51" t="n">
        <x:f>ANN!A298</x:f>
        <x:v>292</x:v>
      </x:c>
      <x:c r="K365" s="52" t="n">
        <x:f>ANN!G298</x:f>
        <x:v>26003.2</x:v>
      </x:c>
      <x:c r="L365" s="52" t="n">
        <x:f>SIMPLE!G298</x:f>
        <x:v>22475.58</x:v>
      </x:c>
      <x:c r="M365" s="52" t="n">
        <x:f>RGM!G298</x:f>
        <x:v>13809.84</x:v>
      </x:c>
    </x:row>
    <x:row r="366">
      <x:c r="B366" s="51" t="n">
        <x:f>ANN!A298</x:f>
        <x:v>292</x:v>
      </x:c>
      <x:c r="C366" s="52" t="n">
        <x:f>ANN!H298</x:f>
        <x:v>957886.12</x:v>
      </x:c>
      <x:c r="D366" s="52" t="n">
        <x:f>SIMPLE!H298</x:f>
        <x:v>3646037.89</x:v>
      </x:c>
      <x:c r="E366" s="52" t="n">
        <x:f>RGM!H298</x:f>
        <x:v>458484.13</x:v>
      </x:c>
      <x:c r="F366" s="51"/>
      <x:c r="G366" s="51"/>
      <x:c r="H366" s="51"/>
      <x:c r="I366" s="51"/>
      <x:c r="J366" s="51" t="n">
        <x:f>ANN!A299</x:f>
        <x:v>293</x:v>
      </x:c>
      <x:c r="K366" s="52" t="n">
        <x:f>ANN!G299</x:f>
        <x:v>26003.2</x:v>
      </x:c>
      <x:c r="L366" s="52" t="n">
        <x:f>SIMPLE!G299</x:f>
        <x:v>23224.76</x:v>
      </x:c>
      <x:c r="M366" s="52" t="n">
        <x:f>RGM!G299</x:f>
        <x:v>13836.76</x:v>
      </x:c>
    </x:row>
    <x:row r="367">
      <x:c r="B367" s="51" t="n">
        <x:f>ANN!A299</x:f>
        <x:v>293</x:v>
      </x:c>
      <x:c r="C367" s="52" t="n">
        <x:f>ANN!H299</x:f>
        <x:v>937984.52</x:v>
      </x:c>
      <x:c r="D367" s="52" t="n">
        <x:f>SIMPLE!H299</x:f>
        <x:v>3646037.89</x:v>
      </x:c>
      <x:c r="E367" s="52" t="n">
        <x:f>RGM!H299</x:f>
        <x:v>447567.85</x:v>
      </x:c>
      <x:c r="F367" s="51"/>
      <x:c r="G367" s="51"/>
      <x:c r="H367" s="51"/>
      <x:c r="I367" s="51"/>
      <x:c r="J367" s="51" t="n">
        <x:f>ANN!A300</x:f>
        <x:v>294</x:v>
      </x:c>
      <x:c r="K367" s="52" t="n">
        <x:f>ANN!G300</x:f>
        <x:v>26003.2</x:v>
      </x:c>
      <x:c r="L367" s="52" t="n">
        <x:f>SIMPLE!G300</x:f>
        <x:v>23224.76</x:v>
      </x:c>
      <x:c r="M367" s="52" t="n">
        <x:f>RGM!G300</x:f>
        <x:v>13767.23</x:v>
      </x:c>
    </x:row>
    <x:row r="368">
      <x:c r="B368" s="51" t="n">
        <x:f>ANN!A300</x:f>
        <x:v>294</x:v>
      </x:c>
      <x:c r="C368" s="52" t="n">
        <x:f>ANN!H300</x:f>
        <x:v>917956.15</x:v>
      </x:c>
      <x:c r="D368" s="52" t="n">
        <x:f>SIMPLE!H300</x:f>
        <x:v>3646037.89</x:v>
      </x:c>
      <x:c r="E368" s="52" t="n">
        <x:f>RGM!H300</x:f>
        <x:v>436651.57</x:v>
      </x:c>
      <x:c r="F368" s="51"/>
      <x:c r="G368" s="51"/>
      <x:c r="H368" s="51"/>
      <x:c r="I368" s="51"/>
      <x:c r="J368" s="51" t="n">
        <x:f>ANN!A301</x:f>
        <x:v>295</x:v>
      </x:c>
      <x:c r="K368" s="52" t="n">
        <x:f>ANN!G301</x:f>
        <x:v>26003.2</x:v>
      </x:c>
      <x:c r="L368" s="52" t="n">
        <x:f>SIMPLE!G301</x:f>
        <x:v>20977.2</x:v>
      </x:c>
      <x:c r="M368" s="52" t="n">
        <x:f>RGM!G301</x:f>
        <x:v>13428.52</x:v>
      </x:c>
    </x:row>
    <x:row r="369">
      <x:c r="B369" s="51" t="n">
        <x:f>ANN!A301</x:f>
        <x:v>295</x:v>
      </x:c>
      <x:c r="C369" s="52" t="n">
        <x:f>ANN!H301</x:f>
        <x:v>897234.34</x:v>
      </x:c>
      <x:c r="D369" s="52" t="n">
        <x:f>SIMPLE!H301</x:f>
        <x:v>3646037.89</x:v>
      </x:c>
      <x:c r="E369" s="52" t="n">
        <x:f>RGM!H301</x:f>
        <x:v>425735.29</x:v>
      </x:c>
      <x:c r="F369" s="51"/>
      <x:c r="G369" s="51"/>
      <x:c r="H369" s="51"/>
      <x:c r="I369" s="51"/>
      <x:c r="J369" s="51" t="n">
        <x:f>ANN!A302</x:f>
        <x:v>296</x:v>
      </x:c>
      <x:c r="K369" s="52" t="n">
        <x:f>ANN!G302</x:f>
        <x:v>26003.2</x:v>
      </x:c>
      <x:c r="L369" s="52" t="n">
        <x:f>SIMPLE!G302</x:f>
        <x:v>23224.76</x:v>
      </x:c>
      <x:c r="M369" s="52" t="n">
        <x:f>RGM!G302</x:f>
        <x:v>13628.16</x:v>
      </x:c>
    </x:row>
    <x:row r="370">
      <x:c r="B370" s="51" t="n">
        <x:f>ANN!A302</x:f>
        <x:v>296</x:v>
      </x:c>
      <x:c r="C370" s="52" t="n">
        <x:f>ANN!H302</x:f>
        <x:v>876946.4</x:v>
      </x:c>
      <x:c r="D370" s="52" t="n">
        <x:f>SIMPLE!H302</x:f>
        <x:v>3646037.89</x:v>
      </x:c>
      <x:c r="E370" s="52" t="n">
        <x:f>RGM!H302</x:f>
        <x:v>414819.01</x:v>
      </x:c>
      <x:c r="F370" s="51"/>
      <x:c r="G370" s="51"/>
      <x:c r="H370" s="51"/>
      <x:c r="I370" s="51"/>
      <x:c r="J370" s="51" t="n">
        <x:f>ANN!A303</x:f>
        <x:v>297</x:v>
      </x:c>
      <x:c r="K370" s="52" t="n">
        <x:f>ANN!G303</x:f>
        <x:v>26003.2</x:v>
      </x:c>
      <x:c r="L370" s="52" t="n">
        <x:f>SIMPLE!G303</x:f>
        <x:v>22475.58</x:v>
      </x:c>
      <x:c r="M370" s="52" t="n">
        <x:f>RGM!G303</x:f>
        <x:v>13473.38</x:v>
      </x:c>
    </x:row>
    <x:row r="371">
      <x:c r="B371" s="51" t="n">
        <x:f>ANN!A303</x:f>
        <x:v>297</x:v>
      </x:c>
      <x:c r="C371" s="52" t="n">
        <x:f>ANN!H303</x:f>
        <x:v>856349.03</x:v>
      </x:c>
      <x:c r="D371" s="52" t="n">
        <x:f>SIMPLE!H303</x:f>
        <x:v>3646037.89</x:v>
      </x:c>
      <x:c r="E371" s="52" t="n">
        <x:f>RGM!H303</x:f>
        <x:v>403902.73</x:v>
      </x:c>
      <x:c r="F371" s="51"/>
      <x:c r="G371" s="51"/>
      <x:c r="H371" s="51"/>
      <x:c r="I371" s="51"/>
      <x:c r="J371" s="51" t="n">
        <x:f>ANN!A304</x:f>
        <x:v>298</x:v>
      </x:c>
      <x:c r="K371" s="52" t="n">
        <x:f>ANN!G304</x:f>
        <x:v>26003.2</x:v>
      </x:c>
      <x:c r="L371" s="52" t="n">
        <x:f>SIMPLE!G304</x:f>
        <x:v>23224.76</x:v>
      </x:c>
      <x:c r="M371" s="52" t="n">
        <x:f>RGM!G304</x:f>
        <x:v>13489.09</x:v>
      </x:c>
    </x:row>
    <x:row r="372">
      <x:c r="B372" s="51" t="n">
        <x:f>ANN!A304</x:f>
        <x:v>298</x:v>
      </x:c>
      <x:c r="C372" s="52" t="n">
        <x:f>ANN!H304</x:f>
        <x:v>835800.66</x:v>
      </x:c>
      <x:c r="D372" s="52" t="n">
        <x:f>SIMPLE!H304</x:f>
        <x:v>3646037.89</x:v>
      </x:c>
      <x:c r="E372" s="52" t="n">
        <x:f>RGM!H304</x:f>
        <x:v>392986.45</x:v>
      </x:c>
      <x:c r="F372" s="51"/>
      <x:c r="G372" s="51"/>
      <x:c r="H372" s="51"/>
      <x:c r="I372" s="51"/>
      <x:c r="J372" s="51" t="n">
        <x:f>ANN!A305</x:f>
        <x:v>299</x:v>
      </x:c>
      <x:c r="K372" s="52" t="n">
        <x:f>ANN!G305</x:f>
        <x:v>26003.2</x:v>
      </x:c>
      <x:c r="L372" s="52" t="n">
        <x:f>SIMPLE!G305</x:f>
        <x:v>22475.58</x:v>
      </x:c>
      <x:c r="M372" s="52" t="n">
        <x:f>RGM!G305</x:f>
        <x:v>13338.8</x:v>
      </x:c>
    </x:row>
    <x:row r="373">
      <x:c r="B373" s="51" t="n">
        <x:f>ANN!A305</x:f>
        <x:v>299</x:v>
      </x:c>
      <x:c r="C373" s="52" t="n">
        <x:f>ANN!H305</x:f>
        <x:v>814949.66</x:v>
      </x:c>
      <x:c r="D373" s="52" t="n">
        <x:f>SIMPLE!H305</x:f>
        <x:v>3646037.89</x:v>
      </x:c>
      <x:c r="E373" s="52" t="n">
        <x:f>RGM!H305</x:f>
        <x:v>382070.17</x:v>
      </x:c>
      <x:c r="F373" s="51"/>
      <x:c r="G373" s="51"/>
      <x:c r="H373" s="51"/>
      <x:c r="I373" s="51"/>
      <x:c r="J373" s="51" t="n">
        <x:f>ANN!A306</x:f>
        <x:v>300</x:v>
      </x:c>
      <x:c r="K373" s="52" t="n">
        <x:f>ANN!G306</x:f>
        <x:v>26003.2</x:v>
      </x:c>
      <x:c r="L373" s="52" t="n">
        <x:f>SIMPLE!G306</x:f>
        <x:v>23224.76</x:v>
      </x:c>
      <x:c r="M373" s="52" t="n">
        <x:f>RGM!G306</x:f>
        <x:v>13350.01</x:v>
      </x:c>
    </x:row>
    <x:row r="374">
      <x:c r="B374" s="51" t="n">
        <x:f>ANN!A306</x:f>
        <x:v>300</x:v>
      </x:c>
      <x:c r="C374" s="52" t="n">
        <x:f>ANN!H306</x:f>
        <x:v>794137.58</x:v>
      </x:c>
      <x:c r="D374" s="52" t="n">
        <x:f>SIMPLE!H306</x:f>
        <x:v>3646037.89</x:v>
      </x:c>
      <x:c r="E374" s="52" t="n">
        <x:f>RGM!H306</x:f>
        <x:v>371153.89</x:v>
      </x:c>
      <x:c r="F374" s="51"/>
      <x:c r="G374" s="51"/>
      <x:c r="H374" s="51"/>
      <x:c r="I374" s="51"/>
      <x:c r="J374" s="51" t="n">
        <x:f>ANN!A307</x:f>
        <x:v>301</x:v>
      </x:c>
      <x:c r="K374" s="52" t="n">
        <x:f>ANN!G307</x:f>
        <x:v>26003.2</x:v>
      </x:c>
      <x:c r="L374" s="52" t="n">
        <x:f>SIMPLE!G307</x:f>
        <x:v>23224.76</x:v>
      </x:c>
      <x:c r="M374" s="52" t="n">
        <x:f>RGM!G307</x:f>
        <x:v>13280.48</x:v>
      </x:c>
    </x:row>
    <x:row r="375">
      <x:c r="B375" s="51" t="n">
        <x:f>ANN!A307</x:f>
        <x:v>301</x:v>
      </x:c>
      <x:c r="C375" s="52" t="n">
        <x:f>ANN!H307</x:f>
        <x:v>773192.93</x:v>
      </x:c>
      <x:c r="D375" s="52" t="n">
        <x:f>SIMPLE!H307</x:f>
        <x:v>3646037.89</x:v>
      </x:c>
      <x:c r="E375" s="52" t="n">
        <x:f>RGM!H307</x:f>
        <x:v>360237.61</x:v>
      </x:c>
      <x:c r="F375" s="51"/>
      <x:c r="G375" s="51"/>
      <x:c r="H375" s="51"/>
      <x:c r="I375" s="51"/>
      <x:c r="J375" s="51" t="n">
        <x:f>ANN!A308</x:f>
        <x:v>302</x:v>
      </x:c>
      <x:c r="K375" s="52" t="n">
        <x:f>ANN!G308</x:f>
        <x:v>26003.2</x:v>
      </x:c>
      <x:c r="L375" s="52" t="n">
        <x:f>SIMPLE!G308</x:f>
        <x:v>22475.58</x:v>
      </x:c>
      <x:c r="M375" s="52" t="n">
        <x:f>RGM!G308</x:f>
        <x:v>13136.92</x:v>
      </x:c>
    </x:row>
    <x:row r="376">
      <x:c r="B376" s="51" t="n">
        <x:f>ANN!A308</x:f>
        <x:v>302</x:v>
      </x:c>
      <x:c r="C376" s="52" t="n">
        <x:f>ANN!H308</x:f>
        <x:v>751955.99</x:v>
      </x:c>
      <x:c r="D376" s="52" t="n">
        <x:f>SIMPLE!H308</x:f>
        <x:v>3646037.89</x:v>
      </x:c>
      <x:c r="E376" s="52" t="n">
        <x:f>RGM!H308</x:f>
        <x:v>349321.33</x:v>
      </x:c>
      <x:c r="F376" s="51"/>
      <x:c r="G376" s="51"/>
      <x:c r="H376" s="51"/>
      <x:c r="I376" s="51"/>
      <x:c r="J376" s="51" t="n">
        <x:f>ANN!A309</x:f>
        <x:v>303</x:v>
      </x:c>
      <x:c r="K376" s="52" t="n">
        <x:f>ANN!G309</x:f>
        <x:v>26003.2</x:v>
      </x:c>
      <x:c r="L376" s="52" t="n">
        <x:f>SIMPLE!G309</x:f>
        <x:v>23224.76</x:v>
      </x:c>
      <x:c r="M376" s="52" t="n">
        <x:f>RGM!G309</x:f>
        <x:v>13141.41</x:v>
      </x:c>
    </x:row>
    <x:row r="377">
      <x:c r="B377" s="51" t="n">
        <x:f>ANN!A309</x:f>
        <x:v>303</x:v>
      </x:c>
      <x:c r="C377" s="52" t="n">
        <x:f>ANN!H309</x:f>
        <x:v>730742.65</x:v>
      </x:c>
      <x:c r="D377" s="52" t="n">
        <x:f>SIMPLE!H309</x:f>
        <x:v>3646037.89</x:v>
      </x:c>
      <x:c r="E377" s="52" t="n">
        <x:f>RGM!H309</x:f>
        <x:v>338405.05</x:v>
      </x:c>
      <x:c r="F377" s="51"/>
      <x:c r="G377" s="51"/>
      <x:c r="H377" s="51"/>
      <x:c r="I377" s="51"/>
      <x:c r="J377" s="51" t="n">
        <x:f>ANN!A310</x:f>
        <x:v>304</x:v>
      </x:c>
      <x:c r="K377" s="52" t="n">
        <x:f>ANN!G310</x:f>
        <x:v>26003.2</x:v>
      </x:c>
      <x:c r="L377" s="52" t="n">
        <x:f>SIMPLE!G310</x:f>
        <x:v>22475.58</x:v>
      </x:c>
      <x:c r="M377" s="52" t="n">
        <x:f>RGM!G310</x:f>
        <x:v>13002.34</x:v>
      </x:c>
    </x:row>
    <x:row r="378">
      <x:c r="B378" s="51" t="n">
        <x:f>ANN!A310</x:f>
        <x:v>304</x:v>
      </x:c>
      <x:c r="C378" s="52" t="n">
        <x:f>ANN!H310</x:f>
        <x:v>709244.03</x:v>
      </x:c>
      <x:c r="D378" s="52" t="n">
        <x:f>SIMPLE!H310</x:f>
        <x:v>3646037.89</x:v>
      </x:c>
      <x:c r="E378" s="52" t="n">
        <x:f>RGM!H310</x:f>
        <x:v>327488.77</x:v>
      </x:c>
      <x:c r="F378" s="51"/>
      <x:c r="G378" s="51"/>
      <x:c r="H378" s="51"/>
      <x:c r="I378" s="51"/>
      <x:c r="J378" s="51" t="n">
        <x:f>ANN!A311</x:f>
        <x:v>305</x:v>
      </x:c>
      <x:c r="K378" s="52" t="n">
        <x:f>ANN!G311</x:f>
        <x:v>26003.2</x:v>
      </x:c>
      <x:c r="L378" s="52" t="n">
        <x:f>SIMPLE!G311</x:f>
        <x:v>23224.76</x:v>
      </x:c>
      <x:c r="M378" s="52" t="n">
        <x:f>RGM!G311</x:f>
        <x:v>13002.34</x:v>
      </x:c>
    </x:row>
    <x:row r="379">
      <x:c r="B379" s="51" t="n">
        <x:f>ANN!A311</x:f>
        <x:v>305</x:v>
      </x:c>
      <x:c r="C379" s="52" t="n">
        <x:f>ANN!H311</x:f>
        <x:v>687758.62</x:v>
      </x:c>
      <x:c r="D379" s="52" t="n">
        <x:f>SIMPLE!H311</x:f>
        <x:v>3646037.89</x:v>
      </x:c>
      <x:c r="E379" s="52" t="n">
        <x:f>RGM!H311</x:f>
        <x:v>316572.49</x:v>
      </x:c>
      <x:c r="F379" s="51"/>
      <x:c r="G379" s="51"/>
      <x:c r="H379" s="51"/>
      <x:c r="I379" s="51"/>
      <x:c r="J379" s="51" t="n">
        <x:f>ANN!A312</x:f>
        <x:v>306</x:v>
      </x:c>
      <x:c r="K379" s="52" t="n">
        <x:f>ANN!G312</x:f>
        <x:v>26003.2</x:v>
      </x:c>
      <x:c r="L379" s="52" t="n">
        <x:f>SIMPLE!G312</x:f>
        <x:v>23224.76</x:v>
      </x:c>
      <x:c r="M379" s="52" t="n">
        <x:f>RGM!G312</x:f>
        <x:v>12932.8</x:v>
      </x:c>
    </x:row>
    <x:row r="380">
      <x:c r="B380" s="51" t="n">
        <x:f>ANN!A312</x:f>
        <x:v>306</x:v>
      </x:c>
      <x:c r="C380" s="52" t="n">
        <x:f>ANN!H312</x:f>
        <x:v>666136.35</x:v>
      </x:c>
      <x:c r="D380" s="52" t="n">
        <x:f>SIMPLE!H312</x:f>
        <x:v>3646037.89</x:v>
      </x:c>
      <x:c r="E380" s="52" t="n">
        <x:f>RGM!H312</x:f>
        <x:v>305656.21</x:v>
      </x:c>
      <x:c r="F380" s="51"/>
      <x:c r="G380" s="51"/>
      <x:c r="H380" s="51"/>
      <x:c r="I380" s="51"/>
      <x:c r="J380" s="51" t="n">
        <x:f>ANN!A313</x:f>
        <x:v>307</x:v>
      </x:c>
      <x:c r="K380" s="52" t="n">
        <x:f>ANN!G313</x:f>
        <x:v>26003.2</x:v>
      </x:c>
      <x:c r="L380" s="52" t="n">
        <x:f>SIMPLE!G313</x:f>
        <x:v>21726.39</x:v>
      </x:c>
      <x:c r="M380" s="52" t="n">
        <x:f>RGM!G313</x:f>
        <x:v>12737.66</x:v>
      </x:c>
    </x:row>
    <x:row r="381">
      <x:c r="B381" s="51" t="n">
        <x:f>ANN!A313</x:f>
        <x:v>307</x:v>
      </x:c>
      <x:c r="C381" s="52" t="n">
        <x:f>ANN!H313</x:f>
        <x:v>644102.59</x:v>
      </x:c>
      <x:c r="D381" s="52" t="n">
        <x:f>SIMPLE!H313</x:f>
        <x:v>3646037.89</x:v>
      </x:c>
      <x:c r="E381" s="52" t="n">
        <x:f>RGM!H313</x:f>
        <x:v>294739.93</x:v>
      </x:c>
      <x:c r="F381" s="51"/>
      <x:c r="G381" s="51"/>
      <x:c r="H381" s="51"/>
      <x:c r="I381" s="51"/>
      <x:c r="J381" s="51" t="n">
        <x:f>ANN!A314</x:f>
        <x:v>308</x:v>
      </x:c>
      <x:c r="K381" s="52" t="n">
        <x:f>ANN!G314</x:f>
        <x:v>26003.2</x:v>
      </x:c>
      <x:c r="L381" s="52" t="n">
        <x:f>SIMPLE!G314</x:f>
        <x:v>23224.76</x:v>
      </x:c>
      <x:c r="M381" s="52" t="n">
        <x:f>RGM!G314</x:f>
        <x:v>12793.73</x:v>
      </x:c>
    </x:row>
    <x:row r="382">
      <x:c r="B382" s="51" t="n">
        <x:f>ANN!A314</x:f>
        <x:v>308</x:v>
      </x:c>
      <x:c r="C382" s="52" t="n">
        <x:f>ANN!H314</x:f>
        <x:v>622202.24</x:v>
      </x:c>
      <x:c r="D382" s="52" t="n">
        <x:f>SIMPLE!H314</x:f>
        <x:v>3646037.89</x:v>
      </x:c>
      <x:c r="E382" s="52" t="n">
        <x:f>RGM!H314</x:f>
        <x:v>283823.65</x:v>
      </x:c>
      <x:c r="F382" s="51"/>
      <x:c r="G382" s="51"/>
      <x:c r="H382" s="51"/>
      <x:c r="I382" s="51"/>
      <x:c r="J382" s="51" t="n">
        <x:f>ANN!A315</x:f>
        <x:v>309</x:v>
      </x:c>
      <x:c r="K382" s="52" t="n">
        <x:f>ANN!G315</x:f>
        <x:v>26003.2</x:v>
      </x:c>
      <x:c r="L382" s="52" t="n">
        <x:f>SIMPLE!G315</x:f>
        <x:v>22475.58</x:v>
      </x:c>
      <x:c r="M382" s="52" t="n">
        <x:f>RGM!G315</x:f>
        <x:v>12665.88</x:v>
      </x:c>
    </x:row>
    <x:row r="383">
      <x:c r="B383" s="51" t="n">
        <x:f>ANN!A315</x:f>
        <x:v>309</x:v>
      </x:c>
      <x:c r="C383" s="52" t="n">
        <x:f>ANN!H315</x:f>
        <x:v>600034.53</x:v>
      </x:c>
      <x:c r="D383" s="52" t="n">
        <x:f>SIMPLE!H315</x:f>
        <x:v>3646037.89</x:v>
      </x:c>
      <x:c r="E383" s="52" t="n">
        <x:f>RGM!H315</x:f>
        <x:v>272907.37</x:v>
      </x:c>
      <x:c r="F383" s="51"/>
      <x:c r="G383" s="51"/>
      <x:c r="H383" s="51"/>
      <x:c r="I383" s="51"/>
      <x:c r="J383" s="51" t="n">
        <x:f>ANN!A316</x:f>
        <x:v>310</x:v>
      </x:c>
      <x:c r="K383" s="52" t="n">
        <x:f>ANN!G316</x:f>
        <x:v>26003.2</x:v>
      </x:c>
      <x:c r="L383" s="52" t="n">
        <x:f>SIMPLE!G316</x:f>
        <x:v>23224.76</x:v>
      </x:c>
      <x:c r="M383" s="52" t="n">
        <x:f>RGM!G316</x:f>
        <x:v>12654.66</x:v>
      </x:c>
    </x:row>
    <x:row r="384">
      <x:c r="B384" s="51" t="n">
        <x:f>ANN!A316</x:f>
        <x:v>310</x:v>
      </x:c>
      <x:c r="C384" s="52" t="n">
        <x:f>ANN!H316</x:f>
        <x:v>577853.47</x:v>
      </x:c>
      <x:c r="D384" s="52" t="n">
        <x:f>SIMPLE!H316</x:f>
        <x:v>3646037.89</x:v>
      </x:c>
      <x:c r="E384" s="52" t="n">
        <x:f>RGM!H316</x:f>
        <x:v>261991.09</x:v>
      </x:c>
      <x:c r="F384" s="51"/>
      <x:c r="G384" s="51"/>
      <x:c r="H384" s="51"/>
      <x:c r="I384" s="51"/>
      <x:c r="J384" s="51" t="n">
        <x:f>ANN!A317</x:f>
        <x:v>311</x:v>
      </x:c>
      <x:c r="K384" s="52" t="n">
        <x:f>ANN!G317</x:f>
        <x:v>26003.2</x:v>
      </x:c>
      <x:c r="L384" s="52" t="n">
        <x:f>SIMPLE!G317</x:f>
        <x:v>22475.58</x:v>
      </x:c>
      <x:c r="M384" s="52" t="n">
        <x:f>RGM!G317</x:f>
        <x:v>12531.29</x:v>
      </x:c>
    </x:row>
    <x:row r="385">
      <x:c r="B385" s="51" t="n">
        <x:f>ANN!A317</x:f>
        <x:v>311</x:v>
      </x:c>
      <x:c r="C385" s="52" t="n">
        <x:f>ANN!H317</x:f>
        <x:v>555412.38</x:v>
      </x:c>
      <x:c r="D385" s="52" t="n">
        <x:f>SIMPLE!H317</x:f>
        <x:v>3646037.89</x:v>
      </x:c>
      <x:c r="E385" s="52" t="n">
        <x:f>RGM!H317</x:f>
        <x:v>251074.81</x:v>
      </x:c>
      <x:c r="F385" s="51"/>
      <x:c r="G385" s="51"/>
      <x:c r="H385" s="51"/>
      <x:c r="I385" s="51"/>
      <x:c r="J385" s="51" t="n">
        <x:f>ANN!A318</x:f>
        <x:v>312</x:v>
      </x:c>
      <x:c r="K385" s="52" t="n">
        <x:f>ANN!G318</x:f>
        <x:v>26003.2</x:v>
      </x:c>
      <x:c r="L385" s="52" t="n">
        <x:f>SIMPLE!G318</x:f>
        <x:v>23224.76</x:v>
      </x:c>
      <x:c r="M385" s="52" t="n">
        <x:f>RGM!G318</x:f>
        <x:v>12515.59</x:v>
      </x:c>
    </x:row>
    <x:row r="386">
      <x:c r="B386" s="51" t="n">
        <x:f>ANN!A318</x:f>
        <x:v>312</x:v>
      </x:c>
      <x:c r="C386" s="52" t="n">
        <x:f>ANN!H318</x:f>
        <x:v>532947.08</x:v>
      </x:c>
      <x:c r="D386" s="52" t="n">
        <x:f>SIMPLE!H318</x:f>
        <x:v>3646037.89</x:v>
      </x:c>
      <x:c r="E386" s="52" t="n">
        <x:f>RGM!H318</x:f>
        <x:v>240158.53</x:v>
      </x:c>
      <x:c r="F386" s="51"/>
      <x:c r="G386" s="51"/>
      <x:c r="H386" s="51"/>
      <x:c r="I386" s="51"/>
      <x:c r="J386" s="51" t="n">
        <x:f>ANN!A319</x:f>
        <x:v>313</x:v>
      </x:c>
      <x:c r="K386" s="52" t="n">
        <x:f>ANN!G319</x:f>
        <x:v>26003.2</x:v>
      </x:c>
      <x:c r="L386" s="52" t="n">
        <x:f>SIMPLE!G319</x:f>
        <x:v>23224.76</x:v>
      </x:c>
      <x:c r="M386" s="52" t="n">
        <x:f>RGM!G319</x:f>
        <x:v>12446.06</x:v>
      </x:c>
    </x:row>
    <x:row r="387">
      <x:c r="B387" s="51" t="n">
        <x:f>ANN!A319</x:f>
        <x:v>313</x:v>
      </x:c>
      <x:c r="C387" s="52" t="n">
        <x:f>ANN!H319</x:f>
        <x:v>510338.68</x:v>
      </x:c>
      <x:c r="D387" s="52" t="n">
        <x:f>SIMPLE!H319</x:f>
        <x:v>3646037.89</x:v>
      </x:c>
      <x:c r="E387" s="52" t="n">
        <x:f>RGM!H319</x:f>
        <x:v>229242.25</x:v>
      </x:c>
      <x:c r="F387" s="51"/>
      <x:c r="G387" s="51"/>
      <x:c r="H387" s="51"/>
      <x:c r="I387" s="51"/>
      <x:c r="J387" s="51" t="n">
        <x:f>ANN!A320</x:f>
        <x:v>314</x:v>
      </x:c>
      <x:c r="K387" s="52" t="n">
        <x:f>ANN!G320</x:f>
        <x:v>26003.2</x:v>
      </x:c>
      <x:c r="L387" s="52" t="n">
        <x:f>SIMPLE!G320</x:f>
        <x:v>22475.58</x:v>
      </x:c>
      <x:c r="M387" s="52" t="n">
        <x:f>RGM!G320</x:f>
        <x:v>12329.42</x:v>
      </x:c>
    </x:row>
    <x:row r="388">
      <x:c r="B388" s="51" t="n">
        <x:f>ANN!A320</x:f>
        <x:v>314</x:v>
      </x:c>
      <x:c r="C388" s="52" t="n">
        <x:f>ANN!H320</x:f>
        <x:v>487481.4</x:v>
      </x:c>
      <x:c r="D388" s="52" t="n">
        <x:f>SIMPLE!H320</x:f>
        <x:v>3646037.89</x:v>
      </x:c>
      <x:c r="E388" s="52" t="n">
        <x:f>RGM!H320</x:f>
        <x:v>218325.97</x:v>
      </x:c>
      <x:c r="F388" s="51"/>
      <x:c r="G388" s="51"/>
      <x:c r="H388" s="51"/>
      <x:c r="I388" s="51"/>
      <x:c r="J388" s="51" t="n">
        <x:f>ANN!A321</x:f>
        <x:v>315</x:v>
      </x:c>
      <x:c r="K388" s="52" t="n">
        <x:f>ANN!G321</x:f>
        <x:v>26003.2</x:v>
      </x:c>
      <x:c r="L388" s="52" t="n">
        <x:f>SIMPLE!G321</x:f>
        <x:v>23224.76</x:v>
      </x:c>
      <x:c r="M388" s="52" t="n">
        <x:f>RGM!G321</x:f>
        <x:v>12306.99</x:v>
      </x:c>
    </x:row>
    <x:row r="389">
      <x:c r="B389" s="51" t="n">
        <x:f>ANN!A321</x:f>
        <x:v>315</x:v>
      </x:c>
      <x:c r="C389" s="52" t="n">
        <x:f>ANN!H321</x:f>
        <x:v>464583.39</x:v>
      </x:c>
      <x:c r="D389" s="52" t="n">
        <x:f>SIMPLE!H321</x:f>
        <x:v>3646037.89</x:v>
      </x:c>
      <x:c r="E389" s="52" t="n">
        <x:f>RGM!H321</x:f>
        <x:v>207409.69</x:v>
      </x:c>
      <x:c r="F389" s="51"/>
      <x:c r="G389" s="51"/>
      <x:c r="H389" s="51"/>
      <x:c r="I389" s="51"/>
      <x:c r="J389" s="51" t="n">
        <x:f>ANN!A322</x:f>
        <x:v>316</x:v>
      </x:c>
      <x:c r="K389" s="52" t="n">
        <x:f>ANN!G322</x:f>
        <x:v>26003.2</x:v>
      </x:c>
      <x:c r="L389" s="52" t="n">
        <x:f>SIMPLE!G322</x:f>
        <x:v>22475.58</x:v>
      </x:c>
      <x:c r="M389" s="52" t="n">
        <x:f>RGM!G322</x:f>
        <x:v>12194.83</x:v>
      </x:c>
    </x:row>
    <x:row r="390">
      <x:c r="B390" s="51" t="n">
        <x:f>ANN!A322</x:f>
        <x:v>316</x:v>
      </x:c>
      <x:c r="C390" s="52" t="n">
        <x:f>ANN!H322</x:f>
        <x:v>441444.06</x:v>
      </x:c>
      <x:c r="D390" s="52" t="n">
        <x:f>SIMPLE!H322</x:f>
        <x:v>3646037.89</x:v>
      </x:c>
      <x:c r="E390" s="52" t="n">
        <x:f>RGM!H322</x:f>
        <x:v>196493.41</x:v>
      </x:c>
      <x:c r="F390" s="51"/>
      <x:c r="G390" s="51"/>
      <x:c r="H390" s="51"/>
      <x:c r="I390" s="51"/>
      <x:c r="J390" s="51" t="n">
        <x:f>ANN!A323</x:f>
        <x:v>317</x:v>
      </x:c>
      <x:c r="K390" s="52" t="n">
        <x:f>ANN!G323</x:f>
        <x:v>26003.2</x:v>
      </x:c>
      <x:c r="L390" s="52" t="n">
        <x:f>SIMPLE!G323</x:f>
        <x:v>23224.76</x:v>
      </x:c>
      <x:c r="M390" s="52" t="n">
        <x:f>RGM!G323</x:f>
        <x:v>12167.92</x:v>
      </x:c>
    </x:row>
    <x:row r="391">
      <x:c r="B391" s="51" t="n">
        <x:f>ANN!A323</x:f>
        <x:v>317</x:v>
      </x:c>
      <x:c r="C391" s="52" t="n">
        <x:f>ANN!H323</x:f>
        <x:v>418252.8</x:v>
      </x:c>
      <x:c r="D391" s="52" t="n">
        <x:f>SIMPLE!H323</x:f>
        <x:v>3646037.89</x:v>
      </x:c>
      <x:c r="E391" s="52" t="n">
        <x:f>RGM!H323</x:f>
        <x:v>185577.13</x:v>
      </x:c>
      <x:c r="F391" s="51"/>
      <x:c r="G391" s="51"/>
      <x:c r="H391" s="51"/>
      <x:c r="I391" s="51"/>
      <x:c r="J391" s="51" t="n">
        <x:f>ANN!A324</x:f>
        <x:v>318</x:v>
      </x:c>
      <x:c r="K391" s="52" t="n">
        <x:f>ANN!G324</x:f>
        <x:v>26003.2</x:v>
      </x:c>
      <x:c r="L391" s="52" t="n">
        <x:f>SIMPLE!G324</x:f>
        <x:v>23224.76</x:v>
      </x:c>
      <x:c r="M391" s="52" t="n">
        <x:f>RGM!G324</x:f>
        <x:v>12098.38</x:v>
      </x:c>
    </x:row>
    <x:row r="392">
      <x:c r="B392" s="51" t="n">
        <x:f>ANN!A324</x:f>
        <x:v>318</x:v>
      </x:c>
      <x:c r="C392" s="52" t="n">
        <x:f>ANN!H324</x:f>
        <x:v>394913.81</x:v>
      </x:c>
      <x:c r="D392" s="52" t="n">
        <x:f>SIMPLE!H324</x:f>
        <x:v>3646037.89</x:v>
      </x:c>
      <x:c r="E392" s="52" t="n">
        <x:f>RGM!H324</x:f>
        <x:v>174660.85</x:v>
      </x:c>
      <x:c r="F392" s="51"/>
      <x:c r="G392" s="51"/>
      <x:c r="H392" s="51"/>
      <x:c r="I392" s="51"/>
      <x:c r="J392" s="51" t="n">
        <x:f>ANN!A325</x:f>
        <x:v>319</x:v>
      </x:c>
      <x:c r="K392" s="52" t="n">
        <x:f>ANN!G325</x:f>
        <x:v>26003.2</x:v>
      </x:c>
      <x:c r="L392" s="52" t="n">
        <x:f>SIMPLE!G325</x:f>
        <x:v>20977.2</x:v>
      </x:c>
      <x:c r="M392" s="52" t="n">
        <x:f>RGM!G325</x:f>
        <x:v>11921.18</x:v>
      </x:c>
    </x:row>
    <x:row r="393">
      <x:c r="B393" s="51" t="n">
        <x:f>ANN!A325</x:f>
        <x:v>319</x:v>
      </x:c>
      <x:c r="C393" s="52" t="n">
        <x:f>ANN!H325</x:f>
        <x:v>371182.72</x:v>
      </x:c>
      <x:c r="D393" s="52" t="n">
        <x:f>SIMPLE!H325</x:f>
        <x:v>3646037.89</x:v>
      </x:c>
      <x:c r="E393" s="52" t="n">
        <x:f>RGM!H325</x:f>
        <x:v>163744.57</x:v>
      </x:c>
      <x:c r="F393" s="51"/>
      <x:c r="G393" s="51"/>
      <x:c r="H393" s="51"/>
      <x:c r="I393" s="51"/>
      <x:c r="J393" s="51" t="n">
        <x:f>ANN!A326</x:f>
        <x:v>320</x:v>
      </x:c>
      <x:c r="K393" s="52" t="n">
        <x:f>ANN!G326</x:f>
        <x:v>26003.2</x:v>
      </x:c>
      <x:c r="L393" s="52" t="n">
        <x:f>SIMPLE!G326</x:f>
        <x:v>23224.76</x:v>
      </x:c>
      <x:c r="M393" s="52" t="n">
        <x:f>RGM!G326</x:f>
        <x:v>11959.31</x:v>
      </x:c>
    </x:row>
    <x:row r="394">
      <x:c r="B394" s="51" t="n">
        <x:f>ANN!A326</x:f>
        <x:v>320</x:v>
      </x:c>
      <x:c r="C394" s="52" t="n">
        <x:f>ANN!H326</x:f>
        <x:v>347543.9</x:v>
      </x:c>
      <x:c r="D394" s="52" t="n">
        <x:f>SIMPLE!H326</x:f>
        <x:v>3646037.89</x:v>
      </x:c>
      <x:c r="E394" s="52" t="n">
        <x:f>RGM!H326</x:f>
        <x:v>152828.29</x:v>
      </x:c>
      <x:c r="F394" s="51"/>
      <x:c r="G394" s="51"/>
      <x:c r="H394" s="51"/>
      <x:c r="I394" s="51"/>
      <x:c r="J394" s="51" t="n">
        <x:f>ANN!A327</x:f>
        <x:v>321</x:v>
      </x:c>
      <x:c r="K394" s="52" t="n">
        <x:f>ANN!G327</x:f>
        <x:v>26003.2</x:v>
      </x:c>
      <x:c r="L394" s="52" t="n">
        <x:f>SIMPLE!G327</x:f>
        <x:v>22475.58</x:v>
      </x:c>
      <x:c r="M394" s="52" t="n">
        <x:f>RGM!G327</x:f>
        <x:v>11858.37</x:v>
      </x:c>
    </x:row>
    <x:row r="395">
      <x:c r="B395" s="51" t="n">
        <x:f>ANN!A327</x:f>
        <x:v>321</x:v>
      </x:c>
      <x:c r="C395" s="52" t="n">
        <x:f>ANN!H327</x:f>
        <x:v>323683.09</x:v>
      </x:c>
      <x:c r="D395" s="52" t="n">
        <x:f>SIMPLE!H327</x:f>
        <x:v>3646037.89</x:v>
      </x:c>
      <x:c r="E395" s="52" t="n">
        <x:f>RGM!H327</x:f>
        <x:v>141912.01</x:v>
      </x:c>
      <x:c r="F395" s="51"/>
      <x:c r="G395" s="51"/>
      <x:c r="H395" s="51"/>
      <x:c r="I395" s="51"/>
      <x:c r="J395" s="51" t="n">
        <x:f>ANN!A328</x:f>
        <x:v>322</x:v>
      </x:c>
      <x:c r="K395" s="52" t="n">
        <x:f>ANN!G328</x:f>
        <x:v>26003.2</x:v>
      </x:c>
      <x:c r="L395" s="52" t="n">
        <x:f>SIMPLE!G328</x:f>
        <x:v>23224.76</x:v>
      </x:c>
      <x:c r="M395" s="52" t="n">
        <x:f>RGM!G328</x:f>
        <x:v>11820.24</x:v>
      </x:c>
    </x:row>
    <x:row r="396">
      <x:c r="B396" s="51" t="n">
        <x:f>ANN!A328</x:f>
        <x:v>322</x:v>
      </x:c>
      <x:c r="C396" s="52" t="n">
        <x:f>ANN!H328</x:f>
        <x:v>299741.71</x:v>
      </x:c>
      <x:c r="D396" s="52" t="n">
        <x:f>SIMPLE!H328</x:f>
        <x:v>3646037.89</x:v>
      </x:c>
      <x:c r="E396" s="52" t="n">
        <x:f>RGM!H328</x:f>
        <x:v>130995.73</x:v>
      </x:c>
      <x:c r="F396" s="51"/>
      <x:c r="G396" s="51"/>
      <x:c r="H396" s="51"/>
      <x:c r="I396" s="51"/>
      <x:c r="J396" s="51" t="n">
        <x:f>ANN!A329</x:f>
        <x:v>323</x:v>
      </x:c>
      <x:c r="K396" s="52" t="n">
        <x:f>ANN!G329</x:f>
        <x:v>26003.2</x:v>
      </x:c>
      <x:c r="L396" s="52" t="n">
        <x:f>SIMPLE!G329</x:f>
        <x:v>22475.58</x:v>
      </x:c>
      <x:c r="M396" s="52" t="n">
        <x:f>RGM!G329</x:f>
        <x:v>11723.79</x:v>
      </x:c>
    </x:row>
    <x:row r="397">
      <x:c r="B397" s="51" t="n">
        <x:f>ANN!A329</x:f>
        <x:v>323</x:v>
      </x:c>
      <x:c r="C397" s="52" t="n">
        <x:f>ANN!H329</x:f>
        <x:v>275586.23</x:v>
      </x:c>
      <x:c r="D397" s="52" t="n">
        <x:f>SIMPLE!H329</x:f>
        <x:v>3646037.89</x:v>
      </x:c>
      <x:c r="E397" s="52" t="n">
        <x:f>RGM!H329</x:f>
        <x:v>120079.45</x:v>
      </x:c>
      <x:c r="F397" s="51"/>
      <x:c r="G397" s="51"/>
      <x:c r="H397" s="51"/>
      <x:c r="I397" s="51"/>
      <x:c r="J397" s="51" t="n">
        <x:f>ANN!A330</x:f>
        <x:v>324</x:v>
      </x:c>
      <x:c r="K397" s="52" t="n">
        <x:f>ANN!G330</x:f>
        <x:v>26003.2</x:v>
      </x:c>
      <x:c r="L397" s="52" t="n">
        <x:f>SIMPLE!G330</x:f>
        <x:v>23224.76</x:v>
      </x:c>
      <x:c r="M397" s="52" t="n">
        <x:f>RGM!G330</x:f>
        <x:v>11681.17</x:v>
      </x:c>
    </x:row>
    <x:row r="398">
      <x:c r="B398" s="51" t="n">
        <x:f>ANN!A330</x:f>
        <x:v>324</x:v>
      </x:c>
      <x:c r="C398" s="52" t="n">
        <x:f>ANN!H330</x:f>
        <x:v>251338.48</x:v>
      </x:c>
      <x:c r="D398" s="52" t="n">
        <x:f>SIMPLE!H330</x:f>
        <x:v>3646037.89</x:v>
      </x:c>
      <x:c r="E398" s="52" t="n">
        <x:f>RGM!H330</x:f>
        <x:v>109163.17</x:v>
      </x:c>
      <x:c r="F398" s="51"/>
      <x:c r="G398" s="51"/>
      <x:c r="H398" s="51"/>
      <x:c r="I398" s="51"/>
      <x:c r="J398" s="51" t="n">
        <x:f>ANN!A331</x:f>
        <x:v>325</x:v>
      </x:c>
      <x:c r="K398" s="52" t="n">
        <x:f>ANN!G331</x:f>
        <x:v>26003.2</x:v>
      </x:c>
      <x:c r="L398" s="52" t="n">
        <x:f>SIMPLE!G331</x:f>
        <x:v>23224.76</x:v>
      </x:c>
      <x:c r="M398" s="52" t="n">
        <x:f>RGM!G331</x:f>
        <x:v>11611.63</x:v>
      </x:c>
    </x:row>
    <x:row r="399">
      <x:c r="B399" s="51" t="n">
        <x:f>ANN!A331</x:f>
        <x:v>325</x:v>
      </x:c>
      <x:c r="C399" s="52" t="n">
        <x:f>ANN!H331</x:f>
        <x:v>226936.27</x:v>
      </x:c>
      <x:c r="D399" s="52" t="n">
        <x:f>SIMPLE!H331</x:f>
        <x:v>3646037.89</x:v>
      </x:c>
      <x:c r="E399" s="52" t="n">
        <x:f>RGM!H331</x:f>
        <x:v>98246.89</x:v>
      </x:c>
      <x:c r="F399" s="51"/>
      <x:c r="G399" s="51"/>
      <x:c r="H399" s="51"/>
      <x:c r="I399" s="51"/>
      <x:c r="J399" s="51" t="n">
        <x:f>ANN!A332</x:f>
        <x:v>326</x:v>
      </x:c>
      <x:c r="K399" s="52" t="n">
        <x:f>ANN!G332</x:f>
        <x:v>26003.2</x:v>
      </x:c>
      <x:c r="L399" s="52" t="n">
        <x:f>SIMPLE!G332</x:f>
        <x:v>22475.58</x:v>
      </x:c>
      <x:c r="M399" s="52" t="n">
        <x:f>RGM!G332</x:f>
        <x:v>11521.91</x:v>
      </x:c>
    </x:row>
    <x:row r="400">
      <x:c r="B400" s="51" t="n">
        <x:f>ANN!A332</x:f>
        <x:v>326</x:v>
      </x:c>
      <x:c r="C400" s="52" t="n">
        <x:f>ANN!H332</x:f>
        <x:v>202331.99</x:v>
      </x:c>
      <x:c r="D400" s="52" t="n">
        <x:f>SIMPLE!H332</x:f>
        <x:v>3646037.89</x:v>
      </x:c>
      <x:c r="E400" s="52" t="n">
        <x:f>RGM!H332</x:f>
        <x:v>87330.61</x:v>
      </x:c>
      <x:c r="F400" s="51"/>
      <x:c r="G400" s="51"/>
      <x:c r="H400" s="51"/>
      <x:c r="I400" s="51"/>
      <x:c r="J400" s="51" t="n">
        <x:f>ANN!A333</x:f>
        <x:v>327</x:v>
      </x:c>
      <x:c r="K400" s="52" t="n">
        <x:f>ANN!G333</x:f>
        <x:v>26003.2</x:v>
      </x:c>
      <x:c r="L400" s="52" t="n">
        <x:f>SIMPLE!G333</x:f>
        <x:v>23224.76</x:v>
      </x:c>
      <x:c r="M400" s="52" t="n">
        <x:f>RGM!G333</x:f>
        <x:v>11472.56</x:v>
      </x:c>
    </x:row>
    <x:row r="401">
      <x:c r="B401" s="51" t="n">
        <x:f>ANN!A333</x:f>
        <x:v>327</x:v>
      </x:c>
      <x:c r="C401" s="52" t="n">
        <x:f>ANN!H333</x:f>
        <x:v>177617.62</x:v>
      </x:c>
      <x:c r="D401" s="52" t="n">
        <x:f>SIMPLE!H333</x:f>
        <x:v>3646037.89</x:v>
      </x:c>
      <x:c r="E401" s="52" t="n">
        <x:f>RGM!H333</x:f>
        <x:v>76414.33</x:v>
      </x:c>
      <x:c r="F401" s="51"/>
      <x:c r="G401" s="51"/>
      <x:c r="H401" s="51"/>
      <x:c r="I401" s="51"/>
      <x:c r="J401" s="51" t="n">
        <x:f>ANN!A334</x:f>
        <x:v>328</x:v>
      </x:c>
      <x:c r="K401" s="52" t="n">
        <x:f>ANN!G334</x:f>
        <x:v>26003.2</x:v>
      </x:c>
      <x:c r="L401" s="52" t="n">
        <x:f>SIMPLE!G334</x:f>
        <x:v>22475.58</x:v>
      </x:c>
      <x:c r="M401" s="52" t="n">
        <x:f>RGM!G334</x:f>
        <x:v>11387.33</x:v>
      </x:c>
    </x:row>
    <x:row r="402">
      <x:c r="B402" s="51" t="n">
        <x:f>ANN!A334</x:f>
        <x:v>328</x:v>
      </x:c>
      <x:c r="C402" s="52" t="n">
        <x:f>ANN!H334</x:f>
        <x:v>152709.32</x:v>
      </x:c>
      <x:c r="D402" s="52" t="n">
        <x:f>SIMPLE!H334</x:f>
        <x:v>3646037.89</x:v>
      </x:c>
      <x:c r="E402" s="52" t="n">
        <x:f>RGM!H334</x:f>
        <x:v>65498.05</x:v>
      </x:c>
      <x:c r="F402" s="51"/>
      <x:c r="G402" s="51"/>
      <x:c r="H402" s="51"/>
      <x:c r="I402" s="51"/>
      <x:c r="J402" s="51" t="n">
        <x:f>ANN!A335</x:f>
        <x:v>329</x:v>
      </x:c>
      <x:c r="K402" s="52" t="n">
        <x:f>ANN!G335</x:f>
        <x:v>26003.2</x:v>
      </x:c>
      <x:c r="L402" s="52" t="n">
        <x:f>SIMPLE!G335</x:f>
        <x:v>23224.76</x:v>
      </x:c>
      <x:c r="M402" s="52" t="n">
        <x:f>RGM!G335</x:f>
        <x:v>11333.49</x:v>
      </x:c>
    </x:row>
    <x:row r="403">
      <x:c r="B403" s="51" t="n">
        <x:f>ANN!A335</x:f>
        <x:v>329</x:v>
      </x:c>
      <x:c r="C403" s="52" t="n">
        <x:f>ANN!H335</x:f>
        <x:v>127678.86</x:v>
      </x:c>
      <x:c r="D403" s="52" t="n">
        <x:f>SIMPLE!H335</x:f>
        <x:v>3646037.89</x:v>
      </x:c>
      <x:c r="E403" s="52" t="n">
        <x:f>RGM!H335</x:f>
        <x:v>54581.77</x:v>
      </x:c>
      <x:c r="F403" s="51"/>
      <x:c r="G403" s="51"/>
      <x:c r="H403" s="51"/>
      <x:c r="I403" s="51"/>
      <x:c r="J403" s="51" t="n">
        <x:f>ANN!A336</x:f>
        <x:v>330</x:v>
      </x:c>
      <x:c r="K403" s="52" t="n">
        <x:f>ANN!G336</x:f>
        <x:v>26003.2</x:v>
      </x:c>
      <x:c r="L403" s="52" t="n">
        <x:f>SIMPLE!G336</x:f>
        <x:v>23224.76</x:v>
      </x:c>
      <x:c r="M403" s="52" t="n">
        <x:f>RGM!G336</x:f>
        <x:v>11263.96</x:v>
      </x:c>
    </x:row>
    <x:row r="404">
      <x:c r="B404" s="51" t="n">
        <x:f>ANN!A336</x:f>
        <x:v>330</x:v>
      </x:c>
      <x:c r="C404" s="52" t="n">
        <x:f>ANN!H336</x:f>
        <x:v>102488.96</x:v>
      </x:c>
      <x:c r="D404" s="52" t="n">
        <x:f>SIMPLE!H336</x:f>
        <x:v>3646037.89</x:v>
      </x:c>
      <x:c r="E404" s="52" t="n">
        <x:f>RGM!H336</x:f>
        <x:v>43665.49</x:v>
      </x:c>
      <x:c r="F404" s="51"/>
      <x:c r="G404" s="51"/>
      <x:c r="H404" s="51"/>
      <x:c r="I404" s="51"/>
      <x:c r="J404" s="51" t="n">
        <x:f>ANN!A337</x:f>
        <x:v>331</x:v>
      </x:c>
      <x:c r="K404" s="52" t="n">
        <x:f>ANN!G337</x:f>
        <x:v>26003.2</x:v>
      </x:c>
      <x:c r="L404" s="52" t="n">
        <x:f>SIMPLE!G337</x:f>
        <x:v>20977.2</x:v>
      </x:c>
      <x:c r="M404" s="52" t="n">
        <x:f>RGM!G337</x:f>
        <x:v>11167.51</x:v>
      </x:c>
    </x:row>
    <x:row r="405">
      <x:c r="B405" s="51" t="n">
        <x:f>ANN!A337</x:f>
        <x:v>331</x:v>
      </x:c>
      <x:c r="C405" s="52" t="n">
        <x:f>ANN!H337</x:f>
        <x:v>77075.42</x:v>
      </x:c>
      <x:c r="D405" s="52" t="n">
        <x:f>SIMPLE!H337</x:f>
        <x:v>3646037.89</x:v>
      </x:c>
      <x:c r="E405" s="52" t="n">
        <x:f>RGM!H337</x:f>
        <x:v>32749.21</x:v>
      </x:c>
      <x:c r="F405" s="51"/>
      <x:c r="G405" s="51"/>
      <x:c r="H405" s="51"/>
      <x:c r="I405" s="51"/>
      <x:c r="J405" s="51" t="n">
        <x:f>ANN!A338</x:f>
        <x:v>332</x:v>
      </x:c>
      <x:c r="K405" s="52" t="n">
        <x:f>ANN!G338</x:f>
        <x:v>26003.2</x:v>
      </x:c>
      <x:c r="L405" s="52" t="n">
        <x:f>SIMPLE!G338</x:f>
        <x:v>23224.76</x:v>
      </x:c>
      <x:c r="M405" s="52" t="n">
        <x:f>RGM!G338</x:f>
        <x:v>11124.89</x:v>
      </x:c>
    </x:row>
    <x:row r="406">
      <x:c r="B406" s="51" t="n">
        <x:f>ANN!A338</x:f>
        <x:v>332</x:v>
      </x:c>
      <x:c r="C406" s="52" t="n">
        <x:f>ANN!H338</x:f>
        <x:v>51563.18</x:v>
      </x:c>
      <x:c r="D406" s="52" t="n">
        <x:f>SIMPLE!H338</x:f>
        <x:v>3646037.89</x:v>
      </x:c>
      <x:c r="E406" s="52" t="n">
        <x:f>RGM!H338</x:f>
        <x:v>21832.93</x:v>
      </x:c>
      <x:c r="F406" s="51"/>
      <x:c r="G406" s="51"/>
      <x:c r="H406" s="51"/>
      <x:c r="I406" s="51"/>
      <x:c r="J406" s="51" t="n">
        <x:f>ANN!A339</x:f>
        <x:v>333</x:v>
      </x:c>
      <x:c r="K406" s="52" t="n">
        <x:f>ANN!G339</x:f>
        <x:v>26003.2</x:v>
      </x:c>
      <x:c r="L406" s="52" t="n">
        <x:f>SIMPLE!G339</x:f>
        <x:v>22475.58</x:v>
      </x:c>
      <x:c r="M406" s="52" t="n">
        <x:f>RGM!G339</x:f>
        <x:v>11050.87</x:v>
      </x:c>
    </x:row>
    <x:row r="407">
      <x:c r="B407" s="51" t="n">
        <x:f>ANN!A339</x:f>
        <x:v>333</x:v>
      </x:c>
      <x:c r="C407" s="52" t="n">
        <x:f>ANN!H339</x:f>
        <x:v>25877.84</x:v>
      </x:c>
      <x:c r="D407" s="52" t="n">
        <x:f>SIMPLE!H339</x:f>
        <x:v>3646037.89</x:v>
      </x:c>
      <x:c r="E407" s="52" t="n">
        <x:f>RGM!H339</x:f>
        <x:v>10916.65</x:v>
      </x:c>
      <x:c r="F407" s="51"/>
      <x:c r="G407" s="51"/>
      <x:c r="H407" s="51"/>
      <x:c r="I407" s="51"/>
      <x:c r="J407" s="51"/>
      <x:c r="K407" s="52"/>
      <x:c r="L407" s="52"/>
      <x:c r="M407" s="52"/>
    </x:row>
    <x:row r="408">
      <x:c r="B408" s="51" t="n">
        <x:f>ANN!A340</x:f>
        <x:v>334</x:v>
      </x:c>
      <x:c r="C408" s="52" t="n">
        <x:f>ANN!H340</x:f>
        <x:v>0</x:v>
      </x:c>
      <x:c r="D408" s="52" t="n">
        <x:f>SIMPLE!H340</x:f>
        <x:v>0</x:v>
      </x:c>
      <x:c r="E408" s="52" t="n">
        <x:f>RGM!H340</x:f>
        <x:v>0</x:v>
      </x:c>
      <x:c r="F408" s="51"/>
      <x:c r="G408" s="51"/>
      <x:c r="H408" s="51"/>
      <x:c r="I408" s="51"/>
      <x:c r="J408" s="51"/>
      <x:c r="K408" s="52"/>
      <x:c r="L408" s="52"/>
      <x:c r="M408" s="52"/>
    </x:row>
  </x:sheetData>
  <x:conditionalFormatting sqref="C20:E22">
    <x:cfRule type="expression" dxfId="0" priority="1">
      <x:formula>ABS(C20)&gt;0.005</x:formula>
    </x:cfRule>
  </x:conditionalFormatting>
  <x:pageMargins left="0.7" right="0.7" top="0.75" bottom="0.75" header="0.3" footer="0.3"/>
  <x:drawing xmlns:r="http://schemas.openxmlformats.org/officeDocument/2006/relationships" r:id="R16a23bfe45744024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39" hidden="0" customWidth="1"/>
    <x:col min="3" max="3" width="25" hidden="0" customWidth="1"/>
    <x:col min="4" max="4" width="3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</x:cols>
  <x:sheetData>
    <x:row r="1" ht="21" customHeight="1">
      <x:c r="A1" s="2"/>
      <x:c r="B1" s="2"/>
      <x:c r="C1" s="2"/>
      <x:c r="D1" s="2"/>
      <x:c r="E1" s="2"/>
      <x:c r="F1" s="2"/>
      <x:c r="G1" s="2"/>
      <x:c r="H1" s="2"/>
    </x:row>
    <x:row r="2" ht="28" customHeight="1">
      <x:c r="A2" s="2"/>
      <x:c r="B2" s="4" t="str">
        <x:v>Параметры сделки и метода</x:v>
      </x:c>
      <x:c r="C2" s="5"/>
      <x:c r="D2" s="5"/>
      <x:c r="E2" s="5"/>
      <x:c r="F2" s="5"/>
      <x:c r="G2" s="5"/>
      <x:c r="H2" s="5"/>
      <x:c r="I2" s="6"/>
      <x:c r="J2" s="6"/>
      <x:c r="K2" s="6"/>
    </x:row>
    <x:row r="3" ht="21" customHeight="1">
      <x:c r="A3" s="2"/>
      <x:c r="B3" s="2"/>
      <x:c r="C3" s="2"/>
      <x:c r="D3" s="2"/>
      <x:c r="E3" s="2"/>
      <x:c r="F3" s="2"/>
      <x:c r="G3" s="2"/>
      <x:c r="H3" s="2"/>
    </x:row>
    <x:row r="4" ht="36" customHeight="1">
      <x:c r="A4" s="2"/>
      <x:c r="B4" s="13" t="str">
        <x:v>Параметр</x:v>
      </x:c>
      <x:c r="C4" s="14" t="str">
        <x:v>Значение</x:v>
      </x:c>
      <x:c r="D4" s="2"/>
      <x:c r="E4" s="2"/>
      <x:c r="F4" s="2"/>
      <x:c r="G4" s="2"/>
      <x:c r="H4" s="2"/>
    </x:row>
    <x:row r="5" ht="21" customHeight="1">
      <x:c r="A5" s="2"/>
      <x:c r="B5" s="2" t="str">
        <x:v>Дата оценки (фиксирована)</x:v>
      </x:c>
      <x:c r="C5" s="15" t="n">
        <x:v>44804</x:v>
      </x:c>
      <x:c r="D5" s="2"/>
      <x:c r="E5" s="2" t="str">
        <x:v>Дисконтирование: DF предыдущего периода / (1 + ставка × дни / 365).</x:v>
      </x:c>
      <x:c r="F5" s="2"/>
      <x:c r="G5" s="2"/>
      <x:c r="H5" s="2"/>
    </x:row>
    <x:row r="6" ht="21" customHeight="1">
      <x:c r="A6" s="2"/>
      <x:c r="B6" s="2" t="str">
        <x:v>Остаток долга, RUB</x:v>
      </x:c>
      <x:c r="C6" s="20" t="n">
        <x:v>3646037.89</x:v>
      </x:c>
      <x:c r="D6" s="2"/>
      <x:c r="E6" s="2"/>
      <x:c r="F6" s="2"/>
      <x:c r="G6" s="2"/>
      <x:c r="H6" s="2"/>
    </x:row>
    <x:row r="7" ht="21" customHeight="1">
      <x:c r="A7" s="2"/>
      <x:c r="B7" s="2" t="str">
        <x:v>Кредитная ставка</x:v>
      </x:c>
      <x:c r="C7" s="21" t="n">
        <x:v>0.075</x:v>
      </x:c>
      <x:c r="D7" s="2"/>
      <x:c r="E7" s="2" t="str">
        <x:v>Ставки задаются долями единицы: 0,075 означает 7,5%.</x:v>
      </x:c>
      <x:c r="F7" s="2"/>
      <x:c r="G7" s="2"/>
      <x:c r="H7" s="2"/>
    </x:row>
    <x:row r="8" ht="21" customHeight="1">
      <x:c r="A8" s="2"/>
      <x:c r="B8" s="2" t="str">
        <x:v>Дисконтная ставка</x:v>
      </x:c>
      <x:c r="C8" s="21" t="n">
        <x:v>0.075</x:v>
      </x:c>
      <x:c r="D8" s="2"/>
      <x:c r="E8" s="2"/>
      <x:c r="F8" s="2"/>
      <x:c r="G8" s="2"/>
      <x:c r="H8" s="2"/>
    </x:row>
    <x:row r="9" ht="21" customHeight="1">
      <x:c r="A9" s="2"/>
      <x:c r="B9" s="2" t="str">
        <x:v>Первый платёж (фиксирован)</x:v>
      </x:c>
      <x:c r="C9" s="15" t="n">
        <x:v>44826</x:v>
      </x:c>
      <x:c r="D9" s="2"/>
      <x:c r="E9" s="2" t="str">
        <x:v>SIMPLE: проценты периодически, тело в конце.</x:v>
      </x:c>
      <x:c r="F9" s="2"/>
      <x:c r="G9" s="2"/>
      <x:c r="H9" s="2"/>
    </x:row>
    <x:row r="10" ht="21" customHeight="1">
      <x:c r="A10" s="2"/>
      <x:c r="B10" s="2" t="str">
        <x:v>Погашение (фиксировано)</x:v>
      </x:c>
      <x:c r="C10" s="15" t="n">
        <x:v>54954</x:v>
      </x:c>
      <x:c r="D10" s="2"/>
      <x:c r="E10" s="2" t="str">
        <x:v>RGM: равные части тела, последний платёж закрывает остаток.</x:v>
      </x:c>
      <x:c r="F10" s="2"/>
      <x:c r="G10" s="2"/>
      <x:c r="H10" s="2"/>
    </x:row>
    <x:row r="11" ht="21" customHeight="1">
      <x:c r="A11" s="2"/>
      <x:c r="B11" s="2" t="str">
        <x:v>Период, месяцев (фиксирован)</x:v>
      </x:c>
      <x:c r="C11" s="2" t="n">
        <x:v>1</x:v>
      </x:c>
      <x:c r="D11" s="2"/>
      <x:c r="E11" s="2"/>
      <x:c r="F11" s="2"/>
      <x:c r="G11" s="2"/>
      <x:c r="H11" s="2"/>
    </x:row>
    <x:row r="12" ht="21" customHeight="1">
      <x:c r="A12" s="2"/>
      <x:c r="B12" s="2" t="str">
        <x:v>Количество платежей (фиксировано)</x:v>
      </x:c>
      <x:c r="C12" s="2" t="n">
        <x:v>334</x:v>
      </x:c>
      <x:c r="D12" s="2"/>
      <x:c r="E12" s="2" t="str">
        <x:v>Без переноса выходных, комиссий и риска дефолта.</x:v>
      </x:c>
      <x:c r="F12" s="2"/>
      <x:c r="G12" s="2"/>
      <x:c r="H12" s="2"/>
    </x:row>
    <x:row r="13" ht="21" customHeight="1">
      <x:c r="A13" s="2"/>
      <x:c r="B13" s="2" t="str">
        <x:v>Регулярное тело RGM, RUB</x:v>
      </x:c>
      <x:c r="C13" s="16" t="n">
        <x:f>IF(AND(ISNUMBER(C6),C6&gt;0,ROUND(C6,2)=C6),ROUND(C6/C12,2),NA())</x:f>
        <x:v>10916.28</x:v>
      </x:c>
      <x:c r="D13" s="2"/>
      <x:c r="E13" s="2"/>
      <x:c r="F13" s="2"/>
      <x:c r="G13" s="2"/>
      <x:c r="H13" s="2"/>
    </x:row>
    <x:row r="14" ht="21" customHeight="1">
      <x:c r="A14" s="2"/>
      <x:c r="B14" s="2" t="str">
        <x:v>Регулярный платёж ANN, RUB</x:v>
      </x:c>
      <x:c r="C14" s="22" t="n">
        <x:f>ROUND(C6/SUM(ANN!J7:J340),2)</x:f>
        <x:v>26003.2</x:v>
      </x:c>
      <x:c r="D14" s="2"/>
      <x:c r="E14" s="2"/>
      <x:c r="F14" s="2"/>
      <x:c r="G14" s="2"/>
      <x:c r="H14" s="2"/>
    </x:row>
    <x:row r="15" ht="21" customHeight="1">
      <x:c r="A15" s="2"/>
      <x:c r="B15" s="2" t="str">
        <x:v>База дней</x:v>
      </x:c>
      <x:c r="C15" s="2" t="str">
        <x:v>ACT/365F</x:v>
      </x:c>
      <x:c r="D15" s="2"/>
      <x:c r="E15" s="2"/>
      <x:c r="F15" s="2"/>
      <x:c r="G15" s="2"/>
      <x:c r="H15" s="2"/>
    </x:row>
    <x:row r="16" ht="21" customHeight="1">
      <x:c r="A16" s="2"/>
      <x:c r="B16" s="2" t="str">
        <x:v>Округление денег</x:v>
      </x:c>
      <x:c r="C16" s="2" t="str">
        <x:v>HALF_UP / 2 знака</x:v>
      </x:c>
      <x:c r="D16" s="2"/>
      <x:c r="E16" s="2"/>
      <x:c r="F16" s="2"/>
      <x:c r="G16" s="2"/>
      <x:c r="H16" s="2"/>
    </x:row>
    <x:row r="17" ht="21" customHeight="1">
      <x:c r="A17" s="2"/>
      <x:c r="B17" s="2"/>
      <x:c r="C17" s="2"/>
      <x:c r="D17" s="2"/>
      <x:c r="E17" s="2"/>
      <x:c r="F17" s="2"/>
      <x:c r="G17" s="2"/>
      <x:c r="H17" s="2"/>
    </x:row>
    <x:row r="18" ht="21" customHeight="1">
      <x:c r="A18" s="2"/>
      <x:c r="B18" s="2" t="str">
        <x:v>Жёлтые ячейки: долг и две ставки можно менять.</x:v>
      </x:c>
      <x:c r="C18" s="2"/>
      <x:c r="D18" s="2"/>
      <x:c r="E18" s="2"/>
      <x:c r="F18" s="2"/>
      <x:c r="G18" s="2"/>
      <x:c r="H18" s="2"/>
    </x:row>
    <x:row r="19" ht="21" customHeight="1">
      <x:c r="A19" s="2"/>
      <x:c r="B19" s="2" t="str">
        <x:v>Даты и число платежей заданы для этой сделки.</x:v>
      </x:c>
      <x:c r="C19" s="2"/>
      <x:c r="D19" s="2"/>
      <x:c r="E19" s="2"/>
      <x:c r="F19" s="2"/>
      <x:c r="G19" s="2"/>
      <x:c r="H19" s="2"/>
    </x:row>
    <x:row r="20" ht="21" customHeight="1">
      <x:c r="A20" s="2"/>
      <x:c r="B20" s="2" t="str">
        <x:v>Другой календарь: измените JSON и повторите сборку.</x:v>
      </x:c>
      <x:c r="C20" s="2"/>
      <x:c r="D20" s="2"/>
      <x:c r="E20" s="2"/>
      <x:c r="F20" s="2"/>
      <x:c r="G20" s="2"/>
      <x:c r="H20" s="2"/>
    </x:row>
    <x:row r="21" ht="21" customHeight="1">
      <x:c r="A21" s="2"/>
      <x:c r="B21" s="2"/>
      <x:c r="C21" s="2"/>
      <x:c r="D21" s="2"/>
      <x:c r="E21" s="2"/>
      <x:c r="F21" s="2"/>
      <x:c r="G21" s="2"/>
      <x:c r="H21" s="2"/>
    </x:row>
    <x:row r="22" ht="21" customHeight="1">
      <x:c r="A22" s="2"/>
      <x:c r="B22" s="2" t="str">
        <x:v>Источник: annuity-payment-schedule.xlsx, H9:I20.</x:v>
      </x:c>
      <x:c r="C22" s="2"/>
      <x:c r="D22" s="2"/>
      <x:c r="E22" s="2"/>
      <x:c r="F22" s="2"/>
      <x:c r="G22" s="2"/>
      <x:c r="H22" s="2"/>
    </x:row>
    <x:row r="23" ht="21" customHeight="1">
      <x:c r="A23" s="2"/>
      <x:c r="B23" s="2"/>
      <x:c r="C23" s="2"/>
      <x:c r="D23" s="2"/>
      <x:c r="E23" s="2"/>
      <x:c r="F23" s="2"/>
      <x:c r="G23" s="2"/>
      <x:c r="H23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7" hidden="0" customWidth="1"/>
    <x:col min="2" max="2" width="14" hidden="0" customWidth="1"/>
    <x:col min="3" max="3" width="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8" hidden="0" customWidth="1"/>
    <x:col min="14" max="14" width="18" hidden="0" customWidth="1"/>
    <x:col min="15" max="15" width="18" hidden="0" customWidth="1"/>
  </x:cols>
  <x:sheetData>
    <x:row r="1" ht="21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28" customHeight="1">
      <x:c r="A2" s="2"/>
      <x:c r="B2" s="4" t="str">
        <x:v>ANN — график и приведённая стоимость</x:v>
      </x:c>
      <x:c r="C2" s="5"/>
      <x:c r="D2" s="5"/>
      <x:c r="E2" s="5"/>
      <x:c r="F2" s="5"/>
      <x:c r="G2" s="5"/>
      <x:c r="H2" s="5"/>
      <x:c r="I2" s="5"/>
      <x:c r="J2" s="5"/>
      <x:c r="K2" s="5"/>
      <x:c r="L2" s="2"/>
      <x:c r="M2" s="2"/>
      <x:c r="N2" s="2"/>
      <x:c r="O2" s="2"/>
    </x:row>
    <x:row r="3" ht="21" customHeight="1">
      <x:c r="A3" s="2"/>
      <x:c r="B3" s="2" t="str">
        <x:v>Суммы в RUB; ACT/365F; деньги округлены до копеек.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ht="21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 ht="36" customHeight="1">
      <x:c r="A5" s="13" t="str">
        <x:v>№</x:v>
      </x:c>
      <x:c r="B5" s="25" t="str">
        <x:v>Дата</x:v>
      </x:c>
      <x:c r="C5" s="25" t="str">
        <x:v>Дней</x:v>
      </x:c>
      <x:c r="D5" s="25" t="str">
        <x:v>Долг до</x:v>
      </x:c>
      <x:c r="E5" s="25" t="str">
        <x:v>Проценты</x:v>
      </x:c>
      <x:c r="F5" s="25" t="str">
        <x:v>Тело</x:v>
      </x:c>
      <x:c r="G5" s="25" t="str">
        <x:v>Платёж</x:v>
      </x:c>
      <x:c r="H5" s="25" t="str">
        <x:v>Долг после</x:v>
      </x:c>
      <x:c r="I5" s="25" t="str">
        <x:v>Ставка кредита за период</x:v>
      </x:c>
      <x:c r="J5" s="25" t="str">
        <x:v>DF кредита</x:v>
      </x:c>
      <x:c r="K5" s="25" t="str">
        <x:v>Ставка дисконта за период</x:v>
      </x:c>
      <x:c r="L5" s="25" t="str">
        <x:v>DF дисконта</x:v>
      </x:c>
      <x:c r="M5" s="25" t="str">
        <x:v>PV процентов</x:v>
      </x:c>
      <x:c r="N5" s="25" t="str">
        <x:v>PV тела</x:v>
      </x:c>
      <x:c r="O5" s="14" t="str">
        <x:v>PV платежа</x:v>
      </x:c>
    </x:row>
    <x:row r="6" ht="21" customHeight="1">
      <x:c r="A6" s="28" t="n">
        <x:v>0</x:v>
      </x:c>
      <x:c r="B6" s="29" t="n">
        <x:v>44804</x:v>
      </x:c>
      <x:c r="C6" s="28" t="n">
        <x:v>0</x:v>
      </x:c>
      <x:c r="D6" s="30" t="n">
        <x:v>0</x:v>
      </x:c>
      <x:c r="E6" s="30" t="n">
        <x:v>0</x:v>
      </x:c>
      <x:c r="F6" s="30" t="n">
        <x:v>0</x:v>
      </x:c>
      <x:c r="G6" s="30" t="n">
        <x:v>0</x:v>
      </x:c>
      <x:c r="H6" s="31" t="n">
        <x:f>IF(AND(ISNUMBER('Параметры'!$C$6),'Параметры'!$C$6&gt;0,ROUND('Параметры'!$C$6,2)='Параметры'!$C$6),'Параметры'!$C$6,NA())</x:f>
        <x:v>3646037.89</x:v>
      </x:c>
      <x:c r="I6" s="32" t="n">
        <x:v>0</x:v>
      </x:c>
      <x:c r="J6" s="32" t="n">
        <x:v>1</x:v>
      </x:c>
      <x:c r="K6" s="32" t="n">
        <x:v>0</x:v>
      </x:c>
      <x:c r="L6" s="32" t="n">
        <x:v>1</x:v>
      </x:c>
      <x:c r="M6" s="30" t="n">
        <x:v>0</x:v>
      </x:c>
      <x:c r="N6" s="30" t="n">
        <x:v>0</x:v>
      </x:c>
      <x:c r="O6" s="30" t="n">
        <x:v>0</x:v>
      </x:c>
    </x:row>
    <x:row r="7" ht="21" customHeight="1">
      <x:c r="A7" s="28" t="n">
        <x:v>1</x:v>
      </x:c>
      <x:c r="B7" s="29" t="n">
        <x:v>44826</x:v>
      </x:c>
      <x:c r="C7" s="28" t="n">
        <x:f>B7-B6</x:f>
        <x:v>22</x:v>
      </x:c>
      <x:c r="D7" s="30" t="n">
        <x:f>H6</x:f>
        <x:v>3646037.89</x:v>
      </x:c>
      <x:c r="E7" s="30" t="n">
        <x:f>ROUND(D7*I7,2)</x:f>
        <x:v>16482.09</x:v>
      </x:c>
      <x:c r="F7" s="30" t="n">
        <x:f>IF(G7&gt;=E7,ROUND(G7-E7,2),NA())</x:f>
        <x:v>9521.11</x:v>
      </x:c>
      <x:c r="G7" s="30" t="n">
        <x:f>MIN('Параметры'!$C$14,ROUND(D7+E7,2))</x:f>
        <x:v>26003.2</x:v>
      </x:c>
      <x:c r="H7" s="30" t="n">
        <x:f>ROUND(D7-F7,2)</x:f>
        <x:v>3636516.78</x:v>
      </x:c>
      <x:c r="I7" s="33" t="n">
        <x:f>IF(AND(ISNUMBER('Параметры'!$C$7),'Параметры'!$C$7&gt;=0),'Параметры'!$C$7*C7/365,NA())</x:f>
        <x:v>0.00452054794520548</x:v>
      </x:c>
      <x:c r="J7" s="32" t="n">
        <x:f>J6/(1+I7)</x:f>
        <x:v>0.9954997954452475</x:v>
      </x:c>
      <x:c r="K7" s="33" t="n">
        <x:f>IF(AND(ISNUMBER('Параметры'!$C$8),'Параметры'!$C$8&gt;=0),'Параметры'!$C$8*C7/365,NA())</x:f>
        <x:v>0.00452054794520548</x:v>
      </x:c>
      <x:c r="L7" s="32" t="n">
        <x:f>L6/(1+K7)</x:f>
        <x:v>0.9954997954452475</x:v>
      </x:c>
      <x:c r="M7" s="30" t="n">
        <x:f>E7*L7</x:f>
        <x:v>16407.917223510158</x:v>
      </x:c>
      <x:c r="N7" s="30" t="n">
        <x:f>F7*L7</x:f>
        <x:v>9478.263057411701</x:v>
      </x:c>
      <x:c r="O7" s="30" t="n">
        <x:f>G7*L7</x:f>
        <x:v>25886.18028092186</x:v>
      </x:c>
    </x:row>
    <x:row r="8" ht="21" customHeight="1">
      <x:c r="A8" s="28" t="n">
        <x:v>2</x:v>
      </x:c>
      <x:c r="B8" s="29" t="n">
        <x:v>44856</x:v>
      </x:c>
      <x:c r="C8" s="28" t="n">
        <x:f>B8-B7</x:f>
        <x:v>30</x:v>
      </x:c>
      <x:c r="D8" s="30" t="n">
        <x:f>H7</x:f>
        <x:v>3636516.78</x:v>
      </x:c>
      <x:c r="E8" s="30" t="n">
        <x:f>ROUND(D8*I8,2)</x:f>
        <x:v>22416.88</x:v>
      </x:c>
      <x:c r="F8" s="30" t="n">
        <x:f>IF(G8&gt;=E8,ROUND(G8-E8,2),NA())</x:f>
        <x:v>3586.32</x:v>
      </x:c>
      <x:c r="G8" s="30" t="n">
        <x:f>MIN('Параметры'!$C$14,ROUND(D8+E8,2))</x:f>
        <x:v>26003.2</x:v>
      </x:c>
      <x:c r="H8" s="30" t="n">
        <x:f>ROUND(D8-F8,2)</x:f>
        <x:v>3632930.46</x:v>
      </x:c>
      <x:c r="I8" s="33" t="n">
        <x:f>IF(AND(ISNUMBER('Параметры'!$C$7),'Параметры'!$C$7&gt;=0),'Параметры'!$C$7*C8/365,NA())</x:f>
        <x:v>0.0061643835616438354</x:v>
      </x:c>
      <x:c r="J8" s="32" t="n">
        <x:f>J7/(1+I8)</x:f>
        <x:v>0.9894007497277476</x:v>
      </x:c>
      <x:c r="K8" s="33" t="n">
        <x:f>IF(AND(ISNUMBER('Параметры'!$C$8),'Параметры'!$C$8&gt;=0),'Параметры'!$C$8*C8/365,NA())</x:f>
        <x:v>0.0061643835616438354</x:v>
      </x:c>
      <x:c r="L8" s="32" t="n">
        <x:f>L7/(1+K8)</x:f>
        <x:v>0.9894007497277476</x:v>
      </x:c>
      <x:c r="M8" s="30" t="n">
        <x:f>E8*L8</x:f>
        <x:v>22179.277878556954</x:v>
      </x:c>
      <x:c r="N8" s="30" t="n">
        <x:f>F8*L8</x:f>
        <x:v>3548.307696763616</x:v>
      </x:c>
      <x:c r="O8" s="30" t="n">
        <x:f>G8*L8</x:f>
        <x:v>25727.58557532057</x:v>
      </x:c>
    </x:row>
    <x:row r="9" ht="21" customHeight="1">
      <x:c r="A9" s="28" t="n">
        <x:v>3</x:v>
      </x:c>
      <x:c r="B9" s="29" t="n">
        <x:v>44887</x:v>
      </x:c>
      <x:c r="C9" s="28" t="n">
        <x:f>B9-B8</x:f>
        <x:v>31</x:v>
      </x:c>
      <x:c r="D9" s="30" t="n">
        <x:f>H8</x:f>
        <x:v>3632930.46</x:v>
      </x:c>
      <x:c r="E9" s="30" t="n">
        <x:f>ROUND(D9*I9,2)</x:f>
        <x:v>23141.27</x:v>
      </x:c>
      <x:c r="F9" s="30" t="n">
        <x:f>IF(G9&gt;=E9,ROUND(G9-E9,2),NA())</x:f>
        <x:v>2861.93</x:v>
      </x:c>
      <x:c r="G9" s="30" t="n">
        <x:f>MIN('Параметры'!$C$14,ROUND(D9+E9,2))</x:f>
        <x:v>26003.2</x:v>
      </x:c>
      <x:c r="H9" s="30" t="n">
        <x:f>ROUND(D9-F9,2)</x:f>
        <x:v>3630068.53</x:v>
      </x:c>
      <x:c r="I9" s="33" t="n">
        <x:f>IF(AND(ISNUMBER('Параметры'!$C$7),'Параметры'!$C$7&gt;=0),'Параметры'!$C$7*C9/365,NA())</x:f>
        <x:v>0.00636986301369863</x:v>
      </x:c>
      <x:c r="J9" s="32" t="n">
        <x:f>J8/(1+I9)</x:f>
        <x:v>0.9831382934747918</x:v>
      </x:c>
      <x:c r="K9" s="33" t="n">
        <x:f>IF(AND(ISNUMBER('Параметры'!$C$8),'Параметры'!$C$8&gt;=0),'Параметры'!$C$8*C9/365,NA())</x:f>
        <x:v>0.00636986301369863</x:v>
      </x:c>
      <x:c r="L9" s="32" t="n">
        <x:f>L8/(1+K9)</x:f>
        <x:v>0.9831382934747918</x:v>
      </x:c>
      <x:c r="M9" s="30" t="n">
        <x:f>E9*L9</x:f>
        <x:v>22751.068696639395</x:v>
      </x:c>
      <x:c r="N9" s="30" t="n">
        <x:f>F9*L9</x:f>
        <x:v>2813.6729762443106</x:v>
      </x:c>
      <x:c r="O9" s="30" t="n">
        <x:f>G9*L9</x:f>
        <x:v>25564.741672883705</x:v>
      </x:c>
    </x:row>
    <x:row r="10" ht="21" customHeight="1">
      <x:c r="A10" s="28" t="n">
        <x:v>4</x:v>
      </x:c>
      <x:c r="B10" s="29" t="n">
        <x:v>44917</x:v>
      </x:c>
      <x:c r="C10" s="28" t="n">
        <x:f>B10-B9</x:f>
        <x:v>30</x:v>
      </x:c>
      <x:c r="D10" s="30" t="n">
        <x:f>H9</x:f>
        <x:v>3630068.53</x:v>
      </x:c>
      <x:c r="E10" s="30" t="n">
        <x:f>ROUND(D10*I10,2)</x:f>
        <x:v>22377.13</x:v>
      </x:c>
      <x:c r="F10" s="30" t="n">
        <x:f>IF(G10&gt;=E10,ROUND(G10-E10,2),NA())</x:f>
        <x:v>3626.07</x:v>
      </x:c>
      <x:c r="G10" s="30" t="n">
        <x:f>MIN('Параметры'!$C$14,ROUND(D10+E10,2))</x:f>
        <x:v>26003.2</x:v>
      </x:c>
      <x:c r="H10" s="30" t="n">
        <x:f>ROUND(D10-F10,2)</x:f>
        <x:v>3626442.46</x:v>
      </x:c>
      <x:c r="I10" s="33" t="n">
        <x:f>IF(AND(ISNUMBER('Параметры'!$C$7),'Параметры'!$C$7&gt;=0),'Параметры'!$C$7*C10/365,NA())</x:f>
        <x:v>0.0061643835616438354</x:v>
      </x:c>
      <x:c r="J10" s="32" t="n">
        <x:f>J9/(1+I10)</x:f>
        <x:v>0.9771149819422709</x:v>
      </x:c>
      <x:c r="K10" s="33" t="n">
        <x:f>IF(AND(ISNUMBER('Параметры'!$C$8),'Параметры'!$C$8&gt;=0),'Параметры'!$C$8*C10/365,NA())</x:f>
        <x:v>0.0061643835616438354</x:v>
      </x:c>
      <x:c r="L10" s="32" t="n">
        <x:f>L9/(1+K10)</x:f>
        <x:v>0.9771149819422709</x:v>
      </x:c>
      <x:c r="M10" s="30" t="n">
        <x:f>E10*L10</x:f>
        <x:v>21865.02897586985</x:v>
      </x:c>
      <x:c r="N10" s="30" t="n">
        <x:f>F10*L10</x:f>
        <x:v>3543.0873225714104</x:v>
      </x:c>
      <x:c r="O10" s="30" t="n">
        <x:f>G10*L10</x:f>
        <x:v>25408.11629844126</x:v>
      </x:c>
    </x:row>
    <x:row r="11" ht="21" customHeight="1">
      <x:c r="A11" s="28" t="n">
        <x:v>5</x:v>
      </x:c>
      <x:c r="B11" s="29" t="n">
        <x:v>44948</x:v>
      </x:c>
      <x:c r="C11" s="28" t="n">
        <x:f>B11-B10</x:f>
        <x:v>31</x:v>
      </x:c>
      <x:c r="D11" s="30" t="n">
        <x:f>H10</x:f>
        <x:v>3626442.46</x:v>
      </x:c>
      <x:c r="E11" s="30" t="n">
        <x:f>ROUND(D11*I11,2)</x:f>
        <x:v>23099.94</x:v>
      </x:c>
      <x:c r="F11" s="30" t="n">
        <x:f>IF(G11&gt;=E11,ROUND(G11-E11,2),NA())</x:f>
        <x:v>2903.26</x:v>
      </x:c>
      <x:c r="G11" s="30" t="n">
        <x:f>MIN('Параметры'!$C$14,ROUND(D11+E11,2))</x:f>
        <x:v>26003.2</x:v>
      </x:c>
      <x:c r="H11" s="30" t="n">
        <x:f>ROUND(D11-F11,2)</x:f>
        <x:v>3623539.2</x:v>
      </x:c>
      <x:c r="I11" s="33" t="n">
        <x:f>IF(AND(ISNUMBER('Параметры'!$C$7),'Параметры'!$C$7&gt;=0),'Параметры'!$C$7*C11/365,NA())</x:f>
        <x:v>0.00636986301369863</x:v>
      </x:c>
      <x:c r="J11" s="32" t="n">
        <x:f>J10/(1+I11)</x:f>
        <x:v>0.9709302890054553</x:v>
      </x:c>
      <x:c r="K11" s="33" t="n">
        <x:f>IF(AND(ISNUMBER('Параметры'!$C$8),'Параметры'!$C$8&gt;=0),'Параметры'!$C$8*C11/365,NA())</x:f>
        <x:v>0.00636986301369863</x:v>
      </x:c>
      <x:c r="L11" s="32" t="n">
        <x:f>L10/(1+K11)</x:f>
        <x:v>0.9709302890054553</x:v>
      </x:c>
      <x:c r="M11" s="30" t="n">
        <x:f>E11*L11</x:f>
        <x:v>22428.431420208675</x:v>
      </x:c>
      <x:c r="N11" s="30" t="n">
        <x:f>F11*L11</x:f>
        <x:v>2818.8630708579785</x:v>
      </x:c>
      <x:c r="O11" s="30" t="n">
        <x:f>G11*L11</x:f>
        <x:v>25247.294491066656</x:v>
      </x:c>
    </x:row>
    <x:row r="12" ht="21" customHeight="1">
      <x:c r="A12" s="28" t="n">
        <x:v>6</x:v>
      </x:c>
      <x:c r="B12" s="29" t="n">
        <x:v>44979</x:v>
      </x:c>
      <x:c r="C12" s="28" t="n">
        <x:f>B12-B11</x:f>
        <x:v>31</x:v>
      </x:c>
      <x:c r="D12" s="30" t="n">
        <x:f>H11</x:f>
        <x:v>3623539.2</x:v>
      </x:c>
      <x:c r="E12" s="30" t="n">
        <x:f>ROUND(D12*I12,2)</x:f>
        <x:v>23081.45</x:v>
      </x:c>
      <x:c r="F12" s="30" t="n">
        <x:f>IF(G12&gt;=E12,ROUND(G12-E12,2),NA())</x:f>
        <x:v>2921.75</x:v>
      </x:c>
      <x:c r="G12" s="30" t="n">
        <x:f>MIN('Параметры'!$C$14,ROUND(D12+E12,2))</x:f>
        <x:v>26003.2</x:v>
      </x:c>
      <x:c r="H12" s="30" t="n">
        <x:f>ROUND(D12-F12,2)</x:f>
        <x:v>3620617.45</x:v>
      </x:c>
      <x:c r="I12" s="33" t="n">
        <x:f>IF(AND(ISNUMBER('Параметры'!$C$7),'Параметры'!$C$7&gt;=0),'Параметры'!$C$7*C12/365,NA())</x:f>
        <x:v>0.00636986301369863</x:v>
      </x:c>
      <x:c r="J12" s="32" t="n">
        <x:f>J11/(1+I12)</x:f>
        <x:v>0.9647847423589225</x:v>
      </x:c>
      <x:c r="K12" s="33" t="n">
        <x:f>IF(AND(ISNUMBER('Параметры'!$C$8),'Параметры'!$C$8&gt;=0),'Параметры'!$C$8*C12/365,NA())</x:f>
        <x:v>0.00636986301369863</x:v>
      </x:c>
      <x:c r="L12" s="32" t="n">
        <x:f>L11/(1+K12)</x:f>
        <x:v>0.9647847423589225</x:v>
      </x:c>
      <x:c r="M12" s="30" t="n">
        <x:f>E12*L12</x:f>
        <x:v>22268.630791520354</x:v>
      </x:c>
      <x:c r="N12" s="30" t="n">
        <x:f>F12*L12</x:f>
        <x:v>2818.859820987182</x:v>
      </x:c>
      <x:c r="O12" s="30" t="n">
        <x:f>G12*L12</x:f>
        <x:v>25087.490612507536</x:v>
      </x:c>
    </x:row>
    <x:row r="13" ht="21" customHeight="1">
      <x:c r="A13" s="28" t="n">
        <x:v>7</x:v>
      </x:c>
      <x:c r="B13" s="29" t="n">
        <x:v>45007</x:v>
      </x:c>
      <x:c r="C13" s="28" t="n">
        <x:f>B13-B12</x:f>
        <x:v>28</x:v>
      </x:c>
      <x:c r="D13" s="30" t="n">
        <x:f>H12</x:f>
        <x:v>3620617.45</x:v>
      </x:c>
      <x:c r="E13" s="30" t="n">
        <x:f>ROUND(D13*I13,2)</x:f>
        <x:v>20830.95</x:v>
      </x:c>
      <x:c r="F13" s="30" t="n">
        <x:f>IF(G13&gt;=E13,ROUND(G13-E13,2),NA())</x:f>
        <x:v>5172.25</x:v>
      </x:c>
      <x:c r="G13" s="30" t="n">
        <x:f>MIN('Параметры'!$C$14,ROUND(D13+E13,2))</x:f>
        <x:v>26003.2</x:v>
      </x:c>
      <x:c r="H13" s="30" t="n">
        <x:f>ROUND(D13-F13,2)</x:f>
        <x:v>3615445.2</x:v>
      </x:c>
      <x:c r="I13" s="33" t="n">
        <x:f>IF(AND(ISNUMBER('Параметры'!$C$7),'Параметры'!$C$7&gt;=0),'Параметры'!$C$7*C13/365,NA())</x:f>
        <x:v>0.005753424657534247</x:v>
      </x:c>
      <x:c r="J13" s="32" t="n">
        <x:f>J12/(1+I13)</x:f>
        <x:v>0.9592656795451014</x:v>
      </x:c>
      <x:c r="K13" s="33" t="n">
        <x:f>IF(AND(ISNUMBER('Параметры'!$C$8),'Параметры'!$C$8&gt;=0),'Параметры'!$C$8*C13/365,NA())</x:f>
        <x:v>0.005753424657534247</x:v>
      </x:c>
      <x:c r="L13" s="32" t="n">
        <x:f>L12/(1+K13)</x:f>
        <x:v>0.9592656795451014</x:v>
      </x:c>
      <x:c r="M13" s="30" t="n">
        <x:f>E13*L13</x:f>
        <x:v>19982.415407320033</x:v>
      </x:c>
      <x:c r="N13" s="30" t="n">
        <x:f>F13*L13</x:f>
        <x:v>4961.561911027151</x:v>
      </x:c>
      <x:c r="O13" s="30" t="n">
        <x:f>G13*L13</x:f>
        <x:v>24943.977318347184</x:v>
      </x:c>
    </x:row>
    <x:row r="14" ht="21" customHeight="1">
      <x:c r="A14" s="28" t="n">
        <x:v>8</x:v>
      </x:c>
      <x:c r="B14" s="29" t="n">
        <x:v>45038</x:v>
      </x:c>
      <x:c r="C14" s="28" t="n">
        <x:f>B14-B13</x:f>
        <x:v>31</x:v>
      </x:c>
      <x:c r="D14" s="30" t="n">
        <x:f>H13</x:f>
        <x:v>3615445.2</x:v>
      </x:c>
      <x:c r="E14" s="30" t="n">
        <x:f>ROUND(D14*I14,2)</x:f>
        <x:v>23029.89</x:v>
      </x:c>
      <x:c r="F14" s="30" t="n">
        <x:f>IF(G14&gt;=E14,ROUND(G14-E14,2),NA())</x:f>
        <x:v>2973.31</x:v>
      </x:c>
      <x:c r="G14" s="30" t="n">
        <x:f>MIN('Параметры'!$C$14,ROUND(D14+E14,2))</x:f>
        <x:v>26003.2</x:v>
      </x:c>
      <x:c r="H14" s="30" t="n">
        <x:f>ROUND(D14-F14,2)</x:f>
        <x:v>3612471.89</x:v>
      </x:c>
      <x:c r="I14" s="33" t="n">
        <x:f>IF(AND(ISNUMBER('Параметры'!$C$7),'Параметры'!$C$7&gt;=0),'Параметры'!$C$7*C14/365,NA())</x:f>
        <x:v>0.00636986301369863</x:v>
      </x:c>
      <x:c r="J14" s="32" t="n">
        <x:f>J13/(1+I14)</x:f>
        <x:v>0.953193964565336</x:v>
      </x:c>
      <x:c r="K14" s="33" t="n">
        <x:f>IF(AND(ISNUMBER('Параметры'!$C$8),'Параметры'!$C$8&gt;=0),'Параметры'!$C$8*C14/365,NA())</x:f>
        <x:v>0.00636986301369863</x:v>
      </x:c>
      <x:c r="L14" s="32" t="n">
        <x:f>L13/(1+K14)</x:f>
        <x:v>0.953193964565336</x:v>
      </x:c>
      <x:c r="M14" s="30" t="n">
        <x:f>E14*L14</x:f>
        <x:v>21951.952152603586</x:v>
      </x:c>
      <x:c r="N14" s="30" t="n">
        <x:f>F14*L14</x:f>
        <x:v>2834.1411467817593</x:v>
      </x:c>
      <x:c r="O14" s="30" t="n">
        <x:f>G14*L14</x:f>
        <x:v>24786.093299385346</x:v>
      </x:c>
    </x:row>
    <x:row r="15" ht="21" customHeight="1">
      <x:c r="A15" s="28" t="n">
        <x:v>9</x:v>
      </x:c>
      <x:c r="B15" s="29" t="n">
        <x:v>45068</x:v>
      </x:c>
      <x:c r="C15" s="28" t="n">
        <x:f>B15-B14</x:f>
        <x:v>30</x:v>
      </x:c>
      <x:c r="D15" s="30" t="n">
        <x:f>H14</x:f>
        <x:v>3612471.89</x:v>
      </x:c>
      <x:c r="E15" s="30" t="n">
        <x:f>ROUND(D15*I15,2)</x:f>
        <x:v>22268.66</x:v>
      </x:c>
      <x:c r="F15" s="30" t="n">
        <x:f>IF(G15&gt;=E15,ROUND(G15-E15,2),NA())</x:f>
        <x:v>3734.54</x:v>
      </x:c>
      <x:c r="G15" s="30" t="n">
        <x:f>MIN('Параметры'!$C$14,ROUND(D15+E15,2))</x:f>
        <x:v>26003.2</x:v>
      </x:c>
      <x:c r="H15" s="30" t="n">
        <x:f>ROUND(D15-F15,2)</x:f>
        <x:v>3608737.35</x:v>
      </x:c>
      <x:c r="I15" s="33" t="n">
        <x:f>IF(AND(ISNUMBER('Параметры'!$C$7),'Параметры'!$C$7&gt;=0),'Параметры'!$C$7*C15/365,NA())</x:f>
        <x:v>0.0061643835616438354</x:v>
      </x:c>
      <x:c r="J15" s="32" t="n">
        <x:f>J14/(1+I15)</x:f>
        <x:v>0.9473541104597621</x:v>
      </x:c>
      <x:c r="K15" s="33" t="n">
        <x:f>IF(AND(ISNUMBER('Параметры'!$C$8),'Параметры'!$C$8&gt;=0),'Параметры'!$C$8*C15/365,NA())</x:f>
        <x:v>0.0061643835616438354</x:v>
      </x:c>
      <x:c r="L15" s="32" t="n">
        <x:f>L14/(1+K15)</x:f>
        <x:v>0.9473541104597621</x:v>
      </x:c>
      <x:c r="M15" s="30" t="n">
        <x:f>E15*L15</x:f>
        <x:v>21096.306585430888</x:v>
      </x:c>
      <x:c r="N15" s="30" t="n">
        <x:f>F15*L15</x:f>
        <x:v>3537.9318196764</x:v>
      </x:c>
      <x:c r="O15" s="30" t="n">
        <x:f>G15*L15</x:f>
        <x:v>24634.238405107288</x:v>
      </x:c>
    </x:row>
    <x:row r="16" ht="21" customHeight="1">
      <x:c r="A16" s="28" t="n">
        <x:v>10</x:v>
      </x:c>
      <x:c r="B16" s="29" t="n">
        <x:v>45099</x:v>
      </x:c>
      <x:c r="C16" s="28" t="n">
        <x:f>B16-B15</x:f>
        <x:v>31</x:v>
      </x:c>
      <x:c r="D16" s="30" t="n">
        <x:f>H15</x:f>
        <x:v>3608737.35</x:v>
      </x:c>
      <x:c r="E16" s="30" t="n">
        <x:f>ROUND(D16*I16,2)</x:f>
        <x:v>22987.16</x:v>
      </x:c>
      <x:c r="F16" s="30" t="n">
        <x:f>IF(G16&gt;=E16,ROUND(G16-E16,2),NA())</x:f>
        <x:v>3016.04</x:v>
      </x:c>
      <x:c r="G16" s="30" t="n">
        <x:f>MIN('Параметры'!$C$14,ROUND(D16+E16,2))</x:f>
        <x:v>26003.2</x:v>
      </x:c>
      <x:c r="H16" s="30" t="n">
        <x:f>ROUND(D16-F16,2)</x:f>
        <x:v>3605721.31</x:v>
      </x:c>
      <x:c r="I16" s="33" t="n">
        <x:f>IF(AND(ISNUMBER('Параметры'!$C$7),'Параметры'!$C$7&gt;=0),'Параметры'!$C$7*C16/365,NA())</x:f>
        <x:v>0.00636986301369863</x:v>
      </x:c>
      <x:c r="J16" s="32" t="n">
        <x:f>J15/(1+I16)</x:f>
        <x:v>0.9413577902887449</x:v>
      </x:c>
      <x:c r="K16" s="33" t="n">
        <x:f>IF(AND(ISNUMBER('Параметры'!$C$8),'Параметры'!$C$8&gt;=0),'Параметры'!$C$8*C16/365,NA())</x:f>
        <x:v>0.00636986301369863</x:v>
      </x:c>
      <x:c r="L16" s="32" t="n">
        <x:f>L15/(1+K16)</x:f>
        <x:v>0.9413577902887449</x:v>
      </x:c>
      <x:c r="M16" s="30" t="n">
        <x:f>E16*L16</x:f>
        <x:v>21639.142142613826</x:v>
      </x:c>
      <x:c r="N16" s="30" t="n">
        <x:f>F16*L16</x:f>
        <x:v>2839.172749822466</x:v>
      </x:c>
      <x:c r="O16" s="30" t="n">
        <x:f>G16*L16</x:f>
        <x:v>24478.31489243629</x:v>
      </x:c>
    </x:row>
    <x:row r="17" ht="21" customHeight="1">
      <x:c r="A17" s="28" t="n">
        <x:v>11</x:v>
      </x:c>
      <x:c r="B17" s="29" t="n">
        <x:v>45129</x:v>
      </x:c>
      <x:c r="C17" s="28" t="n">
        <x:f>B17-B16</x:f>
        <x:v>30</x:v>
      </x:c>
      <x:c r="D17" s="30" t="n">
        <x:f>H16</x:f>
        <x:v>3605721.31</x:v>
      </x:c>
      <x:c r="E17" s="30" t="n">
        <x:f>ROUND(D17*I17,2)</x:f>
        <x:v>22227.05</x:v>
      </x:c>
      <x:c r="F17" s="30" t="n">
        <x:f>IF(G17&gt;=E17,ROUND(G17-E17,2),NA())</x:f>
        <x:v>3776.15</x:v>
      </x:c>
      <x:c r="G17" s="30" t="n">
        <x:f>MIN('Параметры'!$C$14,ROUND(D17+E17,2))</x:f>
        <x:v>26003.2</x:v>
      </x:c>
      <x:c r="H17" s="30" t="n">
        <x:f>ROUND(D17-F17,2)</x:f>
        <x:v>3601945.16</x:v>
      </x:c>
      <x:c r="I17" s="33" t="n">
        <x:f>IF(AND(ISNUMBER('Параметры'!$C$7),'Параметры'!$C$7&gt;=0),'Параметры'!$C$7*C17/365,NA())</x:f>
        <x:v>0.0061643835616438354</x:v>
      </x:c>
      <x:c r="J17" s="32" t="n">
        <x:f>J16/(1+I17)</x:f>
        <x:v>0.9355904518867035</x:v>
      </x:c>
      <x:c r="K17" s="33" t="n">
        <x:f>IF(AND(ISNUMBER('Параметры'!$C$8),'Параметры'!$C$8&gt;=0),'Параметры'!$C$8*C17/365,NA())</x:f>
        <x:v>0.0061643835616438354</x:v>
      </x:c>
      <x:c r="L17" s="32" t="n">
        <x:f>L16/(1+K17)</x:f>
        <x:v>0.9355904518867035</x:v>
      </x:c>
      <x:c r="M17" s="30" t="n">
        <x:f>E17*L17</x:f>
        <x:v>20795.415753608355</x:v>
      </x:c>
      <x:c r="N17" s="30" t="n">
        <x:f>F17*L17</x:f>
        <x:v>3532.9298848919757</x:v>
      </x:c>
      <x:c r="O17" s="30" t="n">
        <x:f>G17*L17</x:f>
        <x:v>24328.34563850033</x:v>
      </x:c>
    </x:row>
    <x:row r="18" ht="21" customHeight="1">
      <x:c r="A18" s="28" t="n">
        <x:v>12</x:v>
      </x:c>
      <x:c r="B18" s="29" t="n">
        <x:v>45160</x:v>
      </x:c>
      <x:c r="C18" s="28" t="n">
        <x:f>B18-B17</x:f>
        <x:v>31</x:v>
      </x:c>
      <x:c r="D18" s="30" t="n">
        <x:f>H17</x:f>
        <x:v>3601945.16</x:v>
      </x:c>
      <x:c r="E18" s="30" t="n">
        <x:f>ROUND(D18*I18,2)</x:f>
        <x:v>22943.9</x:v>
      </x:c>
      <x:c r="F18" s="30" t="n">
        <x:f>IF(G18&gt;=E18,ROUND(G18-E18,2),NA())</x:f>
        <x:v>3059.3</x:v>
      </x:c>
      <x:c r="G18" s="30" t="n">
        <x:f>MIN('Параметры'!$C$14,ROUND(D18+E18,2))</x:f>
        <x:v>26003.2</x:v>
      </x:c>
      <x:c r="H18" s="30" t="n">
        <x:f>ROUND(D18-F18,2)</x:f>
        <x:v>3598885.86</x:v>
      </x:c>
      <x:c r="I18" s="33" t="n">
        <x:f>IF(AND(ISNUMBER('Параметры'!$C$7),'Параметры'!$C$7&gt;=0),'Параметры'!$C$7*C18/365,NA())</x:f>
        <x:v>0.00636986301369863</x:v>
      </x:c>
      <x:c r="J18" s="32" t="n">
        <x:f>J17/(1+I18)</x:f>
        <x:v>0.9296685903182381</x:v>
      </x:c>
      <x:c r="K18" s="33" t="n">
        <x:f>IF(AND(ISNUMBER('Параметры'!$C$8),'Параметры'!$C$8&gt;=0),'Параметры'!$C$8*C18/365,NA())</x:f>
        <x:v>0.00636986301369863</x:v>
      </x:c>
      <x:c r="L18" s="32" t="n">
        <x:f>L17/(1+K18)</x:f>
        <x:v>0.9296685903182381</x:v>
      </x:c>
      <x:c r="M18" s="30" t="n">
        <x:f>E18*L18</x:f>
        <x:v>21330.223169402623</x:v>
      </x:c>
      <x:c r="N18" s="30" t="n">
        <x:f>F18*L18</x:f>
        <x:v>2844.135118360586</x:v>
      </x:c>
      <x:c r="O18" s="30" t="n">
        <x:f>G18*L18</x:f>
        <x:v>24174.35828776321</x:v>
      </x:c>
    </x:row>
    <x:row r="19" ht="21" customHeight="1">
      <x:c r="A19" s="28" t="n">
        <x:v>13</x:v>
      </x:c>
      <x:c r="B19" s="29" t="n">
        <x:v>45191</x:v>
      </x:c>
      <x:c r="C19" s="28" t="n">
        <x:f>B19-B18</x:f>
        <x:v>31</x:v>
      </x:c>
      <x:c r="D19" s="30" t="n">
        <x:f>H18</x:f>
        <x:v>3598885.86</x:v>
      </x:c>
      <x:c r="E19" s="30" t="n">
        <x:f>ROUND(D19*I19,2)</x:f>
        <x:v>22924.41</x:v>
      </x:c>
      <x:c r="F19" s="30" t="n">
        <x:f>IF(G19&gt;=E19,ROUND(G19-E19,2),NA())</x:f>
        <x:v>3078.79</x:v>
      </x:c>
      <x:c r="G19" s="30" t="n">
        <x:f>MIN('Параметры'!$C$14,ROUND(D19+E19,2))</x:f>
        <x:v>26003.2</x:v>
      </x:c>
      <x:c r="H19" s="30" t="n">
        <x:f>ROUND(D19-F19,2)</x:f>
        <x:v>3595807.07</x:v>
      </x:c>
      <x:c r="I19" s="33" t="n">
        <x:f>IF(AND(ISNUMBER('Параметры'!$C$7),'Параметры'!$C$7&gt;=0),'Параметры'!$C$7*C19/365,NA())</x:f>
        <x:v>0.00636986301369863</x:v>
      </x:c>
      <x:c r="J19" s="32" t="n">
        <x:f>J18/(1+I19)</x:f>
        <x:v>0.9237842114371658</x:v>
      </x:c>
      <x:c r="K19" s="33" t="n">
        <x:f>IF(AND(ISNUMBER('Параметры'!$C$8),'Параметры'!$C$8&gt;=0),'Параметры'!$C$8*C19/365,NA())</x:f>
        <x:v>0.00636986301369863</x:v>
      </x:c>
      <x:c r="L19" s="32" t="n">
        <x:f>L18/(1+K19)</x:f>
        <x:v>0.9237842114371658</x:v>
      </x:c>
      <x:c r="M19" s="30" t="n">
        <x:f>E19*L19</x:f>
        <x:v>21177.208014512278</x:v>
      </x:c>
      <x:c r="N19" s="30" t="n">
        <x:f>F19*L19</x:f>
        <x:v>2844.137592330632</x:v>
      </x:c>
      <x:c r="O19" s="30" t="n">
        <x:f>G19*L19</x:f>
        <x:v>24021.34560684291</x:v>
      </x:c>
    </x:row>
    <x:row r="20" ht="21" customHeight="1">
      <x:c r="A20" s="28" t="n">
        <x:v>14</x:v>
      </x:c>
      <x:c r="B20" s="29" t="n">
        <x:v>45221</x:v>
      </x:c>
      <x:c r="C20" s="28" t="n">
        <x:f>B20-B19</x:f>
        <x:v>30</x:v>
      </x:c>
      <x:c r="D20" s="30" t="n">
        <x:f>H19</x:f>
        <x:v>3595807.07</x:v>
      </x:c>
      <x:c r="E20" s="30" t="n">
        <x:f>ROUND(D20*I20,2)</x:f>
        <x:v>22165.93</x:v>
      </x:c>
      <x:c r="F20" s="30" t="n">
        <x:f>IF(G20&gt;=E20,ROUND(G20-E20,2),NA())</x:f>
        <x:v>3837.27</x:v>
      </x:c>
      <x:c r="G20" s="30" t="n">
        <x:f>MIN('Параметры'!$C$14,ROUND(D20+E20,2))</x:f>
        <x:v>26003.2</x:v>
      </x:c>
      <x:c r="H20" s="30" t="n">
        <x:f>ROUND(D20-F20,2)</x:f>
        <x:v>3591969.8</x:v>
      </x:c>
      <x:c r="I20" s="33" t="n">
        <x:f>IF(AND(ISNUMBER('Параметры'!$C$7),'Параметры'!$C$7&gt;=0),'Параметры'!$C$7*C20/365,NA())</x:f>
        <x:v>0.0061643835616438354</x:v>
      </x:c>
      <x:c r="J20" s="32" t="n">
        <x:f>J19/(1+I20)</x:f>
        <x:v>0.9181245396176052</x:v>
      </x:c>
      <x:c r="K20" s="33" t="n">
        <x:f>IF(AND(ISNUMBER('Параметры'!$C$8),'Параметры'!$C$8&gt;=0),'Параметры'!$C$8*C20/365,NA())</x:f>
        <x:v>0.0061643835616438354</x:v>
      </x:c>
      <x:c r="L20" s="32" t="n">
        <x:f>L19/(1+K20)</x:f>
        <x:v>0.9181245396176052</x:v>
      </x:c>
      <x:c r="M20" s="30" t="n">
        <x:f>E20*L20</x:f>
        <x:v>20351.084276446065</x:v>
      </x:c>
      <x:c r="N20" s="30" t="n">
        <x:f>F20*L20</x:f>
        <x:v>3523.091752138448</x:v>
      </x:c>
      <x:c r="O20" s="30" t="n">
        <x:f>G20*L20</x:f>
        <x:v>23874.176028584512</x:v>
      </x:c>
    </x:row>
    <x:row r="21" ht="21" customHeight="1">
      <x:c r="A21" s="28" t="n">
        <x:v>15</x:v>
      </x:c>
      <x:c r="B21" s="29" t="n">
        <x:v>45252</x:v>
      </x:c>
      <x:c r="C21" s="28" t="n">
        <x:f>B21-B20</x:f>
        <x:v>31</x:v>
      </x:c>
      <x:c r="D21" s="30" t="n">
        <x:f>H20</x:f>
        <x:v>3591969.8</x:v>
      </x:c>
      <x:c r="E21" s="30" t="n">
        <x:f>ROUND(D21*I21,2)</x:f>
        <x:v>22880.36</x:v>
      </x:c>
      <x:c r="F21" s="30" t="n">
        <x:f>IF(G21&gt;=E21,ROUND(G21-E21,2),NA())</x:f>
        <x:v>3122.84</x:v>
      </x:c>
      <x:c r="G21" s="30" t="n">
        <x:f>MIN('Параметры'!$C$14,ROUND(D21+E21,2))</x:f>
        <x:v>26003.2</x:v>
      </x:c>
      <x:c r="H21" s="30" t="n">
        <x:f>ROUND(D21-F21,2)</x:f>
        <x:v>3588846.96</x:v>
      </x:c>
      <x:c r="I21" s="33" t="n">
        <x:f>IF(AND(ISNUMBER('Параметры'!$C$7),'Параметры'!$C$7&gt;=0),'Параметры'!$C$7*C21/365,NA())</x:f>
        <x:v>0.00636986301369863</x:v>
      </x:c>
      <x:c r="J21" s="32" t="n">
        <x:f>J20/(1+I21)</x:f>
        <x:v>0.9123132293212439</x:v>
      </x:c>
      <x:c r="K21" s="33" t="n">
        <x:f>IF(AND(ISNUMBER('Параметры'!$C$8),'Параметры'!$C$8&gt;=0),'Параметры'!$C$8*C21/365,NA())</x:f>
        <x:v>0.00636986301369863</x:v>
      </x:c>
      <x:c r="L21" s="32" t="n">
        <x:f>L20/(1+K21)</x:f>
        <x:v>0.9123132293212439</x:v>
      </x:c>
      <x:c r="M21" s="30" t="n">
        <x:f>E21*L21</x:f>
        <x:v>20874.055119632616</x:v>
      </x:c>
      <x:c r="N21" s="30" t="n">
        <x:f>F21*L21</x:f>
        <x:v>2849.0082450535533</x:v>
      </x:c>
      <x:c r="O21" s="30" t="n">
        <x:f>G21*L21</x:f>
        <x:v>23723.06336468617</x:v>
      </x:c>
    </x:row>
    <x:row r="22" ht="21" customHeight="1">
      <x:c r="A22" s="28" t="n">
        <x:v>16</x:v>
      </x:c>
      <x:c r="B22" s="29" t="n">
        <x:v>45282</x:v>
      </x:c>
      <x:c r="C22" s="28" t="n">
        <x:f>B22-B21</x:f>
        <x:v>30</x:v>
      </x:c>
      <x:c r="D22" s="30" t="n">
        <x:f>H21</x:f>
        <x:v>3588846.96</x:v>
      </x:c>
      <x:c r="E22" s="30" t="n">
        <x:f>ROUND(D22*I22,2)</x:f>
        <x:v>22123.03</x:v>
      </x:c>
      <x:c r="F22" s="30" t="n">
        <x:f>IF(G22&gt;=E22,ROUND(G22-E22,2),NA())</x:f>
        <x:v>3880.17</x:v>
      </x:c>
      <x:c r="G22" s="30" t="n">
        <x:f>MIN('Параметры'!$C$14,ROUND(D22+E22,2))</x:f>
        <x:v>26003.2</x:v>
      </x:c>
      <x:c r="H22" s="30" t="n">
        <x:f>ROUND(D22-F22,2)</x:f>
        <x:v>3584966.79</x:v>
      </x:c>
      <x:c r="I22" s="33" t="n">
        <x:f>IF(AND(ISNUMBER('Параметры'!$C$7),'Параметры'!$C$7&gt;=0),'Параметры'!$C$7*C22/365,NA())</x:f>
        <x:v>0.0061643835616438354</x:v>
      </x:c>
      <x:c r="J22" s="32" t="n">
        <x:f>J21/(1+I22)</x:f>
        <x:v>0.9067238358128088</x:v>
      </x:c>
      <x:c r="K22" s="33" t="n">
        <x:f>IF(AND(ISNUMBER('Параметры'!$C$8),'Параметры'!$C$8&gt;=0),'Параметры'!$C$8*C22/365,NA())</x:f>
        <x:v>0.0061643835616438354</x:v>
      </x:c>
      <x:c r="L22" s="32" t="n">
        <x:f>L21/(1+K22)</x:f>
        <x:v>0.9067238358128088</x:v>
      </x:c>
      <x:c r="M22" s="30" t="n">
        <x:f>E22*L22</x:f>
        <x:v>20059.478621401842</x:v>
      </x:c>
      <x:c r="N22" s="30" t="n">
        <x:f>F22*L22</x:f>
        <x:v>3518.2426260057864</x:v>
      </x:c>
      <x:c r="O22" s="30" t="n">
        <x:f>G22*L22</x:f>
        <x:v>23577.72124740763</x:v>
      </x:c>
    </x:row>
    <x:row r="23" ht="21" customHeight="1">
      <x:c r="A23" s="28" t="n">
        <x:v>17</x:v>
      </x:c>
      <x:c r="B23" s="29" t="n">
        <x:v>45313</x:v>
      </x:c>
      <x:c r="C23" s="28" t="n">
        <x:f>B23-B22</x:f>
        <x:v>31</x:v>
      </x:c>
      <x:c r="D23" s="30" t="n">
        <x:f>H22</x:f>
        <x:v>3584966.79</x:v>
      </x:c>
      <x:c r="E23" s="30" t="n">
        <x:f>ROUND(D23*I23,2)</x:f>
        <x:v>22835.75</x:v>
      </x:c>
      <x:c r="F23" s="30" t="n">
        <x:f>IF(G23&gt;=E23,ROUND(G23-E23,2),NA())</x:f>
        <x:v>3167.45</x:v>
      </x:c>
      <x:c r="G23" s="30" t="n">
        <x:f>MIN('Параметры'!$C$14,ROUND(D23+E23,2))</x:f>
        <x:v>26003.2</x:v>
      </x:c>
      <x:c r="H23" s="30" t="n">
        <x:f>ROUND(D23-F23,2)</x:f>
        <x:v>3581799.34</x:v>
      </x:c>
      <x:c r="I23" s="33" t="n">
        <x:f>IF(AND(ISNUMBER('Параметры'!$C$7),'Параметры'!$C$7&gt;=0),'Параметры'!$C$7*C23/365,NA())</x:f>
        <x:v>0.00636986301369863</x:v>
      </x:c>
      <x:c r="J23" s="32" t="n">
        <x:f>J22/(1+I23)</x:f>
        <x:v>0.9009846867805764</x:v>
      </x:c>
      <x:c r="K23" s="33" t="n">
        <x:f>IF(AND(ISNUMBER('Параметры'!$C$8),'Параметры'!$C$8&gt;=0),'Параметры'!$C$8*C23/365,NA())</x:f>
        <x:v>0.00636986301369863</x:v>
      </x:c>
      <x:c r="L23" s="32" t="n">
        <x:f>L22/(1+K23)</x:f>
        <x:v>0.9009846867805764</x:v>
      </x:c>
      <x:c r="M23" s="30" t="n">
        <x:f>E23*L23</x:f>
        <x:v>20574.66106114955</x:v>
      </x:c>
      <x:c r="N23" s="30" t="n">
        <x:f>F23*L23</x:f>
        <x:v>2853.8239461431367</x:v>
      </x:c>
      <x:c r="O23" s="30" t="n">
        <x:f>G23*L23</x:f>
        <x:v>23428.485007292686</x:v>
      </x:c>
    </x:row>
    <x:row r="24" ht="21" customHeight="1">
      <x:c r="A24" s="28" t="n">
        <x:v>18</x:v>
      </x:c>
      <x:c r="B24" s="29" t="n">
        <x:v>45344</x:v>
      </x:c>
      <x:c r="C24" s="28" t="n">
        <x:f>B24-B23</x:f>
        <x:v>31</x:v>
      </x:c>
      <x:c r="D24" s="30" t="n">
        <x:f>H23</x:f>
        <x:v>3581799.34</x:v>
      </x:c>
      <x:c r="E24" s="30" t="n">
        <x:f>ROUND(D24*I24,2)</x:f>
        <x:v>22815.57</x:v>
      </x:c>
      <x:c r="F24" s="30" t="n">
        <x:f>IF(G24&gt;=E24,ROUND(G24-E24,2),NA())</x:f>
        <x:v>3187.63</x:v>
      </x:c>
      <x:c r="G24" s="30" t="n">
        <x:f>MIN('Параметры'!$C$14,ROUND(D24+E24,2))</x:f>
        <x:v>26003.2</x:v>
      </x:c>
      <x:c r="H24" s="30" t="n">
        <x:f>ROUND(D24-F24,2)</x:f>
        <x:v>3578611.71</x:v>
      </x:c>
      <x:c r="I24" s="33" t="n">
        <x:f>IF(AND(ISNUMBER('Параметры'!$C$7),'Параметры'!$C$7&gt;=0),'Параметры'!$C$7*C24/365,NA())</x:f>
        <x:v>0.00636986301369863</x:v>
      </x:c>
      <x:c r="J24" s="32" t="n">
        <x:f>J23/(1+I24)</x:f>
        <x:v>0.8952818639485752</x:v>
      </x:c>
      <x:c r="K24" s="33" t="n">
        <x:f>IF(AND(ISNUMBER('Параметры'!$C$8),'Параметры'!$C$8&gt;=0),'Параметры'!$C$8*C24/365,NA())</x:f>
        <x:v>0.00636986301369863</x:v>
      </x:c>
      <x:c r="L24" s="32" t="n">
        <x:f>L23/(1+K24)</x:f>
        <x:v>0.8952818639485752</x:v>
      </x:c>
      <x:c r="M24" s="30" t="n">
        <x:f>E24*L24</x:f>
        <x:v>20426.366036649193</x:v>
      </x:c>
      <x:c r="N24" s="30" t="n">
        <x:f>F24*L24</x:f>
        <x:v>2853.827327978397</x:v>
      </x:c>
      <x:c r="O24" s="30" t="n">
        <x:f>G24*L24</x:f>
        <x:v>23280.193364627594</x:v>
      </x:c>
    </x:row>
    <x:row r="25" ht="21" customHeight="1">
      <x:c r="A25" s="28" t="n">
        <x:v>19</x:v>
      </x:c>
      <x:c r="B25" s="29" t="n">
        <x:v>45373</x:v>
      </x:c>
      <x:c r="C25" s="28" t="n">
        <x:f>B25-B24</x:f>
        <x:v>29</x:v>
      </x:c>
      <x:c r="D25" s="30" t="n">
        <x:f>H24</x:f>
        <x:v>3578611.71</x:v>
      </x:c>
      <x:c r="E25" s="30" t="n">
        <x:f>ROUND(D25*I25,2)</x:f>
        <x:v>21324.6</x:v>
      </x:c>
      <x:c r="F25" s="30" t="n">
        <x:f>IF(G25&gt;=E25,ROUND(G25-E25,2),NA())</x:f>
        <x:v>4678.6</x:v>
      </x:c>
      <x:c r="G25" s="30" t="n">
        <x:f>MIN('Параметры'!$C$14,ROUND(D25+E25,2))</x:f>
        <x:v>26003.2</x:v>
      </x:c>
      <x:c r="H25" s="30" t="n">
        <x:f>ROUND(D25-F25,2)</x:f>
        <x:v>3573933.11</x:v>
      </x:c>
      <x:c r="I25" s="33" t="n">
        <x:f>IF(AND(ISNUMBER('Параметры'!$C$7),'Параметры'!$C$7&gt;=0),'Параметры'!$C$7*C25/365,NA())</x:f>
        <x:v>0.00595890410958904</x:v>
      </x:c>
      <x:c r="J25" s="32" t="n">
        <x:f>J24/(1+I25)</x:f>
        <x:v>0.8899785670081839</x:v>
      </x:c>
      <x:c r="K25" s="33" t="n">
        <x:f>IF(AND(ISNUMBER('Параметры'!$C$8),'Параметры'!$C$8&gt;=0),'Параметры'!$C$8*C25/365,NA())</x:f>
        <x:v>0.00595890410958904</x:v>
      </x:c>
      <x:c r="L25" s="32" t="n">
        <x:f>L24/(1+K25)</x:f>
        <x:v>0.8899785670081839</x:v>
      </x:c>
      <x:c r="M25" s="30" t="n">
        <x:f>E25*L25</x:f>
        <x:v>18978.43695002272</x:v>
      </x:c>
      <x:c r="N25" s="30" t="n">
        <x:f>F25*L25</x:f>
        <x:v>4163.8537236044895</x:v>
      </x:c>
      <x:c r="O25" s="30" t="n">
        <x:f>G25*L25</x:f>
        <x:v>23142.29067362721</x:v>
      </x:c>
    </x:row>
    <x:row r="26" ht="21" customHeight="1">
      <x:c r="A26" s="28" t="n">
        <x:v>20</x:v>
      </x:c>
      <x:c r="B26" s="29" t="n">
        <x:v>45404</x:v>
      </x:c>
      <x:c r="C26" s="28" t="n">
        <x:f>B26-B25</x:f>
        <x:v>31</x:v>
      </x:c>
      <x:c r="D26" s="30" t="n">
        <x:f>H25</x:f>
        <x:v>3573933.11</x:v>
      </x:c>
      <x:c r="E26" s="30" t="n">
        <x:f>ROUND(D26*I26,2)</x:f>
        <x:v>22765.46</x:v>
      </x:c>
      <x:c r="F26" s="30" t="n">
        <x:f>IF(G26&gt;=E26,ROUND(G26-E26,2),NA())</x:f>
        <x:v>3237.74</x:v>
      </x:c>
      <x:c r="G26" s="30" t="n">
        <x:f>MIN('Параметры'!$C$14,ROUND(D26+E26,2))</x:f>
        <x:v>26003.2</x:v>
      </x:c>
      <x:c r="H26" s="30" t="n">
        <x:f>ROUND(D26-F26,2)</x:f>
        <x:v>3570695.37</x:v>
      </x:c>
      <x:c r="I26" s="33" t="n">
        <x:f>IF(AND(ISNUMBER('Параметры'!$C$7),'Параметры'!$C$7&gt;=0),'Параметры'!$C$7*C26/365,NA())</x:f>
        <x:v>0.00636986301369863</x:v>
      </x:c>
      <x:c r="J26" s="32" t="n">
        <x:f>J25/(1+I26)</x:f>
        <x:v>0.884345407903048</x:v>
      </x:c>
      <x:c r="K26" s="33" t="n">
        <x:f>IF(AND(ISNUMBER('Параметры'!$C$8),'Параметры'!$C$8&gt;=0),'Параметры'!$C$8*C26/365,NA())</x:f>
        <x:v>0.00636986301369863</x:v>
      </x:c>
      <x:c r="L26" s="32" t="n">
        <x:f>L25/(1+K26)</x:f>
        <x:v>0.884345407903048</x:v>
      </x:c>
      <x:c r="M26" s="30" t="n">
        <x:f>E26*L26</x:f>
        <x:v>20132.530009800525</x:v>
      </x:c>
      <x:c r="N26" s="30" t="n">
        <x:f>F26*L26</x:f>
        <x:v>2863.2805009840145</x:v>
      </x:c>
      <x:c r="O26" s="30" t="n">
        <x:f>G26*L26</x:f>
        <x:v>22995.81051078454</x:v>
      </x:c>
    </x:row>
    <x:row r="27" ht="21" customHeight="1">
      <x:c r="A27" s="28" t="n">
        <x:v>21</x:v>
      </x:c>
      <x:c r="B27" s="29" t="n">
        <x:v>45434</x:v>
      </x:c>
      <x:c r="C27" s="28" t="n">
        <x:f>B27-B26</x:f>
        <x:v>30</x:v>
      </x:c>
      <x:c r="D27" s="30" t="n">
        <x:f>H26</x:f>
        <x:v>3570695.37</x:v>
      </x:c>
      <x:c r="E27" s="30" t="n">
        <x:f>ROUND(D27*I27,2)</x:f>
        <x:v>22011.14</x:v>
      </x:c>
      <x:c r="F27" s="30" t="n">
        <x:f>IF(G27&gt;=E27,ROUND(G27-E27,2),NA())</x:f>
        <x:v>3992.06</x:v>
      </x:c>
      <x:c r="G27" s="30" t="n">
        <x:f>MIN('Параметры'!$C$14,ROUND(D27+E27,2))</x:f>
        <x:v>26003.2</x:v>
      </x:c>
      <x:c r="H27" s="30" t="n">
        <x:f>ROUND(D27-F27,2)</x:f>
        <x:v>3566703.31</x:v>
      </x:c>
      <x:c r="I27" s="33" t="n">
        <x:f>IF(AND(ISNUMBER('Параметры'!$C$7),'Параметры'!$C$7&gt;=0),'Параметры'!$C$7*C27/365,NA())</x:f>
        <x:v>0.0061643835616438354</x:v>
      </x:c>
      <x:c r="J27" s="32" t="n">
        <x:f>J26/(1+I27)</x:f>
        <x:v>0.8789273625176652</x:v>
      </x:c>
      <x:c r="K27" s="33" t="n">
        <x:f>IF(AND(ISNUMBER('Параметры'!$C$8),'Параметры'!$C$8&gt;=0),'Параметры'!$C$8*C27/365,NA())</x:f>
        <x:v>0.0061643835616438354</x:v>
      </x:c>
      <x:c r="L27" s="32" t="n">
        <x:f>L26/(1+K27)</x:f>
        <x:v>0.8789273625176652</x:v>
      </x:c>
      <x:c r="M27" s="30" t="n">
        <x:f>E27*L27</x:f>
        <x:v>19346.19322620708</x:v>
      </x:c>
      <x:c r="N27" s="30" t="n">
        <x:f>F27*L27</x:f>
        <x:v>3508.7307668122708</x:v>
      </x:c>
      <x:c r="O27" s="30" t="n">
        <x:f>G27*L27</x:f>
        <x:v>22854.923993019354</x:v>
      </x:c>
    </x:row>
    <x:row r="28" ht="21" customHeight="1">
      <x:c r="A28" s="28" t="n">
        <x:v>22</x:v>
      </x:c>
      <x:c r="B28" s="29" t="n">
        <x:v>45465</x:v>
      </x:c>
      <x:c r="C28" s="28" t="n">
        <x:f>B28-B27</x:f>
        <x:v>31</x:v>
      </x:c>
      <x:c r="D28" s="30" t="n">
        <x:f>H27</x:f>
        <x:v>3566703.31</x:v>
      </x:c>
      <x:c r="E28" s="30" t="n">
        <x:f>ROUND(D28*I28,2)</x:f>
        <x:v>22719.41</x:v>
      </x:c>
      <x:c r="F28" s="30" t="n">
        <x:f>IF(G28&gt;=E28,ROUND(G28-E28,2),NA())</x:f>
        <x:v>3283.79</x:v>
      </x:c>
      <x:c r="G28" s="30" t="n">
        <x:f>MIN('Параметры'!$C$14,ROUND(D28+E28,2))</x:f>
        <x:v>26003.2</x:v>
      </x:c>
      <x:c r="H28" s="30" t="n">
        <x:f>ROUND(D28-F28,2)</x:f>
        <x:v>3563419.52</x:v>
      </x:c>
      <x:c r="I28" s="33" t="n">
        <x:f>IF(AND(ISNUMBER('Параметры'!$C$7),'Параметры'!$C$7&gt;=0),'Параметры'!$C$7*C28/365,NA())</x:f>
        <x:v>0.00636986301369863</x:v>
      </x:c>
      <x:c r="J28" s="32" t="n">
        <x:f>J27/(1+I28)</x:f>
        <x:v>0.8733641525051326</x:v>
      </x:c>
      <x:c r="K28" s="33" t="n">
        <x:f>IF(AND(ISNUMBER('Параметры'!$C$8),'Параметры'!$C$8&gt;=0),'Параметры'!$C$8*C28/365,NA())</x:f>
        <x:v>0.00636986301369863</x:v>
      </x:c>
      <x:c r="L28" s="32" t="n">
        <x:f>L27/(1+K28)</x:f>
        <x:v>0.8733641525051326</x:v>
      </x:c>
      <x:c r="M28" s="30" t="n">
        <x:f>E28*L28</x:f>
        <x:v>19842.318260066633</x:v>
      </x:c>
      <x:c r="N28" s="30" t="n">
        <x:f>F28*L28</x:f>
        <x:v>2867.9444703548293</x:v>
      </x:c>
      <x:c r="O28" s="30" t="n">
        <x:f>G28*L28</x:f>
        <x:v>22710.262730421462</x:v>
      </x:c>
    </x:row>
    <x:row r="29" ht="21" customHeight="1">
      <x:c r="A29" s="28" t="n">
        <x:v>23</x:v>
      </x:c>
      <x:c r="B29" s="29" t="n">
        <x:v>45495</x:v>
      </x:c>
      <x:c r="C29" s="28" t="n">
        <x:f>B29-B28</x:f>
        <x:v>30</x:v>
      </x:c>
      <x:c r="D29" s="30" t="n">
        <x:f>H28</x:f>
        <x:v>3563419.52</x:v>
      </x:c>
      <x:c r="E29" s="30" t="n">
        <x:f>ROUND(D29*I29,2)</x:f>
        <x:v>21966.28</x:v>
      </x:c>
      <x:c r="F29" s="30" t="n">
        <x:f>IF(G29&gt;=E29,ROUND(G29-E29,2),NA())</x:f>
        <x:v>4036.92</x:v>
      </x:c>
      <x:c r="G29" s="30" t="n">
        <x:f>MIN('Параметры'!$C$14,ROUND(D29+E29,2))</x:f>
        <x:v>26003.2</x:v>
      </x:c>
      <x:c r="H29" s="30" t="n">
        <x:f>ROUND(D29-F29,2)</x:f>
        <x:v>3559382.6</x:v>
      </x:c>
      <x:c r="I29" s="33" t="n">
        <x:f>IF(AND(ISNUMBER('Параметры'!$C$7),'Параметры'!$C$7&gt;=0),'Параметры'!$C$7*C29/365,NA())</x:f>
        <x:v>0.0061643835616438354</x:v>
      </x:c>
      <x:c r="J29" s="32" t="n">
        <x:f>J28/(1+I29)</x:f>
        <x:v>0.8680133850629635</x:v>
      </x:c>
      <x:c r="K29" s="33" t="n">
        <x:f>IF(AND(ISNUMBER('Параметры'!$C$8),'Параметры'!$C$8&gt;=0),'Параметры'!$C$8*C29/365,NA())</x:f>
        <x:v>0.0061643835616438354</x:v>
      </x:c>
      <x:c r="L29" s="32" t="n">
        <x:f>L28/(1+K29)</x:f>
        <x:v>0.8680133850629635</x:v>
      </x:c>
      <x:c r="M29" s="30" t="n">
        <x:f>E29*L29</x:f>
        <x:v>19067.025060040873</x:v>
      </x:c>
      <x:c r="N29" s="30" t="n">
        <x:f>F29*L29</x:f>
        <x:v>3504.100594428379</x:v>
      </x:c>
      <x:c r="O29" s="30" t="n">
        <x:f>G29*L29</x:f>
        <x:v>22571.125654469255</x:v>
      </x:c>
    </x:row>
    <x:row r="30" ht="21" customHeight="1">
      <x:c r="A30" s="28" t="n">
        <x:v>24</x:v>
      </x:c>
      <x:c r="B30" s="29" t="n">
        <x:v>45526</x:v>
      </x:c>
      <x:c r="C30" s="28" t="n">
        <x:f>B30-B29</x:f>
        <x:v>31</x:v>
      </x:c>
      <x:c r="D30" s="30" t="n">
        <x:f>H29</x:f>
        <x:v>3559382.6</x:v>
      </x:c>
      <x:c r="E30" s="30" t="n">
        <x:f>ROUND(D30*I30,2)</x:f>
        <x:v>22672.78</x:v>
      </x:c>
      <x:c r="F30" s="30" t="n">
        <x:f>IF(G30&gt;=E30,ROUND(G30-E30,2),NA())</x:f>
        <x:v>3330.42</x:v>
      </x:c>
      <x:c r="G30" s="30" t="n">
        <x:f>MIN('Параметры'!$C$14,ROUND(D30+E30,2))</x:f>
        <x:v>26003.2</x:v>
      </x:c>
      <x:c r="H30" s="30" t="n">
        <x:f>ROUND(D30-F30,2)</x:f>
        <x:v>3556052.18</x:v>
      </x:c>
      <x:c r="I30" s="33" t="n">
        <x:f>IF(AND(ISNUMBER('Параметры'!$C$7),'Параметры'!$C$7&gt;=0),'Параметры'!$C$7*C30/365,NA())</x:f>
        <x:v>0.00636986301369863</x:v>
      </x:c>
      <x:c r="J30" s="32" t="n">
        <x:f>J29/(1+I30)</x:f>
        <x:v>0.8625192555583794</x:v>
      </x:c>
      <x:c r="K30" s="33" t="n">
        <x:f>IF(AND(ISNUMBER('Параметры'!$C$8),'Параметры'!$C$8&gt;=0),'Параметры'!$C$8*C30/365,NA())</x:f>
        <x:v>0.00636986301369863</x:v>
      </x:c>
      <x:c r="L30" s="32" t="n">
        <x:f>L29/(1+K30)</x:f>
        <x:v>0.8625192555583794</x:v>
      </x:c>
      <x:c r="M30" s="30" t="n">
        <x:f>E30*L30</x:f>
        <x:v>19555.709327038912</x:v>
      </x:c>
      <x:c r="N30" s="30" t="n">
        <x:f>F30*L30</x:f>
        <x:v>2872.551379096738</x:v>
      </x:c>
      <x:c r="O30" s="30" t="n">
        <x:f>G30*L30</x:f>
        <x:v>22428.26070613565</x:v>
      </x:c>
    </x:row>
    <x:row r="31" ht="21" customHeight="1">
      <x:c r="A31" s="28" t="n">
        <x:v>25</x:v>
      </x:c>
      <x:c r="B31" s="29" t="n">
        <x:v>45557</x:v>
      </x:c>
      <x:c r="C31" s="28" t="n">
        <x:f>B31-B30</x:f>
        <x:v>31</x:v>
      </x:c>
      <x:c r="D31" s="30" t="n">
        <x:f>H30</x:f>
        <x:v>3556052.18</x:v>
      </x:c>
      <x:c r="E31" s="30" t="n">
        <x:f>ROUND(D31*I31,2)</x:f>
        <x:v>22651.57</x:v>
      </x:c>
      <x:c r="F31" s="30" t="n">
        <x:f>IF(G31&gt;=E31,ROUND(G31-E31,2),NA())</x:f>
        <x:v>3351.63</x:v>
      </x:c>
      <x:c r="G31" s="30" t="n">
        <x:f>MIN('Параметры'!$C$14,ROUND(D31+E31,2))</x:f>
        <x:v>26003.2</x:v>
      </x:c>
      <x:c r="H31" s="30" t="n">
        <x:f>ROUND(D31-F31,2)</x:f>
        <x:v>3552700.55</x:v>
      </x:c>
      <x:c r="I31" s="33" t="n">
        <x:f>IF(AND(ISNUMBER('Параметры'!$C$7),'Параметры'!$C$7&gt;=0),'Параметры'!$C$7*C31/365,NA())</x:f>
        <x:v>0.00636986301369863</x:v>
      </x:c>
      <x:c r="J31" s="32" t="n">
        <x:f>J30/(1+I31)</x:f>
        <x:v>0.8570599013919785</x:v>
      </x:c>
      <x:c r="K31" s="33" t="n">
        <x:f>IF(AND(ISNUMBER('Параметры'!$C$8),'Параметры'!$C$8&gt;=0),'Параметры'!$C$8*C31/365,NA())</x:f>
        <x:v>0.00636986301369863</x:v>
      </x:c>
      <x:c r="L31" s="32" t="n">
        <x:f>L30/(1+K31)</x:f>
        <x:v>0.8570599013919785</x:v>
      </x:c>
      <x:c r="M31" s="30" t="n">
        <x:f>E31*L31</x:f>
        <x:v>19413.752350573497</x:v>
      </x:c>
      <x:c r="N31" s="30" t="n">
        <x:f>F31*L31</x:f>
        <x:v>2872.547677302397</x:v>
      </x:c>
      <x:c r="O31" s="30" t="n">
        <x:f>G31*L31</x:f>
        <x:v>22286.300027875895</x:v>
      </x:c>
    </x:row>
    <x:row r="32" ht="21" customHeight="1">
      <x:c r="A32" s="28" t="n">
        <x:v>26</x:v>
      </x:c>
      <x:c r="B32" s="29" t="n">
        <x:v>45587</x:v>
      </x:c>
      <x:c r="C32" s="28" t="n">
        <x:f>B32-B31</x:f>
        <x:v>30</x:v>
      </x:c>
      <x:c r="D32" s="30" t="n">
        <x:f>H31</x:f>
        <x:v>3552700.55</x:v>
      </x:c>
      <x:c r="E32" s="30" t="n">
        <x:f>ROUND(D32*I32,2)</x:f>
        <x:v>21900.21</x:v>
      </x:c>
      <x:c r="F32" s="30" t="n">
        <x:f>IF(G32&gt;=E32,ROUND(G32-E32,2),NA())</x:f>
        <x:v>4102.99</x:v>
      </x:c>
      <x:c r="G32" s="30" t="n">
        <x:f>MIN('Параметры'!$C$14,ROUND(D32+E32,2))</x:f>
        <x:v>26003.2</x:v>
      </x:c>
      <x:c r="H32" s="30" t="n">
        <x:f>ROUND(D32-F32,2)</x:f>
        <x:v>3548597.56</x:v>
      </x:c>
      <x:c r="I32" s="33" t="n">
        <x:f>IF(AND(ISNUMBER('Параметры'!$C$7),'Параметры'!$C$7&gt;=0),'Параметры'!$C$7*C32/365,NA())</x:f>
        <x:v>0.0061643835616438354</x:v>
      </x:c>
      <x:c r="J32" s="32" t="n">
        <x:f>J31/(1+I32)</x:f>
        <x:v>0.8518090238477118</x:v>
      </x:c>
      <x:c r="K32" s="33" t="n">
        <x:f>IF(AND(ISNUMBER('Параметры'!$C$8),'Параметры'!$C$8&gt;=0),'Параметры'!$C$8*C32/365,NA())</x:f>
        <x:v>0.0061643835616438354</x:v>
      </x:c>
      <x:c r="L32" s="32" t="n">
        <x:f>L31/(1+K32)</x:f>
        <x:v>0.8518090238477118</x:v>
      </x:c>
      <x:c r="M32" s="30" t="n">
        <x:f>E32*L32</x:f>
        <x:v>18654.796502159897</x:v>
      </x:c>
      <x:c r="N32" s="30" t="n">
        <x:f>F32*L32</x:f>
        <x:v>3494.963906756923</x:v>
      </x:c>
      <x:c r="O32" s="30" t="n">
        <x:f>G32*L32</x:f>
        <x:v>22149.76040891682</x:v>
      </x:c>
    </x:row>
    <x:row r="33" ht="21" customHeight="1">
      <x:c r="A33" s="28" t="n">
        <x:v>27</x:v>
      </x:c>
      <x:c r="B33" s="29" t="n">
        <x:v>45618</x:v>
      </x:c>
      <x:c r="C33" s="28" t="n">
        <x:f>B33-B32</x:f>
        <x:v>31</x:v>
      </x:c>
      <x:c r="D33" s="30" t="n">
        <x:f>H32</x:f>
        <x:v>3548597.56</x:v>
      </x:c>
      <x:c r="E33" s="30" t="n">
        <x:f>ROUND(D33*I33,2)</x:f>
        <x:v>22604.08</x:v>
      </x:c>
      <x:c r="F33" s="30" t="n">
        <x:f>IF(G33&gt;=E33,ROUND(G33-E33,2),NA())</x:f>
        <x:v>3399.12</x:v>
      </x:c>
      <x:c r="G33" s="30" t="n">
        <x:f>MIN('Параметры'!$C$14,ROUND(D33+E33,2))</x:f>
        <x:v>26003.2</x:v>
      </x:c>
      <x:c r="H33" s="30" t="n">
        <x:f>ROUND(D33-F33,2)</x:f>
        <x:v>3545198.44</x:v>
      </x:c>
      <x:c r="I33" s="33" t="n">
        <x:f>IF(AND(ISNUMBER('Параметры'!$C$7),'Параметры'!$C$7&gt;=0),'Параметры'!$C$7*C33/365,NA())</x:f>
        <x:v>0.00636986301369863</x:v>
      </x:c>
      <x:c r="J33" s="32" t="n">
        <x:f>J32/(1+I33)</x:f>
        <x:v>0.8464174605714689</x:v>
      </x:c>
      <x:c r="K33" s="33" t="n">
        <x:f>IF(AND(ISNUMBER('Параметры'!$C$8),'Параметры'!$C$8&gt;=0),'Параметры'!$C$8*C33/365,NA())</x:f>
        <x:v>0.00636986301369863</x:v>
      </x:c>
      <x:c r="L33" s="32" t="n">
        <x:f>L32/(1+K33)</x:f>
        <x:v>0.8464174605714689</x:v>
      </x:c>
      <x:c r="M33" s="30" t="n">
        <x:f>E33*L33</x:f>
        <x:v>19132.487992154332</x:v>
      </x:c>
      <x:c r="N33" s="30" t="n">
        <x:f>F33*L33</x:f>
        <x:v>2877.0745185776914</x:v>
      </x:c>
      <x:c r="O33" s="30" t="n">
        <x:f>G33*L33</x:f>
        <x:v>22009.562510732023</x:v>
      </x:c>
    </x:row>
    <x:row r="34" ht="21" customHeight="1">
      <x:c r="A34" s="28" t="n">
        <x:v>28</x:v>
      </x:c>
      <x:c r="B34" s="29" t="n">
        <x:v>45648</x:v>
      </x:c>
      <x:c r="C34" s="28" t="n">
        <x:f>B34-B33</x:f>
        <x:v>30</x:v>
      </x:c>
      <x:c r="D34" s="30" t="n">
        <x:f>H33</x:f>
        <x:v>3545198.44</x:v>
      </x:c>
      <x:c r="E34" s="30" t="n">
        <x:f>ROUND(D34*I34,2)</x:f>
        <x:v>21853.96</x:v>
      </x:c>
      <x:c r="F34" s="30" t="n">
        <x:f>IF(G34&gt;=E34,ROUND(G34-E34,2),NA())</x:f>
        <x:v>4149.24</x:v>
      </x:c>
      <x:c r="G34" s="30" t="n">
        <x:f>MIN('Параметры'!$C$14,ROUND(D34+E34,2))</x:f>
        <x:v>26003.2</x:v>
      </x:c>
      <x:c r="H34" s="30" t="n">
        <x:f>ROUND(D34-F34,2)</x:f>
        <x:v>3541049.2</x:v>
      </x:c>
      <x:c r="I34" s="33" t="n">
        <x:f>IF(AND(ISNUMBER('Параметры'!$C$7),'Параметры'!$C$7&gt;=0),'Параметры'!$C$7*C34/365,NA())</x:f>
        <x:v>0.0061643835616438354</x:v>
      </x:c>
      <x:c r="J34" s="32" t="n">
        <x:f>J33/(1+I34)</x:f>
        <x:v>0.8412317851833524</x:v>
      </x:c>
      <x:c r="K34" s="33" t="n">
        <x:f>IF(AND(ISNUMBER('Параметры'!$C$8),'Параметры'!$C$8&gt;=0),'Параметры'!$C$8*C34/365,NA())</x:f>
        <x:v>0.0061643835616438354</x:v>
      </x:c>
      <x:c r="L34" s="32" t="n">
        <x:f>L33/(1+K34)</x:f>
        <x:v>0.8412317851833524</x:v>
      </x:c>
      <x:c r="M34" s="30" t="n">
        <x:f>E34*L34</x:f>
        <x:v>18384.245784125575</x:v>
      </x:c>
      <x:c r="N34" s="30" t="n">
        <x:f>F34*L34</x:f>
        <x:v>3490.472572354173</x:v>
      </x:c>
      <x:c r="O34" s="30" t="n">
        <x:f>G34*L34</x:f>
        <x:v>21874.71835647975</x:v>
      </x:c>
    </x:row>
    <x:row r="35" ht="21" customHeight="1">
      <x:c r="A35" s="28" t="n">
        <x:v>29</x:v>
      </x:c>
      <x:c r="B35" s="29" t="n">
        <x:v>45679</x:v>
      </x:c>
      <x:c r="C35" s="28" t="n">
        <x:f>B35-B34</x:f>
        <x:v>31</x:v>
      </x:c>
      <x:c r="D35" s="30" t="n">
        <x:f>H34</x:f>
        <x:v>3541049.2</x:v>
      </x:c>
      <x:c r="E35" s="30" t="n">
        <x:f>ROUND(D35*I35,2)</x:f>
        <x:v>22556</x:v>
      </x:c>
      <x:c r="F35" s="30" t="n">
        <x:f>IF(G35&gt;=E35,ROUND(G35-E35,2),NA())</x:f>
        <x:v>3447.2</x:v>
      </x:c>
      <x:c r="G35" s="30" t="n">
        <x:f>MIN('Параметры'!$C$14,ROUND(D35+E35,2))</x:f>
        <x:v>26003.2</x:v>
      </x:c>
      <x:c r="H35" s="30" t="n">
        <x:f>ROUND(D35-F35,2)</x:f>
        <x:v>3537602</x:v>
      </x:c>
      <x:c r="I35" s="33" t="n">
        <x:f>IF(AND(ISNUMBER('Параметры'!$C$7),'Параметры'!$C$7&gt;=0),'Параметры'!$C$7*C35/365,NA())</x:f>
        <x:v>0.00636986301369863</x:v>
      </x:c>
      <x:c r="J35" s="32" t="n">
        <x:f>J34/(1+I35)</x:f>
        <x:v>0.8359071710118386</x:v>
      </x:c>
      <x:c r="K35" s="33" t="n">
        <x:f>IF(AND(ISNUMBER('Параметры'!$C$8),'Параметры'!$C$8&gt;=0),'Параметры'!$C$8*C35/365,NA())</x:f>
        <x:v>0.00636986301369863</x:v>
      </x:c>
      <x:c r="L35" s="32" t="n">
        <x:f>L34/(1+K35)</x:f>
        <x:v>0.8359071710118386</x:v>
      </x:c>
      <x:c r="M35" s="30" t="n">
        <x:f>E35*L35</x:f>
        <x:v>18854.722149343033</x:v>
      </x:c>
      <x:c r="N35" s="30" t="n">
        <x:f>F35*L35</x:f>
        <x:v>2881.53919991201</x:v>
      </x:c>
      <x:c r="O35" s="30" t="n">
        <x:f>G35*L35</x:f>
        <x:v>21736.261349255044</x:v>
      </x:c>
    </x:row>
    <x:row r="36" ht="21" customHeight="1">
      <x:c r="A36" s="28" t="n">
        <x:v>30</x:v>
      </x:c>
      <x:c r="B36" s="29" t="n">
        <x:v>45710</x:v>
      </x:c>
      <x:c r="C36" s="28" t="n">
        <x:f>B36-B35</x:f>
        <x:v>31</x:v>
      </x:c>
      <x:c r="D36" s="30" t="n">
        <x:f>H35</x:f>
        <x:v>3537602</x:v>
      </x:c>
      <x:c r="E36" s="30" t="n">
        <x:f>ROUND(D36*I36,2)</x:f>
        <x:v>22534.04</x:v>
      </x:c>
      <x:c r="F36" s="30" t="n">
        <x:f>IF(G36&gt;=E36,ROUND(G36-E36,2),NA())</x:f>
        <x:v>3469.16</x:v>
      </x:c>
      <x:c r="G36" s="30" t="n">
        <x:f>MIN('Параметры'!$C$14,ROUND(D36+E36,2))</x:f>
        <x:v>26003.2</x:v>
      </x:c>
      <x:c r="H36" s="30" t="n">
        <x:f>ROUND(D36-F36,2)</x:f>
        <x:v>3534132.84</x:v>
      </x:c>
      <x:c r="I36" s="33" t="n">
        <x:f>IF(AND(ISNUMBER('Параметры'!$C$7),'Параметры'!$C$7&gt;=0),'Параметры'!$C$7*C36/365,NA())</x:f>
        <x:v>0.00636986301369863</x:v>
      </x:c>
      <x:c r="J36" s="32" t="n">
        <x:f>J35/(1+I36)</x:f>
        <x:v>0.8306162592236334</x:v>
      </x:c>
      <x:c r="K36" s="33" t="n">
        <x:f>IF(AND(ISNUMBER('Параметры'!$C$8),'Параметры'!$C$8&gt;=0),'Параметры'!$C$8*C36/365,NA())</x:f>
        <x:v>0.00636986301369863</x:v>
      </x:c>
      <x:c r="L36" s="32" t="n">
        <x:f>L35/(1+K36)</x:f>
        <x:v>0.8306162592236334</x:v>
      </x:c>
      <x:c r="M36" s="30" t="n">
        <x:f>E36*L36</x:f>
        <x:v>18717.140009995725</x:v>
      </x:c>
      <x:c r="N36" s="30" t="n">
        <x:f>F36*L36</x:f>
        <x:v>2881.5407018482597</x:v>
      </x:c>
      <x:c r="O36" s="30" t="n">
        <x:f>G36*L36</x:f>
        <x:v>21598.680711843983</x:v>
      </x:c>
    </x:row>
    <x:row r="37" ht="21" customHeight="1">
      <x:c r="A37" s="28" t="n">
        <x:v>31</x:v>
      </x:c>
      <x:c r="B37" s="29" t="n">
        <x:v>45738</x:v>
      </x:c>
      <x:c r="C37" s="28" t="n">
        <x:f>B37-B36</x:f>
        <x:v>28</x:v>
      </x:c>
      <x:c r="D37" s="30" t="n">
        <x:f>H36</x:f>
        <x:v>3534132.84</x:v>
      </x:c>
      <x:c r="E37" s="30" t="n">
        <x:f>ROUND(D37*I37,2)</x:f>
        <x:v>20333.37</x:v>
      </x:c>
      <x:c r="F37" s="30" t="n">
        <x:f>IF(G37&gt;=E37,ROUND(G37-E37,2),NA())</x:f>
        <x:v>5669.83</x:v>
      </x:c>
      <x:c r="G37" s="30" t="n">
        <x:f>MIN('Параметры'!$C$14,ROUND(D37+E37,2))</x:f>
        <x:v>26003.2</x:v>
      </x:c>
      <x:c r="H37" s="30" t="n">
        <x:f>ROUND(D37-F37,2)</x:f>
        <x:v>3528463.01</x:v>
      </x:c>
      <x:c r="I37" s="33" t="n">
        <x:f>IF(AND(ISNUMBER('Параметры'!$C$7),'Параметры'!$C$7&gt;=0),'Параметры'!$C$7*C37/365,NA())</x:f>
        <x:v>0.005753424657534247</x:v>
      </x:c>
      <x:c r="J37" s="32" t="n">
        <x:f>J36/(1+I37)</x:f>
        <x:v>0.8258647088439831</x:v>
      </x:c>
      <x:c r="K37" s="33" t="n">
        <x:f>IF(AND(ISNUMBER('Параметры'!$C$8),'Параметры'!$C$8&gt;=0),'Параметры'!$C$8*C37/365,NA())</x:f>
        <x:v>0.005753424657534247</x:v>
      </x:c>
      <x:c r="L37" s="32" t="n">
        <x:f>L36/(1+K37)</x:f>
        <x:v>0.8258647088439831</x:v>
      </x:c>
      <x:c r="M37" s="30" t="n">
        <x:f>E37*L37</x:f>
        <x:v>16792.61269486698</x:v>
      </x:c>
      <x:c r="N37" s="30" t="n">
        <x:f>F37*L37</x:f>
        <x:v>4682.51250214488</x:v>
      </x:c>
      <x:c r="O37" s="30" t="n">
        <x:f>G37*L37</x:f>
        <x:v>21475.12519701186</x:v>
      </x:c>
    </x:row>
    <x:row r="38" ht="21" customHeight="1">
      <x:c r="A38" s="28" t="n">
        <x:v>32</x:v>
      </x:c>
      <x:c r="B38" s="29" t="n">
        <x:v>45769</x:v>
      </x:c>
      <x:c r="C38" s="28" t="n">
        <x:f>B38-B37</x:f>
        <x:v>31</x:v>
      </x:c>
      <x:c r="D38" s="30" t="n">
        <x:f>H37</x:f>
        <x:v>3528463.01</x:v>
      </x:c>
      <x:c r="E38" s="30" t="n">
        <x:f>ROUND(D38*I38,2)</x:f>
        <x:v>22475.83</x:v>
      </x:c>
      <x:c r="F38" s="30" t="n">
        <x:f>IF(G38&gt;=E38,ROUND(G38-E38,2),NA())</x:f>
        <x:v>3527.37</x:v>
      </x:c>
      <x:c r="G38" s="30" t="n">
        <x:f>MIN('Параметры'!$C$14,ROUND(D38+E38,2))</x:f>
        <x:v>26003.2</x:v>
      </x:c>
      <x:c r="H38" s="30" t="n">
        <x:f>ROUND(D38-F38,2)</x:f>
        <x:v>3524935.64</x:v>
      </x:c>
      <x:c r="I38" s="33" t="n">
        <x:f>IF(AND(ISNUMBER('Параметры'!$C$7),'Параметры'!$C$7&gt;=0),'Параметры'!$C$7*C38/365,NA())</x:f>
        <x:v>0.00636986301369863</x:v>
      </x:c>
      <x:c r="J38" s="32" t="n">
        <x:f>J37/(1+I38)</x:f>
        <x:v>0.820637361268778</x:v>
      </x:c>
      <x:c r="K38" s="33" t="n">
        <x:f>IF(AND(ISNUMBER('Параметры'!$C$8),'Параметры'!$C$8&gt;=0),'Параметры'!$C$8*C38/365,NA())</x:f>
        <x:v>0.00636986301369863</x:v>
      </x:c>
      <x:c r="L38" s="32" t="n">
        <x:f>L37/(1+K38)</x:f>
        <x:v>0.820637361268778</x:v>
      </x:c>
      <x:c r="M38" s="30" t="n">
        <x:f>E38*L38</x:f>
        <x:v>18444.50582352564</x:v>
      </x:c>
      <x:c r="N38" s="30" t="n">
        <x:f>F38*L38</x:f>
        <x:v>2894.691609018649</x:v>
      </x:c>
      <x:c r="O38" s="30" t="n">
        <x:f>G38*L38</x:f>
        <x:v>21339.197432544286</x:v>
      </x:c>
    </x:row>
    <x:row r="39" ht="21" customHeight="1">
      <x:c r="A39" s="28" t="n">
        <x:v>33</x:v>
      </x:c>
      <x:c r="B39" s="29" t="n">
        <x:v>45799</x:v>
      </x:c>
      <x:c r="C39" s="28" t="n">
        <x:f>B39-B38</x:f>
        <x:v>30</x:v>
      </x:c>
      <x:c r="D39" s="30" t="n">
        <x:f>H38</x:f>
        <x:v>3524935.64</x:v>
      </x:c>
      <x:c r="E39" s="30" t="n">
        <x:f>ROUND(D39*I39,2)</x:f>
        <x:v>21729.06</x:v>
      </x:c>
      <x:c r="F39" s="30" t="n">
        <x:f>IF(G39&gt;=E39,ROUND(G39-E39,2),NA())</x:f>
        <x:v>4274.14</x:v>
      </x:c>
      <x:c r="G39" s="30" t="n">
        <x:f>MIN('Параметры'!$C$14,ROUND(D39+E39,2))</x:f>
        <x:v>26003.2</x:v>
      </x:c>
      <x:c r="H39" s="30" t="n">
        <x:f>ROUND(D39-F39,2)</x:f>
        <x:v>3520661.5</x:v>
      </x:c>
      <x:c r="I39" s="33" t="n">
        <x:f>IF(AND(ISNUMBER('Параметры'!$C$7),'Параметры'!$C$7&gt;=0),'Параметры'!$C$7*C39/365,NA())</x:f>
        <x:v>0.0061643835616438354</x:v>
      </x:c>
      <x:c r="J39" s="32" t="n">
        <x:f>J38/(1+I39)</x:f>
        <x:v>0.815609630668765</x:v>
      </x:c>
      <x:c r="K39" s="33" t="n">
        <x:f>IF(AND(ISNUMBER('Параметры'!$C$8),'Параметры'!$C$8&gt;=0),'Параметры'!$C$8*C39/365,NA())</x:f>
        <x:v>0.0061643835616438354</x:v>
      </x:c>
      <x:c r="L39" s="32" t="n">
        <x:f>L38/(1+K39)</x:f>
        <x:v>0.815609630668765</x:v>
      </x:c>
      <x:c r="M39" s="30" t="n">
        <x:f>E39*L39</x:f>
        <x:v>17722.430601379438</x:v>
      </x:c>
      <x:c r="N39" s="30" t="n">
        <x:f>F39*L39</x:f>
        <x:v>3486.029746826596</x:v>
      </x:c>
      <x:c r="O39" s="30" t="n">
        <x:f>G39*L39</x:f>
        <x:v>21208.46034820603</x:v>
      </x:c>
    </x:row>
    <x:row r="40" ht="21" customHeight="1">
      <x:c r="A40" s="28" t="n">
        <x:v>34</x:v>
      </x:c>
      <x:c r="B40" s="29" t="n">
        <x:v>45830</x:v>
      </x:c>
      <x:c r="C40" s="28" t="n">
        <x:f>B40-B39</x:f>
        <x:v>31</x:v>
      </x:c>
      <x:c r="D40" s="30" t="n">
        <x:f>H39</x:f>
        <x:v>3520661.5</x:v>
      </x:c>
      <x:c r="E40" s="30" t="n">
        <x:f>ROUND(D40*I40,2)</x:f>
        <x:v>22426.13</x:v>
      </x:c>
      <x:c r="F40" s="30" t="n">
        <x:f>IF(G40&gt;=E40,ROUND(G40-E40,2),NA())</x:f>
        <x:v>3577.07</x:v>
      </x:c>
      <x:c r="G40" s="30" t="n">
        <x:f>MIN('Параметры'!$C$14,ROUND(D40+E40,2))</x:f>
        <x:v>26003.2</x:v>
      </x:c>
      <x:c r="H40" s="30" t="n">
        <x:f>ROUND(D40-F40,2)</x:f>
        <x:v>3517084.43</x:v>
      </x:c>
      <x:c r="I40" s="33" t="n">
        <x:f>IF(AND(ISNUMBER('Параметры'!$C$7),'Параметры'!$C$7&gt;=0),'Параметры'!$C$7*C40/365,NA())</x:f>
        <x:v>0.00636986301369863</x:v>
      </x:c>
      <x:c r="J40" s="32" t="n">
        <x:f>J39/(1+I40)</x:f>
        <x:v>0.8104471930690784</x:v>
      </x:c>
      <x:c r="K40" s="33" t="n">
        <x:f>IF(AND(ISNUMBER('Параметры'!$C$8),'Параметры'!$C$8&gt;=0),'Параметры'!$C$8*C40/365,NA())</x:f>
        <x:v>0.00636986301369863</x:v>
      </x:c>
      <x:c r="L40" s="32" t="n">
        <x:f>L39/(1+K40)</x:f>
        <x:v>0.8104471930690784</x:v>
      </x:c>
      <x:c r="M40" s="30" t="n">
        <x:f>E40*L40</x:f>
        <x:v>18175.19410990225</x:v>
      </x:c>
      <x:c r="N40" s="30" t="n">
        <x:f>F40*L40</x:f>
        <x:v>2899.0263409116083</x:v>
      </x:c>
      <x:c r="O40" s="30" t="n">
        <x:f>G40*L40</x:f>
        <x:v>21074.22045081386</x:v>
      </x:c>
    </x:row>
    <x:row r="41" ht="21" customHeight="1">
      <x:c r="A41" s="28" t="n">
        <x:v>35</x:v>
      </x:c>
      <x:c r="B41" s="29" t="n">
        <x:v>45860</x:v>
      </x:c>
      <x:c r="C41" s="28" t="n">
        <x:f>B41-B40</x:f>
        <x:v>30</x:v>
      </x:c>
      <x:c r="D41" s="30" t="n">
        <x:f>H40</x:f>
        <x:v>3517084.43</x:v>
      </x:c>
      <x:c r="E41" s="30" t="n">
        <x:f>ROUND(D41*I41,2)</x:f>
        <x:v>21680.66</x:v>
      </x:c>
      <x:c r="F41" s="30" t="n">
        <x:f>IF(G41&gt;=E41,ROUND(G41-E41,2),NA())</x:f>
        <x:v>4322.54</x:v>
      </x:c>
      <x:c r="G41" s="30" t="n">
        <x:f>MIN('Параметры'!$C$14,ROUND(D41+E41,2))</x:f>
        <x:v>26003.2</x:v>
      </x:c>
      <x:c r="H41" s="30" t="n">
        <x:f>ROUND(D41-F41,2)</x:f>
        <x:v>3512761.89</x:v>
      </x:c>
      <x:c r="I41" s="33" t="n">
        <x:f>IF(AND(ISNUMBER('Параметры'!$C$7),'Параметры'!$C$7&gt;=0),'Параметры'!$C$7*C41/365,NA())</x:f>
        <x:v>0.0061643835616438354</x:v>
      </x:c>
      <x:c r="J41" s="32" t="n">
        <x:f>J40/(1+I41)</x:f>
        <x:v>0.8054818937242032</x:v>
      </x:c>
      <x:c r="K41" s="33" t="n">
        <x:f>IF(AND(ISNUMBER('Параметры'!$C$8),'Параметры'!$C$8&gt;=0),'Параметры'!$C$8*C41/365,NA())</x:f>
        <x:v>0.0061643835616438354</x:v>
      </x:c>
      <x:c r="L41" s="32" t="n">
        <x:f>L40/(1+K41)</x:f>
        <x:v>0.8054818937242032</x:v>
      </x:c>
      <x:c r="M41" s="30" t="n">
        <x:f>E41*L41</x:f>
        <x:v>17463.37907399058</x:v>
      </x:c>
      <x:c r="N41" s="30" t="n">
        <x:f>F41*L41</x:f>
        <x:v>3481.7277048986175</x:v>
      </x:c>
      <x:c r="O41" s="30" t="n">
        <x:f>G41*L41</x:f>
        <x:v>20945.1067788892</x:v>
      </x:c>
    </x:row>
    <x:row r="42" ht="21" customHeight="1">
      <x:c r="A42" s="28" t="n">
        <x:v>36</x:v>
      </x:c>
      <x:c r="B42" s="29" t="n">
        <x:v>45891</x:v>
      </x:c>
      <x:c r="C42" s="28" t="n">
        <x:f>B42-B41</x:f>
        <x:v>31</x:v>
      </x:c>
      <x:c r="D42" s="30" t="n">
        <x:f>H41</x:f>
        <x:v>3512761.89</x:v>
      </x:c>
      <x:c r="E42" s="30" t="n">
        <x:f>ROUND(D42*I42,2)</x:f>
        <x:v>22375.81</x:v>
      </x:c>
      <x:c r="F42" s="30" t="n">
        <x:f>IF(G42&gt;=E42,ROUND(G42-E42,2),NA())</x:f>
        <x:v>3627.39</x:v>
      </x:c>
      <x:c r="G42" s="30" t="n">
        <x:f>MIN('Параметры'!$C$14,ROUND(D42+E42,2))</x:f>
        <x:v>26003.2</x:v>
      </x:c>
      <x:c r="H42" s="30" t="n">
        <x:f>ROUND(D42-F42,2)</x:f>
        <x:v>3509134.5</x:v>
      </x:c>
      <x:c r="I42" s="33" t="n">
        <x:f>IF(AND(ISNUMBER('Параметры'!$C$7),'Параметры'!$C$7&gt;=0),'Параметры'!$C$7*C42/365,NA())</x:f>
        <x:v>0.00636986301369863</x:v>
      </x:c>
      <x:c r="J42" s="32" t="n">
        <x:f>J41/(1+I42)</x:f>
        <x:v>0.8003835600880261</x:v>
      </x:c>
      <x:c r="K42" s="33" t="n">
        <x:f>IF(AND(ISNUMBER('Параметры'!$C$8),'Параметры'!$C$8&gt;=0),'Параметры'!$C$8*C42/365,NA())</x:f>
        <x:v>0.00636986301369863</x:v>
      </x:c>
      <x:c r="L42" s="32" t="n">
        <x:f>L41/(1+K42)</x:f>
        <x:v>0.8003835600880261</x:v>
      </x:c>
      <x:c r="M42" s="30" t="n">
        <x:f>E42*L42</x:f>
        <x:v>17909.23046765326</x:v>
      </x:c>
      <x:c r="N42" s="30" t="n">
        <x:f>F42*L42</x:f>
        <x:v>2903.3033220277052</x:v>
      </x:c>
      <x:c r="O42" s="30" t="n">
        <x:f>G42*L42</x:f>
        <x:v>20812.53378968096</x:v>
      </x:c>
    </x:row>
    <x:row r="43" ht="21" customHeight="1">
      <x:c r="A43" s="28" t="n">
        <x:v>37</x:v>
      </x:c>
      <x:c r="B43" s="29" t="n">
        <x:v>45922</x:v>
      </x:c>
      <x:c r="C43" s="28" t="n">
        <x:f>B43-B42</x:f>
        <x:v>31</x:v>
      </x:c>
      <x:c r="D43" s="30" t="n">
        <x:f>H42</x:f>
        <x:v>3509134.5</x:v>
      </x:c>
      <x:c r="E43" s="30" t="n">
        <x:f>ROUND(D43*I43,2)</x:f>
        <x:v>22352.71</x:v>
      </x:c>
      <x:c r="F43" s="30" t="n">
        <x:f>IF(G43&gt;=E43,ROUND(G43-E43,2),NA())</x:f>
        <x:v>3650.49</x:v>
      </x:c>
      <x:c r="G43" s="30" t="n">
        <x:f>MIN('Параметры'!$C$14,ROUND(D43+E43,2))</x:f>
        <x:v>26003.2</x:v>
      </x:c>
      <x:c r="H43" s="30" t="n">
        <x:f>ROUND(D43-F43,2)</x:f>
        <x:v>3505484.01</x:v>
      </x:c>
      <x:c r="I43" s="33" t="n">
        <x:f>IF(AND(ISNUMBER('Параметры'!$C$7),'Параметры'!$C$7&gt;=0),'Параметры'!$C$7*C43/365,NA())</x:f>
        <x:v>0.00636986301369863</x:v>
      </x:c>
      <x:c r="J43" s="32" t="n">
        <x:f>J42/(1+I43)</x:f>
        <x:v>0.7953174965823986</x:v>
      </x:c>
      <x:c r="K43" s="33" t="n">
        <x:f>IF(AND(ISNUMBER('Параметры'!$C$8),'Параметры'!$C$8&gt;=0),'Параметры'!$C$8*C43/365,NA())</x:f>
        <x:v>0.00636986301369863</x:v>
      </x:c>
      <x:c r="L43" s="32" t="n">
        <x:f>L42/(1+K43)</x:f>
        <x:v>0.7953174965823986</x:v>
      </x:c>
      <x:c r="M43" s="30" t="n">
        <x:f>E43*L43</x:f>
        <x:v>17777.501359032347</x:v>
      </x:c>
      <x:c r="N43" s="30" t="n">
        <x:f>F43*L43</x:f>
        <x:v>2903.29856809908</x:v>
      </x:c>
      <x:c r="O43" s="30" t="n">
        <x:f>G43*L43</x:f>
        <x:v>20680.79992713143</x:v>
      </x:c>
    </x:row>
    <x:row r="44" ht="21" customHeight="1">
      <x:c r="A44" s="28" t="n">
        <x:v>38</x:v>
      </x:c>
      <x:c r="B44" s="29" t="n">
        <x:v>45952</x:v>
      </x:c>
      <x:c r="C44" s="28" t="n">
        <x:f>B44-B43</x:f>
        <x:v>30</x:v>
      </x:c>
      <x:c r="D44" s="30" t="n">
        <x:f>H43</x:f>
        <x:v>3505484.01</x:v>
      </x:c>
      <x:c r="E44" s="30" t="n">
        <x:f>ROUND(D44*I44,2)</x:f>
        <x:v>21609.15</x:v>
      </x:c>
      <x:c r="F44" s="30" t="n">
        <x:f>IF(G44&gt;=E44,ROUND(G44-E44,2),NA())</x:f>
        <x:v>4394.05</x:v>
      </x:c>
      <x:c r="G44" s="30" t="n">
        <x:f>MIN('Параметры'!$C$14,ROUND(D44+E44,2))</x:f>
        <x:v>26003.2</x:v>
      </x:c>
      <x:c r="H44" s="30" t="n">
        <x:f>ROUND(D44-F44,2)</x:f>
        <x:v>3501089.96</x:v>
      </x:c>
      <x:c r="I44" s="33" t="n">
        <x:f>IF(AND(ISNUMBER('Параметры'!$C$7),'Параметры'!$C$7&gt;=0),'Параметры'!$C$7*C44/365,NA())</x:f>
        <x:v>0.0061643835616438354</x:v>
      </x:c>
      <x:c r="J44" s="32" t="n">
        <x:f>J43/(1+I44)</x:f>
        <x:v>0.7904448910893819</x:v>
      </x:c>
      <x:c r="K44" s="33" t="n">
        <x:f>IF(AND(ISNUMBER('Параметры'!$C$8),'Параметры'!$C$8&gt;=0),'Параметры'!$C$8*C44/365,NA())</x:f>
        <x:v>0.0061643835616438354</x:v>
      </x:c>
      <x:c r="L44" s="32" t="n">
        <x:f>L43/(1+K44)</x:f>
        <x:v>0.7904448910893819</x:v>
      </x:c>
      <x:c r="M44" s="30" t="n">
        <x:f>E44*L44</x:f>
        <x:v>17080.842218284117</x:v>
      </x:c>
      <x:c r="N44" s="30" t="n">
        <x:f>F44*L44</x:f>
        <x:v>3473.2543736912985</x:v>
      </x:c>
      <x:c r="O44" s="30" t="n">
        <x:f>G44*L44</x:f>
        <x:v>20554.096591975416</x:v>
      </x:c>
    </x:row>
    <x:row r="45" ht="21" customHeight="1">
      <x:c r="A45" s="28" t="n">
        <x:v>39</x:v>
      </x:c>
      <x:c r="B45" s="29" t="n">
        <x:v>45983</x:v>
      </x:c>
      <x:c r="C45" s="28" t="n">
        <x:f>B45-B44</x:f>
        <x:v>31</x:v>
      </x:c>
      <x:c r="D45" s="30" t="n">
        <x:f>H44</x:f>
        <x:v>3501089.96</x:v>
      </x:c>
      <x:c r="E45" s="30" t="n">
        <x:f>ROUND(D45*I45,2)</x:f>
        <x:v>22301.46</x:v>
      </x:c>
      <x:c r="F45" s="30" t="n">
        <x:f>IF(G45&gt;=E45,ROUND(G45-E45,2),NA())</x:f>
        <x:v>3701.74</x:v>
      </x:c>
      <x:c r="G45" s="30" t="n">
        <x:f>MIN('Параметры'!$C$14,ROUND(D45+E45,2))</x:f>
        <x:v>26003.2</x:v>
      </x:c>
      <x:c r="H45" s="30" t="n">
        <x:f>ROUND(D45-F45,2)</x:f>
        <x:v>3497388.22</x:v>
      </x:c>
      <x:c r="I45" s="33" t="n">
        <x:f>IF(AND(ISNUMBER('Параметры'!$C$7),'Параметры'!$C$7&gt;=0),'Параметры'!$C$7*C45/365,NA())</x:f>
        <x:v>0.00636986301369863</x:v>
      </x:c>
      <x:c r="J45" s="32" t="n">
        <x:f>J44/(1+I45)</x:f>
        <x:v>0.7854417348332523</x:v>
      </x:c>
      <x:c r="K45" s="33" t="n">
        <x:f>IF(AND(ISNUMBER('Параметры'!$C$8),'Параметры'!$C$8&gt;=0),'Параметры'!$C$8*C45/365,NA())</x:f>
        <x:v>0.00636986301369863</x:v>
      </x:c>
      <x:c r="L45" s="32" t="n">
        <x:f>L44/(1+K45)</x:f>
        <x:v>0.7854417348332523</x:v>
      </x:c>
      <x:c r="M45" s="30" t="n">
        <x:f>E45*L45</x:f>
        <x:v>17516.497431714382</x:v>
      </x:c>
      <x:c r="N45" s="30" t="n">
        <x:f>F45*L45</x:f>
        <x:v>2907.5010875016433</x:v>
      </x:c>
      <x:c r="O45" s="30" t="n">
        <x:f>G45*L45</x:f>
        <x:v>20423.998519216027</x:v>
      </x:c>
    </x:row>
    <x:row r="46" ht="21" customHeight="1">
      <x:c r="A46" s="28" t="n">
        <x:v>40</x:v>
      </x:c>
      <x:c r="B46" s="29" t="n">
        <x:v>46013</x:v>
      </x:c>
      <x:c r="C46" s="28" t="n">
        <x:f>B46-B45</x:f>
        <x:v>30</x:v>
      </x:c>
      <x:c r="D46" s="30" t="n">
        <x:f>H45</x:f>
        <x:v>3497388.22</x:v>
      </x:c>
      <x:c r="E46" s="30" t="n">
        <x:f>ROUND(D46*I46,2)</x:f>
        <x:v>21559.24</x:v>
      </x:c>
      <x:c r="F46" s="30" t="n">
        <x:f>IF(G46&gt;=E46,ROUND(G46-E46,2),NA())</x:f>
        <x:v>4443.96</x:v>
      </x:c>
      <x:c r="G46" s="30" t="n">
        <x:f>MIN('Параметры'!$C$14,ROUND(D46+E46,2))</x:f>
        <x:v>26003.2</x:v>
      </x:c>
      <x:c r="H46" s="30" t="n">
        <x:f>ROUND(D46-F46,2)</x:f>
        <x:v>3492944.26</x:v>
      </x:c>
      <x:c r="I46" s="33" t="n">
        <x:f>IF(AND(ISNUMBER('Параметры'!$C$7),'Параметры'!$C$7&gt;=0),'Параметры'!$C$7*C46/365,NA())</x:f>
        <x:v>0.0061643835616438354</x:v>
      </x:c>
      <x:c r="J46" s="32" t="n">
        <x:f>J45/(1+I46)</x:f>
        <x:v>0.7806296343475483</x:v>
      </x:c>
      <x:c r="K46" s="33" t="n">
        <x:f>IF(AND(ISNUMBER('Параметры'!$C$8),'Параметры'!$C$8&gt;=0),'Параметры'!$C$8*C46/365,NA())</x:f>
        <x:v>0.0061643835616438354</x:v>
      </x:c>
      <x:c r="L46" s="32" t="n">
        <x:f>L45/(1+K46)</x:f>
        <x:v>0.7806296343475483</x:v>
      </x:c>
      <x:c r="M46" s="30" t="n">
        <x:f>E46*L46</x:f>
        <x:v>16829.781638011038</x:v>
      </x:c>
      <x:c r="N46" s="30" t="n">
        <x:f>F46*L46</x:f>
        <x:v>3469.0868698551308</x:v>
      </x:c>
      <x:c r="O46" s="30" t="n">
        <x:f>G46*L46</x:f>
        <x:v>20298.86850786617</x:v>
      </x:c>
    </x:row>
    <x:row r="47" ht="21" customHeight="1">
      <x:c r="A47" s="28" t="n">
        <x:v>41</x:v>
      </x:c>
      <x:c r="B47" s="29" t="n">
        <x:v>46044</x:v>
      </x:c>
      <x:c r="C47" s="28" t="n">
        <x:f>B47-B46</x:f>
        <x:v>31</x:v>
      </x:c>
      <x:c r="D47" s="30" t="n">
        <x:f>H46</x:f>
        <x:v>3492944.26</x:v>
      </x:c>
      <x:c r="E47" s="30" t="n">
        <x:f>ROUND(D47*I47,2)</x:f>
        <x:v>22249.58</x:v>
      </x:c>
      <x:c r="F47" s="30" t="n">
        <x:f>IF(G47&gt;=E47,ROUND(G47-E47,2),NA())</x:f>
        <x:v>3753.62</x:v>
      </x:c>
      <x:c r="G47" s="30" t="n">
        <x:f>MIN('Параметры'!$C$14,ROUND(D47+E47,2))</x:f>
        <x:v>26003.2</x:v>
      </x:c>
      <x:c r="H47" s="30" t="n">
        <x:f>ROUND(D47-F47,2)</x:f>
        <x:v>3489190.64</x:v>
      </x:c>
      <x:c r="I47" s="33" t="n">
        <x:f>IF(AND(ISNUMBER('Параметры'!$C$7),'Параметры'!$C$7&gt;=0),'Параметры'!$C$7*C47/365,NA())</x:f>
        <x:v>0.00636986301369863</x:v>
      </x:c>
      <x:c r="J47" s="32" t="n">
        <x:f>J46/(1+I47)</x:f>
        <x:v>0.7756886041975231</x:v>
      </x:c>
      <x:c r="K47" s="33" t="n">
        <x:f>IF(AND(ISNUMBER('Параметры'!$C$8),'Параметры'!$C$8&gt;=0),'Параметры'!$C$8*C47/365,NA())</x:f>
        <x:v>0.00636986301369863</x:v>
      </x:c>
      <x:c r="L47" s="32" t="n">
        <x:f>L46/(1+K47)</x:f>
        <x:v>0.7756886041975231</x:v>
      </x:c>
      <x:c r="M47" s="30" t="n">
        <x:f>E47*L47</x:f>
        <x:v>17258.745654181126</x:v>
      </x:c>
      <x:c r="N47" s="30" t="n">
        <x:f>F47*L47</x:f>
        <x:v>2911.6402584879065</x:v>
      </x:c>
      <x:c r="O47" s="30" t="n">
        <x:f>G47*L47</x:f>
        <x:v>20170.385912669033</x:v>
      </x:c>
    </x:row>
    <x:row r="48" ht="21" customHeight="1">
      <x:c r="A48" s="28" t="n">
        <x:v>42</x:v>
      </x:c>
      <x:c r="B48" s="29" t="n">
        <x:v>46075</x:v>
      </x:c>
      <x:c r="C48" s="28" t="n">
        <x:f>B48-B47</x:f>
        <x:v>31</x:v>
      </x:c>
      <x:c r="D48" s="30" t="n">
        <x:f>H47</x:f>
        <x:v>3489190.64</x:v>
      </x:c>
      <x:c r="E48" s="30" t="n">
        <x:f>ROUND(D48*I48,2)</x:f>
        <x:v>22225.67</x:v>
      </x:c>
      <x:c r="F48" s="30" t="n">
        <x:f>IF(G48&gt;=E48,ROUND(G48-E48,2),NA())</x:f>
        <x:v>3777.53</x:v>
      </x:c>
      <x:c r="G48" s="30" t="n">
        <x:f>MIN('Параметры'!$C$14,ROUND(D48+E48,2))</x:f>
        <x:v>26003.2</x:v>
      </x:c>
      <x:c r="H48" s="30" t="n">
        <x:f>ROUND(D48-F48,2)</x:f>
        <x:v>3485413.11</x:v>
      </x:c>
      <x:c r="I48" s="33" t="n">
        <x:f>IF(AND(ISNUMBER('Параметры'!$C$7),'Параметры'!$C$7&gt;=0),'Параметры'!$C$7*C48/365,NA())</x:f>
        <x:v>0.00636986301369863</x:v>
      </x:c>
      <x:c r="J48" s="32" t="n">
        <x:f>J47/(1+I48)</x:f>
        <x:v>0.7707788485186032</x:v>
      </x:c>
      <x:c r="K48" s="33" t="n">
        <x:f>IF(AND(ISNUMBER('Параметры'!$C$8),'Параметры'!$C$8&gt;=0),'Параметры'!$C$8*C48/365,NA())</x:f>
        <x:v>0.00636986301369863</x:v>
      </x:c>
      <x:c r="L48" s="32" t="n">
        <x:f>L47/(1+K48)</x:f>
        <x:v>0.7707788485186032</x:v>
      </x:c>
      <x:c r="M48" s="30" t="n">
        <x:f>E48*L48</x:f>
        <x:v>17131.07633015446</x:v>
      </x:c>
      <x:c r="N48" s="30" t="n">
        <x:f>F48*L48</x:f>
        <x:v>2911.6402236444796</x:v>
      </x:c>
      <x:c r="O48" s="30" t="n">
        <x:f>G48*L48</x:f>
        <x:v>20042.716553798946</x:v>
      </x:c>
    </x:row>
    <x:row r="49" ht="21" customHeight="1">
      <x:c r="A49" s="28" t="n">
        <x:v>43</x:v>
      </x:c>
      <x:c r="B49" s="29" t="n">
        <x:v>46103</x:v>
      </x:c>
      <x:c r="C49" s="28" t="n">
        <x:f>B49-B48</x:f>
        <x:v>28</x:v>
      </x:c>
      <x:c r="D49" s="30" t="n">
        <x:f>H48</x:f>
        <x:v>3485413.11</x:v>
      </x:c>
      <x:c r="E49" s="30" t="n">
        <x:f>ROUND(D49*I49,2)</x:f>
        <x:v>20053.06</x:v>
      </x:c>
      <x:c r="F49" s="30" t="n">
        <x:f>IF(G49&gt;=E49,ROUND(G49-E49,2),NA())</x:f>
        <x:v>5950.14</x:v>
      </x:c>
      <x:c r="G49" s="30" t="n">
        <x:f>MIN('Параметры'!$C$14,ROUND(D49+E49,2))</x:f>
        <x:v>26003.2</x:v>
      </x:c>
      <x:c r="H49" s="30" t="n">
        <x:f>ROUND(D49-F49,2)</x:f>
        <x:v>3479462.97</x:v>
      </x:c>
      <x:c r="I49" s="33" t="n">
        <x:f>IF(AND(ISNUMBER('Параметры'!$C$7),'Параметры'!$C$7&gt;=0),'Параметры'!$C$7*C49/365,NA())</x:f>
        <x:v>0.005753424657534247</x:v>
      </x:c>
      <x:c r="J49" s="32" t="n">
        <x:f>J48/(1+I49)</x:f>
        <x:v>0.7663695987722424</x:v>
      </x:c>
      <x:c r="K49" s="33" t="n">
        <x:f>IF(AND(ISNUMBER('Параметры'!$C$8),'Параметры'!$C$8&gt;=0),'Параметры'!$C$8*C49/365,NA())</x:f>
        <x:v>0.005753424657534247</x:v>
      </x:c>
      <x:c r="L49" s="32" t="n">
        <x:f>L48/(1+K49)</x:f>
        <x:v>0.7663695987722424</x:v>
      </x:c>
      <x:c r="M49" s="30" t="n">
        <x:f>E49*L49</x:f>
        <x:v>15368.055546355705</x:v>
      </x:c>
      <x:c r="N49" s="30" t="n">
        <x:f>F49*L49</x:f>
        <x:v>4560.006404438671</x:v>
      </x:c>
      <x:c r="O49" s="30" t="n">
        <x:f>G49*L49</x:f>
        <x:v>19928.061950794374</x:v>
      </x:c>
    </x:row>
    <x:row r="50" ht="21" customHeight="1">
      <x:c r="A50" s="28" t="n">
        <x:v>44</x:v>
      </x:c>
      <x:c r="B50" s="29" t="n">
        <x:v>46134</x:v>
      </x:c>
      <x:c r="C50" s="28" t="n">
        <x:f>B50-B49</x:f>
        <x:v>31</x:v>
      </x:c>
      <x:c r="D50" s="30" t="n">
        <x:f>H49</x:f>
        <x:v>3479462.97</x:v>
      </x:c>
      <x:c r="E50" s="30" t="n">
        <x:f>ROUND(D50*I50,2)</x:f>
        <x:v>22163.7</x:v>
      </x:c>
      <x:c r="F50" s="30" t="n">
        <x:f>IF(G50&gt;=E50,ROUND(G50-E50,2),NA())</x:f>
        <x:v>3839.5</x:v>
      </x:c>
      <x:c r="G50" s="30" t="n">
        <x:f>MIN('Параметры'!$C$14,ROUND(D50+E50,2))</x:f>
        <x:v>26003.2</x:v>
      </x:c>
      <x:c r="H50" s="30" t="n">
        <x:f>ROUND(D50-F50,2)</x:f>
        <x:v>3475623.47</x:v>
      </x:c>
      <x:c r="I50" s="33" t="n">
        <x:f>IF(AND(ISNUMBER('Параметры'!$C$7),'Параметры'!$C$7&gt;=0),'Параметры'!$C$7*C50/365,NA())</x:f>
        <x:v>0.00636986301369863</x:v>
      </x:c>
      <x:c r="J50" s="32" t="n">
        <x:f>J49/(1+I50)</x:f>
        <x:v>0.7615188281545457</x:v>
      </x:c>
      <x:c r="K50" s="33" t="n">
        <x:f>IF(AND(ISNUMBER('Параметры'!$C$8),'Параметры'!$C$8&gt;=0),'Параметры'!$C$8*C50/365,NA())</x:f>
        <x:v>0.00636986301369863</x:v>
      </x:c>
      <x:c r="L50" s="32" t="n">
        <x:f>L49/(1+K50)</x:f>
        <x:v>0.7615188281545457</x:v>
      </x:c>
      <x:c r="M50" s="30" t="n">
        <x:f>E50*L50</x:f>
        <x:v>16878.074851568905</x:v>
      </x:c>
      <x:c r="N50" s="30" t="n">
        <x:f>F50*L50</x:f>
        <x:v>2923.8515406993783</x:v>
      </x:c>
      <x:c r="O50" s="30" t="n">
        <x:f>G50*L50</x:f>
        <x:v>19801.926392268284</x:v>
      </x:c>
    </x:row>
    <x:row r="51" ht="21" customHeight="1">
      <x:c r="A51" s="28" t="n">
        <x:v>45</x:v>
      </x:c>
      <x:c r="B51" s="29" t="n">
        <x:v>46164</x:v>
      </x:c>
      <x:c r="C51" s="28" t="n">
        <x:f>B51-B50</x:f>
        <x:v>30</x:v>
      </x:c>
      <x:c r="D51" s="30" t="n">
        <x:f>H50</x:f>
        <x:v>3475623.47</x:v>
      </x:c>
      <x:c r="E51" s="30" t="n">
        <x:f>ROUND(D51*I51,2)</x:f>
        <x:v>21425.08</x:v>
      </x:c>
      <x:c r="F51" s="30" t="n">
        <x:f>IF(G51&gt;=E51,ROUND(G51-E51,2),NA())</x:f>
        <x:v>4578.12</x:v>
      </x:c>
      <x:c r="G51" s="30" t="n">
        <x:f>MIN('Параметры'!$C$14,ROUND(D51+E51,2))</x:f>
        <x:v>26003.2</x:v>
      </x:c>
      <x:c r="H51" s="30" t="n">
        <x:f>ROUND(D51-F51,2)</x:f>
        <x:v>3471045.35</x:v>
      </x:c>
      <x:c r="I51" s="33" t="n">
        <x:f>IF(AND(ISNUMBER('Параметры'!$C$7),'Параметры'!$C$7&gt;=0),'Параметры'!$C$7*C51/365,NA())</x:f>
        <x:v>0.0061643835616438354</x:v>
      </x:c>
      <x:c r="J51" s="32" t="n">
        <x:f>J50/(1+I51)</x:f>
        <x:v>0.7568532941495145</x:v>
      </x:c>
      <x:c r="K51" s="33" t="n">
        <x:f>IF(AND(ISNUMBER('Параметры'!$C$8),'Параметры'!$C$8&gt;=0),'Параметры'!$C$8*C51/365,NA())</x:f>
        <x:v>0.0061643835616438354</x:v>
      </x:c>
      <x:c r="L51" s="32" t="n">
        <x:f>L50/(1+K51)</x:f>
        <x:v>0.7568532941495145</x:v>
      </x:c>
      <x:c r="M51" s="30" t="n">
        <x:f>E51*L51</x:f>
        <x:v>16215.642375416883</x:v>
      </x:c>
      <x:c r="N51" s="30" t="n">
        <x:f>F51*L51</x:f>
        <x:v>3464.9652030117754</x:v>
      </x:c>
      <x:c r="O51" s="30" t="n">
        <x:f>G51*L51</x:f>
        <x:v>19680.607578428655</x:v>
      </x:c>
    </x:row>
    <x:row r="52" ht="21" customHeight="1">
      <x:c r="A52" s="28" t="n">
        <x:v>46</x:v>
      </x:c>
      <x:c r="B52" s="29" t="n">
        <x:v>46195</x:v>
      </x:c>
      <x:c r="C52" s="28" t="n">
        <x:f>B52-B51</x:f>
        <x:v>31</x:v>
      </x:c>
      <x:c r="D52" s="30" t="n">
        <x:f>H51</x:f>
        <x:v>3471045.35</x:v>
      </x:c>
      <x:c r="E52" s="30" t="n">
        <x:f>ROUND(D52*I52,2)</x:f>
        <x:v>22110.08</x:v>
      </x:c>
      <x:c r="F52" s="30" t="n">
        <x:f>IF(G52&gt;=E52,ROUND(G52-E52,2),NA())</x:f>
        <x:v>3893.12</x:v>
      </x:c>
      <x:c r="G52" s="30" t="n">
        <x:f>MIN('Параметры'!$C$14,ROUND(D52+E52,2))</x:f>
        <x:v>26003.2</x:v>
      </x:c>
      <x:c r="H52" s="30" t="n">
        <x:f>ROUND(D52-F52,2)</x:f>
        <x:v>3467152.23</x:v>
      </x:c>
      <x:c r="I52" s="33" t="n">
        <x:f>IF(AND(ISNUMBER('Параметры'!$C$7),'Параметры'!$C$7&gt;=0),'Параметры'!$C$7*C52/365,NA())</x:f>
        <x:v>0.00636986301369863</x:v>
      </x:c>
      <x:c r="J52" s="32" t="n">
        <x:f>J51/(1+I52)</x:f>
        <x:v>0.7520627574071267</x:v>
      </x:c>
      <x:c r="K52" s="33" t="n">
        <x:f>IF(AND(ISNUMBER('Параметры'!$C$8),'Параметры'!$C$8&gt;=0),'Параметры'!$C$8*C52/365,NA())</x:f>
        <x:v>0.00636986301369863</x:v>
      </x:c>
      <x:c r="L52" s="32" t="n">
        <x:f>L51/(1+K52)</x:f>
        <x:v>0.7520627574071267</x:v>
      </x:c>
      <x:c r="M52" s="30" t="n">
        <x:f>E52*L52</x:f>
        <x:v>16628.167731292164</x:v>
      </x:c>
      <x:c r="N52" s="30" t="n">
        <x:f>F52*L52</x:f>
        <x:v>2927.870562116833</x:v>
      </x:c>
      <x:c r="O52" s="30" t="n">
        <x:f>G52*L52</x:f>
        <x:v>19556.038293408998</x:v>
      </x:c>
    </x:row>
    <x:row r="53" ht="21" customHeight="1">
      <x:c r="A53" s="28" t="n">
        <x:v>47</x:v>
      </x:c>
      <x:c r="B53" s="29" t="n">
        <x:v>46225</x:v>
      </x:c>
      <x:c r="C53" s="28" t="n">
        <x:f>B53-B52</x:f>
        <x:v>30</x:v>
      </x:c>
      <x:c r="D53" s="30" t="n">
        <x:f>H52</x:f>
        <x:v>3467152.23</x:v>
      </x:c>
      <x:c r="E53" s="30" t="n">
        <x:f>ROUND(D53*I53,2)</x:f>
        <x:v>21372.86</x:v>
      </x:c>
      <x:c r="F53" s="30" t="n">
        <x:f>IF(G53&gt;=E53,ROUND(G53-E53,2),NA())</x:f>
        <x:v>4630.34</x:v>
      </x:c>
      <x:c r="G53" s="30" t="n">
        <x:f>MIN('Параметры'!$C$14,ROUND(D53+E53,2))</x:f>
        <x:v>26003.2</x:v>
      </x:c>
      <x:c r="H53" s="30" t="n">
        <x:f>ROUND(D53-F53,2)</x:f>
        <x:v>3462521.89</x:v>
      </x:c>
      <x:c r="I53" s="33" t="n">
        <x:f>IF(AND(ISNUMBER('Параметры'!$C$7),'Параметры'!$C$7&gt;=0),'Параметры'!$C$7*C53/365,NA())</x:f>
        <x:v>0.0061643835616438354</x:v>
      </x:c>
      <x:c r="J53" s="32" t="n">
        <x:f>J52/(1+I53)</x:f>
        <x:v>0.7474551571234888</x:v>
      </x:c>
      <x:c r="K53" s="33" t="n">
        <x:f>IF(AND(ISNUMBER('Параметры'!$C$8),'Параметры'!$C$8&gt;=0),'Параметры'!$C$8*C53/365,NA())</x:f>
        <x:v>0.0061643835616438354</x:v>
      </x:c>
      <x:c r="L53" s="32" t="n">
        <x:f>L52/(1+K53)</x:f>
        <x:v>0.7474551571234888</x:v>
      </x:c>
      <x:c r="M53" s="30" t="n">
        <x:f>E53*L53</x:f>
        <x:v>15975.254429478327</x:v>
      </x:c>
      <x:c r="N53" s="30" t="n">
        <x:f>F53*L53</x:f>
        <x:v>3460.971512235175</x:v>
      </x:c>
      <x:c r="O53" s="30" t="n">
        <x:f>G53*L53</x:f>
        <x:v>19436.225941713503</x:v>
      </x:c>
    </x:row>
    <x:row r="54" ht="21" customHeight="1">
      <x:c r="A54" s="28" t="n">
        <x:v>48</x:v>
      </x:c>
      <x:c r="B54" s="29" t="n">
        <x:v>46256</x:v>
      </x:c>
      <x:c r="C54" s="28" t="n">
        <x:f>B54-B53</x:f>
        <x:v>31</x:v>
      </x:c>
      <x:c r="D54" s="30" t="n">
        <x:f>H53</x:f>
        <x:v>3462521.89</x:v>
      </x:c>
      <x:c r="E54" s="30" t="n">
        <x:f>ROUND(D54*I54,2)</x:f>
        <x:v>22055.79</x:v>
      </x:c>
      <x:c r="F54" s="30" t="n">
        <x:f>IF(G54&gt;=E54,ROUND(G54-E54,2),NA())</x:f>
        <x:v>3947.41</x:v>
      </x:c>
      <x:c r="G54" s="30" t="n">
        <x:f>MIN('Параметры'!$C$14,ROUND(D54+E54,2))</x:f>
        <x:v>26003.2</x:v>
      </x:c>
      <x:c r="H54" s="30" t="n">
        <x:f>ROUND(D54-F54,2)</x:f>
        <x:v>3458574.48</x:v>
      </x:c>
      <x:c r="I54" s="33" t="n">
        <x:f>IF(AND(ISNUMBER('Параметры'!$C$7),'Параметры'!$C$7&gt;=0),'Параметры'!$C$7*C54/365,NA())</x:f>
        <x:v>0.00636986301369863</x:v>
      </x:c>
      <x:c r="J54" s="32" t="n">
        <x:f>J53/(1+I54)</x:f>
        <x:v>0.7427241063093266</x:v>
      </x:c>
      <x:c r="K54" s="33" t="n">
        <x:f>IF(AND(ISNUMBER('Параметры'!$C$8),'Параметры'!$C$8&gt;=0),'Параметры'!$C$8*C54/365,NA())</x:f>
        <x:v>0.00636986301369863</x:v>
      </x:c>
      <x:c r="L54" s="32" t="n">
        <x:f>L53/(1+K54)</x:f>
        <x:v>0.7427241063093266</x:v>
      </x:c>
      <x:c r="M54" s="30" t="n">
        <x:f>E54*L54</x:f>
        <x:v>16381.366916696183</x:v>
      </x:c>
      <x:c r="N54" s="30" t="n">
        <x:f>F54*L54</x:f>
        <x:v>2931.836564486499</x:v>
      </x:c>
      <x:c r="O54" s="30" t="n">
        <x:f>G54*L54</x:f>
        <x:v>19313.20348118268</x:v>
      </x:c>
    </x:row>
    <x:row r="55" ht="21" customHeight="1">
      <x:c r="A55" s="28" t="n">
        <x:v>49</x:v>
      </x:c>
      <x:c r="B55" s="29" t="n">
        <x:v>46287</x:v>
      </x:c>
      <x:c r="C55" s="28" t="n">
        <x:f>B55-B54</x:f>
        <x:v>31</x:v>
      </x:c>
      <x:c r="D55" s="30" t="n">
        <x:f>H54</x:f>
        <x:v>3458574.48</x:v>
      </x:c>
      <x:c r="E55" s="30" t="n">
        <x:f>ROUND(D55*I55,2)</x:f>
        <x:v>22030.65</x:v>
      </x:c>
      <x:c r="F55" s="30" t="n">
        <x:f>IF(G55&gt;=E55,ROUND(G55-E55,2),NA())</x:f>
        <x:v>3972.55</x:v>
      </x:c>
      <x:c r="G55" s="30" t="n">
        <x:f>MIN('Параметры'!$C$14,ROUND(D55+E55,2))</x:f>
        <x:v>26003.2</x:v>
      </x:c>
      <x:c r="H55" s="30" t="n">
        <x:f>ROUND(D55-F55,2)</x:f>
        <x:v>3454601.93</x:v>
      </x:c>
      <x:c r="I55" s="33" t="n">
        <x:f>IF(AND(ISNUMBER('Параметры'!$C$7),'Параметры'!$C$7&gt;=0),'Параметры'!$C$7*C55/365,NA())</x:f>
        <x:v>0.00636986301369863</x:v>
      </x:c>
      <x:c r="J55" s="32" t="n">
        <x:f>J54/(1+I55)</x:f>
        <x:v>0.7380230008926815</x:v>
      </x:c>
      <x:c r="K55" s="33" t="n">
        <x:f>IF(AND(ISNUMBER('Параметры'!$C$8),'Параметры'!$C$8&gt;=0),'Параметры'!$C$8*C55/365,NA())</x:f>
        <x:v>0.00636986301369863</x:v>
      </x:c>
      <x:c r="L55" s="32" t="n">
        <x:f>L54/(1+K55)</x:f>
        <x:v>0.7380230008926815</x:v>
      </x:c>
      <x:c r="M55" s="30" t="n">
        <x:f>E55*L55</x:f>
        <x:v>16259.126424616354</x:v>
      </x:c>
      <x:c r="N55" s="30" t="n">
        <x:f>F55*L55</x:f>
        <x:v>2931.833272196222</x:v>
      </x:c>
      <x:c r="O55" s="30" t="n">
        <x:f>G55*L55</x:f>
        <x:v>19190.959696812577</x:v>
      </x:c>
    </x:row>
    <x:row r="56" ht="21" customHeight="1">
      <x:c r="A56" s="28" t="n">
        <x:v>50</x:v>
      </x:c>
      <x:c r="B56" s="29" t="n">
        <x:v>46317</x:v>
      </x:c>
      <x:c r="C56" s="28" t="n">
        <x:f>B56-B55</x:f>
        <x:v>30</x:v>
      </x:c>
      <x:c r="D56" s="30" t="n">
        <x:f>H55</x:f>
        <x:v>3454601.93</x:v>
      </x:c>
      <x:c r="E56" s="30" t="n">
        <x:f>ROUND(D56*I56,2)</x:f>
        <x:v>21295.49</x:v>
      </x:c>
      <x:c r="F56" s="30" t="n">
        <x:f>IF(G56&gt;=E56,ROUND(G56-E56,2),NA())</x:f>
        <x:v>4707.71</x:v>
      </x:c>
      <x:c r="G56" s="30" t="n">
        <x:f>MIN('Параметры'!$C$14,ROUND(D56+E56,2))</x:f>
        <x:v>26003.2</x:v>
      </x:c>
      <x:c r="H56" s="30" t="n">
        <x:f>ROUND(D56-F56,2)</x:f>
        <x:v>3449894.22</x:v>
      </x:c>
      <x:c r="I56" s="33" t="n">
        <x:f>IF(AND(ISNUMBER('Параметры'!$C$7),'Параметры'!$C$7&gt;=0),'Параметры'!$C$7*C56/365,NA())</x:f>
        <x:v>0.0061643835616438354</x:v>
      </x:c>
      <x:c r="J56" s="32" t="n">
        <x:f>J55/(1+I56)</x:f>
        <x:v>0.7335014168164159</x:v>
      </x:c>
      <x:c r="K56" s="33" t="n">
        <x:f>IF(AND(ISNUMBER('Параметры'!$C$8),'Параметры'!$C$8&gt;=0),'Параметры'!$C$8*C56/365,NA())</x:f>
        <x:v>0.0061643835616438354</x:v>
      </x:c>
      <x:c r="L56" s="32" t="n">
        <x:f>L55/(1+K56)</x:f>
        <x:v>0.7335014168164159</x:v>
      </x:c>
      <x:c r="M56" s="30" t="n">
        <x:f>E56*L56</x:f>
        <x:v>15620.272086799818</x:v>
      </x:c>
      <x:c r="N56" s="30" t="n">
        <x:f>F56*L56</x:f>
        <x:v>3453.1119549608093</x:v>
      </x:c>
      <x:c r="O56" s="30" t="n">
        <x:f>G56*L56</x:f>
        <x:v>19073.384041760626</x:v>
      </x:c>
    </x:row>
    <x:row r="57" ht="21" customHeight="1">
      <x:c r="A57" s="28" t="n">
        <x:v>51</x:v>
      </x:c>
      <x:c r="B57" s="29" t="n">
        <x:v>46348</x:v>
      </x:c>
      <x:c r="C57" s="28" t="n">
        <x:f>B57-B56</x:f>
        <x:v>31</x:v>
      </x:c>
      <x:c r="D57" s="30" t="n">
        <x:f>H56</x:f>
        <x:v>3449894.22</x:v>
      </x:c>
      <x:c r="E57" s="30" t="n">
        <x:f>ROUND(D57*I57,2)</x:f>
        <x:v>21975.35</x:v>
      </x:c>
      <x:c r="F57" s="30" t="n">
        <x:f>IF(G57&gt;=E57,ROUND(G57-E57,2),NA())</x:f>
        <x:v>4027.85</x:v>
      </x:c>
      <x:c r="G57" s="30" t="n">
        <x:f>MIN('Параметры'!$C$14,ROUND(D57+E57,2))</x:f>
        <x:v>26003.2</x:v>
      </x:c>
      <x:c r="H57" s="30" t="n">
        <x:f>ROUND(D57-F57,2)</x:f>
        <x:v>3445866.37</x:v>
      </x:c>
      <x:c r="I57" s="33" t="n">
        <x:f>IF(AND(ISNUMBER('Параметры'!$C$7),'Параметры'!$C$7&gt;=0),'Параметры'!$C$7*C57/365,NA())</x:f>
        <x:v>0.00636986301369863</x:v>
      </x:c>
      <x:c r="J57" s="32" t="n">
        <x:f>J56/(1+I57)</x:f>
        <x:v>0.7288586868249964</x:v>
      </x:c>
      <x:c r="K57" s="33" t="n">
        <x:f>IF(AND(ISNUMBER('Параметры'!$C$8),'Параметры'!$C$8&gt;=0),'Параметры'!$C$8*C57/365,NA())</x:f>
        <x:v>0.00636986301369863</x:v>
      </x:c>
      <x:c r="L57" s="32" t="n">
        <x:f>L56/(1+K57)</x:f>
        <x:v>0.7288586868249964</x:v>
      </x:c>
      <x:c r="M57" s="30" t="n">
        <x:f>E57*L57</x:f>
        <x:v>16016.924743519685</x:v>
      </x:c>
      <x:c r="N57" s="30" t="n">
        <x:f>F57*L57</x:f>
        <x:v>2935.7334617280617</x:v>
      </x:c>
      <x:c r="O57" s="30" t="n">
        <x:f>G57*L57</x:f>
        <x:v>18952.65820524775</x:v>
      </x:c>
    </x:row>
    <x:row r="58" ht="21" customHeight="1">
      <x:c r="A58" s="28" t="n">
        <x:v>52</x:v>
      </x:c>
      <x:c r="B58" s="29" t="n">
        <x:v>46378</x:v>
      </x:c>
      <x:c r="C58" s="28" t="n">
        <x:f>B58-B57</x:f>
        <x:v>30</x:v>
      </x:c>
      <x:c r="D58" s="30" t="n">
        <x:f>H57</x:f>
        <x:v>3445866.37</x:v>
      </x:c>
      <x:c r="E58" s="30" t="n">
        <x:f>ROUND(D58*I58,2)</x:f>
        <x:v>21241.64</x:v>
      </x:c>
      <x:c r="F58" s="30" t="n">
        <x:f>IF(G58&gt;=E58,ROUND(G58-E58,2),NA())</x:f>
        <x:v>4761.56</x:v>
      </x:c>
      <x:c r="G58" s="30" t="n">
        <x:f>MIN('Параметры'!$C$14,ROUND(D58+E58,2))</x:f>
        <x:v>26003.2</x:v>
      </x:c>
      <x:c r="H58" s="30" t="n">
        <x:f>ROUND(D58-F58,2)</x:f>
        <x:v>3441104.81</x:v>
      </x:c>
      <x:c r="I58" s="33" t="n">
        <x:f>IF(AND(ISNUMBER('Параметры'!$C$7),'Параметры'!$C$7&gt;=0),'Параметры'!$C$7*C58/365,NA())</x:f>
        <x:v>0.0061643835616438354</x:v>
      </x:c>
      <x:c r="J58" s="32" t="n">
        <x:f>J57/(1+I58)</x:f>
        <x:v>0.7243932489887643</x:v>
      </x:c>
      <x:c r="K58" s="33" t="n">
        <x:f>IF(AND(ISNUMBER('Параметры'!$C$8),'Параметры'!$C$8&gt;=0),'Параметры'!$C$8*C58/365,NA())</x:f>
        <x:v>0.0061643835616438354</x:v>
      </x:c>
      <x:c r="L58" s="32" t="n">
        <x:f>L57/(1+K58)</x:f>
        <x:v>0.7243932489887643</x:v>
      </x:c>
      <x:c r="M58" s="30" t="n">
        <x:f>E58*L58</x:f>
        <x:v>15387.300613449695</x:v>
      </x:c>
      <x:c r="N58" s="30" t="n">
        <x:f>F58*L58</x:f>
        <x:v>3449.241918654941</x:v>
      </x:c>
      <x:c r="O58" s="30" t="n">
        <x:f>G58*L58</x:f>
        <x:v>18836.54253210464</x:v>
      </x:c>
    </x:row>
    <x:row r="59" ht="21" customHeight="1">
      <x:c r="A59" s="28" t="n">
        <x:v>53</x:v>
      </x:c>
      <x:c r="B59" s="29" t="n">
        <x:v>46409</x:v>
      </x:c>
      <x:c r="C59" s="28" t="n">
        <x:f>B59-B58</x:f>
        <x:v>31</x:v>
      </x:c>
      <x:c r="D59" s="30" t="n">
        <x:f>H58</x:f>
        <x:v>3441104.81</x:v>
      </x:c>
      <x:c r="E59" s="30" t="n">
        <x:f>ROUND(D59*I59,2)</x:f>
        <x:v>21919.37</x:v>
      </x:c>
      <x:c r="F59" s="30" t="n">
        <x:f>IF(G59&gt;=E59,ROUND(G59-E59,2),NA())</x:f>
        <x:v>4083.83</x:v>
      </x:c>
      <x:c r="G59" s="30" t="n">
        <x:f>MIN('Параметры'!$C$14,ROUND(D59+E59,2))</x:f>
        <x:v>26003.2</x:v>
      </x:c>
      <x:c r="H59" s="30" t="n">
        <x:f>ROUND(D59-F59,2)</x:f>
        <x:v>3437020.98</x:v>
      </x:c>
      <x:c r="I59" s="33" t="n">
        <x:f>IF(AND(ISNUMBER('Параметры'!$C$7),'Параметры'!$C$7&gt;=0),'Параметры'!$C$7*C59/365,NA())</x:f>
        <x:v>0.00636986301369863</x:v>
      </x:c>
      <x:c r="J59" s="32" t="n">
        <x:f>J58/(1+I59)</x:f>
        <x:v>0.7198081695525733</x:v>
      </x:c>
      <x:c r="K59" s="33" t="n">
        <x:f>IF(AND(ISNUMBER('Параметры'!$C$8),'Параметры'!$C$8&gt;=0),'Параметры'!$C$8*C59/365,NA())</x:f>
        <x:v>0.00636986301369863</x:v>
      </x:c>
      <x:c r="L59" s="32" t="n">
        <x:f>L58/(1+K59)</x:f>
        <x:v>0.7198081695525733</x:v>
      </x:c>
      <x:c r="M59" s="30" t="n">
        <x:f>E59*L59</x:f>
        <x:v>15777.741597445589</x:v>
      </x:c>
      <x:c r="N59" s="30" t="n">
        <x:f>F59*L59</x:f>
        <x:v>2939.5741970638855</x:v>
      </x:c>
      <x:c r="O59" s="30" t="n">
        <x:f>G59*L59</x:f>
        <x:v>18717.315794509475</x:v>
      </x:c>
    </x:row>
    <x:row r="60" ht="21" customHeight="1">
      <x:c r="A60" s="28" t="n">
        <x:v>54</x:v>
      </x:c>
      <x:c r="B60" s="29" t="n">
        <x:v>46440</x:v>
      </x:c>
      <x:c r="C60" s="28" t="n">
        <x:f>B60-B59</x:f>
        <x:v>31</x:v>
      </x:c>
      <x:c r="D60" s="30" t="n">
        <x:f>H59</x:f>
        <x:v>3437020.98</x:v>
      </x:c>
      <x:c r="E60" s="30" t="n">
        <x:f>ROUND(D60*I60,2)</x:f>
        <x:v>21893.35</x:v>
      </x:c>
      <x:c r="F60" s="30" t="n">
        <x:f>IF(G60&gt;=E60,ROUND(G60-E60,2),NA())</x:f>
        <x:v>4109.85</x:v>
      </x:c>
      <x:c r="G60" s="30" t="n">
        <x:f>MIN('Параметры'!$C$14,ROUND(D60+E60,2))</x:f>
        <x:v>26003.2</x:v>
      </x:c>
      <x:c r="H60" s="30" t="n">
        <x:f>ROUND(D60-F60,2)</x:f>
        <x:v>3432911.13</x:v>
      </x:c>
      <x:c r="I60" s="33" t="n">
        <x:f>IF(AND(ISNUMBER('Параметры'!$C$7),'Параметры'!$C$7&gt;=0),'Параметры'!$C$7*C60/365,NA())</x:f>
        <x:v>0.00636986301369863</x:v>
      </x:c>
      <x:c r="J60" s="32" t="n">
        <x:f>J59/(1+I60)</x:f>
        <x:v>0.7152521115815402</x:v>
      </x:c>
      <x:c r="K60" s="33" t="n">
        <x:f>IF(AND(ISNUMBER('Параметры'!$C$8),'Параметры'!$C$8&gt;=0),'Параметры'!$C$8*C60/365,NA())</x:f>
        <x:v>0.00636986301369863</x:v>
      </x:c>
      <x:c r="L60" s="32" t="n">
        <x:f>L59/(1+K60)</x:f>
        <x:v>0.7152521115815402</x:v>
      </x:c>
      <x:c r="M60" s="30" t="n">
        <x:f>E60*L60</x:f>
        <x:v>15659.264817093712</x:v>
      </x:c>
      <x:c r="N60" s="30" t="n">
        <x:f>F60*L60</x:f>
        <x:v>2939.5788907833935</x:v>
      </x:c>
      <x:c r="O60" s="30" t="n">
        <x:f>G60*L60</x:f>
        <x:v>18598.843707877106</x:v>
      </x:c>
    </x:row>
    <x:row r="61" ht="21" customHeight="1">
      <x:c r="A61" s="28" t="n">
        <x:v>55</x:v>
      </x:c>
      <x:c r="B61" s="29" t="n">
        <x:v>46468</x:v>
      </x:c>
      <x:c r="C61" s="28" t="n">
        <x:f>B61-B60</x:f>
        <x:v>28</x:v>
      </x:c>
      <x:c r="D61" s="30" t="n">
        <x:f>H60</x:f>
        <x:v>3432911.13</x:v>
      </x:c>
      <x:c r="E61" s="30" t="n">
        <x:f>ROUND(D61*I61,2)</x:f>
        <x:v>19751</x:v>
      </x:c>
      <x:c r="F61" s="30" t="n">
        <x:f>IF(G61&gt;=E61,ROUND(G61-E61,2),NA())</x:f>
        <x:v>6252.2</x:v>
      </x:c>
      <x:c r="G61" s="30" t="n">
        <x:f>MIN('Параметры'!$C$14,ROUND(D61+E61,2))</x:f>
        <x:v>26003.2</x:v>
      </x:c>
      <x:c r="H61" s="30" t="n">
        <x:f>ROUND(D61-F61,2)</x:f>
        <x:v>3426658.93</x:v>
      </x:c>
      <x:c r="I61" s="33" t="n">
        <x:f>IF(AND(ISNUMBER('Параметры'!$C$7),'Параметры'!$C$7&gt;=0),'Параметры'!$C$7*C61/365,NA())</x:f>
        <x:v>0.005753424657534247</x:v>
      </x:c>
      <x:c r="J61" s="32" t="n">
        <x:f>J60/(1+I61)</x:f>
        <x:v>0.7111605032069251</x:v>
      </x:c>
      <x:c r="K61" s="33" t="n">
        <x:f>IF(AND(ISNUMBER('Параметры'!$C$8),'Параметры'!$C$8&gt;=0),'Параметры'!$C$8*C61/365,NA())</x:f>
        <x:v>0.005753424657534247</x:v>
      </x:c>
      <x:c r="L61" s="32" t="n">
        <x:f>L60/(1+K61)</x:f>
        <x:v>0.7111605032069251</x:v>
      </x:c>
      <x:c r="M61" s="30" t="n">
        <x:f>E61*L61</x:f>
        <x:v>14046.131098839978</x:v>
      </x:c>
      <x:c r="N61" s="30" t="n">
        <x:f>F61*L61</x:f>
        <x:v>4446.3176981503375</x:v>
      </x:c>
      <x:c r="O61" s="30" t="n">
        <x:f>G61*L61</x:f>
        <x:v>18492.448796990317</x:v>
      </x:c>
    </x:row>
    <x:row r="62" ht="21" customHeight="1">
      <x:c r="A62" s="28" t="n">
        <x:v>56</x:v>
      </x:c>
      <x:c r="B62" s="29" t="n">
        <x:v>46499</x:v>
      </x:c>
      <x:c r="C62" s="28" t="n">
        <x:f>B62-B61</x:f>
        <x:v>31</x:v>
      </x:c>
      <x:c r="D62" s="30" t="n">
        <x:f>H61</x:f>
        <x:v>3426658.93</x:v>
      </x:c>
      <x:c r="E62" s="30" t="n">
        <x:f>ROUND(D62*I62,2)</x:f>
        <x:v>21827.35</x:v>
      </x:c>
      <x:c r="F62" s="30" t="n">
        <x:f>IF(G62&gt;=E62,ROUND(G62-E62,2),NA())</x:f>
        <x:v>4175.85</x:v>
      </x:c>
      <x:c r="G62" s="30" t="n">
        <x:f>MIN('Параметры'!$C$14,ROUND(D62+E62,2))</x:f>
        <x:v>26003.2</x:v>
      </x:c>
      <x:c r="H62" s="30" t="n">
        <x:f>ROUND(D62-F62,2)</x:f>
        <x:v>3422483.08</x:v>
      </x:c>
      <x:c r="I62" s="33" t="n">
        <x:f>IF(AND(ISNUMBER('Параметры'!$C$7),'Параметры'!$C$7&gt;=0),'Параметры'!$C$7*C62/365,NA())</x:f>
        <x:v>0.00636986301369863</x:v>
      </x:c>
      <x:c r="J62" s="32" t="n">
        <x:f>J61/(1+I62)</x:f>
        <x:v>0.7066591810264145</x:v>
      </x:c>
      <x:c r="K62" s="33" t="n">
        <x:f>IF(AND(ISNUMBER('Параметры'!$C$8),'Параметры'!$C$8&gt;=0),'Параметры'!$C$8*C62/365,NA())</x:f>
        <x:v>0.00636986301369863</x:v>
      </x:c>
      <x:c r="L62" s="32" t="n">
        <x:f>L61/(1+K62)</x:f>
        <x:v>0.7066591810264145</x:v>
      </x:c>
      <x:c r="M62" s="30" t="n">
        <x:f>E62*L62</x:f>
        <x:v>15424.497274976906</x:v>
      </x:c>
      <x:c r="N62" s="30" t="n">
        <x:f>F62*L62</x:f>
        <x:v>2950.902741089153</x:v>
      </x:c>
      <x:c r="O62" s="30" t="n">
        <x:f>G62*L62</x:f>
        <x:v>18375.40001606606</x:v>
      </x:c>
    </x:row>
    <x:row r="63" ht="21" customHeight="1">
      <x:c r="A63" s="28" t="n">
        <x:v>57</x:v>
      </x:c>
      <x:c r="B63" s="29" t="n">
        <x:v>46529</x:v>
      </x:c>
      <x:c r="C63" s="28" t="n">
        <x:f>B63-B62</x:f>
        <x:v>30</x:v>
      </x:c>
      <x:c r="D63" s="30" t="n">
        <x:f>H62</x:f>
        <x:v>3422483.08</x:v>
      </x:c>
      <x:c r="E63" s="30" t="n">
        <x:f>ROUND(D63*I63,2)</x:f>
        <x:v>21097.5</x:v>
      </x:c>
      <x:c r="F63" s="30" t="n">
        <x:f>IF(G63&gt;=E63,ROUND(G63-E63,2),NA())</x:f>
        <x:v>4905.7</x:v>
      </x:c>
      <x:c r="G63" s="30" t="n">
        <x:f>MIN('Параметры'!$C$14,ROUND(D63+E63,2))</x:f>
        <x:v>26003.2</x:v>
      </x:c>
      <x:c r="H63" s="30" t="n">
        <x:f>ROUND(D63-F63,2)</x:f>
        <x:v>3417577.38</x:v>
      </x:c>
      <x:c r="I63" s="33" t="n">
        <x:f>IF(AND(ISNUMBER('Параметры'!$C$7),'Параметры'!$C$7&gt;=0),'Параметры'!$C$7*C63/365,NA())</x:f>
        <x:v>0.0061643835616438354</x:v>
      </x:c>
      <x:c r="J63" s="32" t="n">
        <x:f>J62/(1+I63)</x:f>
        <x:v>0.7023297510541627</x:v>
      </x:c>
      <x:c r="K63" s="33" t="n">
        <x:f>IF(AND(ISNUMBER('Параметры'!$C$8),'Параметры'!$C$8&gt;=0),'Параметры'!$C$8*C63/365,NA())</x:f>
        <x:v>0.0061643835616438354</x:v>
      </x:c>
      <x:c r="L63" s="32" t="n">
        <x:f>L62/(1+K63)</x:f>
        <x:v>0.7023297510541627</x:v>
      </x:c>
      <x:c r="M63" s="30" t="n">
        <x:f>E63*L63</x:f>
        <x:v>14817.401922865198</x:v>
      </x:c>
      <x:c r="N63" s="30" t="n">
        <x:f>F63*L63</x:f>
        <x:v>3445.4190597464058</x:v>
      </x:c>
      <x:c r="O63" s="30" t="n">
        <x:f>G63*L63</x:f>
        <x:v>18262.820982611604</x:v>
      </x:c>
    </x:row>
    <x:row r="64" ht="21" customHeight="1">
      <x:c r="A64" s="28" t="n">
        <x:v>58</x:v>
      </x:c>
      <x:c r="B64" s="29" t="n">
        <x:v>46560</x:v>
      </x:c>
      <x:c r="C64" s="28" t="n">
        <x:f>B64-B63</x:f>
        <x:v>31</x:v>
      </x:c>
      <x:c r="D64" s="30" t="n">
        <x:f>H63</x:f>
        <x:v>3417577.38</x:v>
      </x:c>
      <x:c r="E64" s="30" t="n">
        <x:f>ROUND(D64*I64,2)</x:f>
        <x:v>21769.5</x:v>
      </x:c>
      <x:c r="F64" s="30" t="n">
        <x:f>IF(G64&gt;=E64,ROUND(G64-E64,2),NA())</x:f>
        <x:v>4233.7</x:v>
      </x:c>
      <x:c r="G64" s="30" t="n">
        <x:f>MIN('Параметры'!$C$14,ROUND(D64+E64,2))</x:f>
        <x:v>26003.2</x:v>
      </x:c>
      <x:c r="H64" s="30" t="n">
        <x:f>ROUND(D64-F64,2)</x:f>
        <x:v>3413343.68</x:v>
      </x:c>
      <x:c r="I64" s="33" t="n">
        <x:f>IF(AND(ISNUMBER('Параметры'!$C$7),'Параметры'!$C$7&gt;=0),'Параметры'!$C$7*C64/365,NA())</x:f>
        <x:v>0.00636986301369863</x:v>
      </x:c>
      <x:c r="J64" s="32" t="n">
        <x:f>J63/(1+I64)</x:f>
        <x:v>0.697884323513971</x:v>
      </x:c>
      <x:c r="K64" s="33" t="n">
        <x:f>IF(AND(ISNUMBER('Параметры'!$C$8),'Параметры'!$C$8&gt;=0),'Параметры'!$C$8*C64/365,NA())</x:f>
        <x:v>0.00636986301369863</x:v>
      </x:c>
      <x:c r="L64" s="32" t="n">
        <x:f>L63/(1+K64)</x:f>
        <x:v>0.697884323513971</x:v>
      </x:c>
      <x:c r="M64" s="30" t="n">
        <x:f>E64*L64</x:f>
        <x:v>15192.592780737392</x:v>
      </x:c>
      <x:c r="N64" s="30" t="n">
        <x:f>F64*L64</x:f>
        <x:v>2954.632860461099</x:v>
      </x:c>
      <x:c r="O64" s="30" t="n">
        <x:f>G64*L64</x:f>
        <x:v>18147.225641198493</x:v>
      </x:c>
    </x:row>
    <x:row r="65" ht="21" customHeight="1">
      <x:c r="A65" s="28" t="n">
        <x:v>59</x:v>
      </x:c>
      <x:c r="B65" s="29" t="n">
        <x:v>46590</x:v>
      </x:c>
      <x:c r="C65" s="28" t="n">
        <x:f>B65-B64</x:f>
        <x:v>30</x:v>
      </x:c>
      <x:c r="D65" s="30" t="n">
        <x:f>H64</x:f>
        <x:v>3413343.68</x:v>
      </x:c>
      <x:c r="E65" s="30" t="n">
        <x:f>ROUND(D65*I65,2)</x:f>
        <x:v>21041.16</x:v>
      </x:c>
      <x:c r="F65" s="30" t="n">
        <x:f>IF(G65&gt;=E65,ROUND(G65-E65,2),NA())</x:f>
        <x:v>4962.04</x:v>
      </x:c>
      <x:c r="G65" s="30" t="n">
        <x:f>MIN('Параметры'!$C$14,ROUND(D65+E65,2))</x:f>
        <x:v>26003.2</x:v>
      </x:c>
      <x:c r="H65" s="30" t="n">
        <x:f>ROUND(D65-F65,2)</x:f>
        <x:v>3408381.64</x:v>
      </x:c>
      <x:c r="I65" s="33" t="n">
        <x:f>IF(AND(ISNUMBER('Параметры'!$C$7),'Параметры'!$C$7&gt;=0),'Параметры'!$C$7*C65/365,NA())</x:f>
        <x:v>0.0061643835616438354</x:v>
      </x:c>
      <x:c r="J65" s="32" t="n">
        <x:f>J64/(1+I65)</x:f>
        <x:v>0.6936086537306996</x:v>
      </x:c>
      <x:c r="K65" s="33" t="n">
        <x:f>IF(AND(ISNUMBER('Параметры'!$C$8),'Параметры'!$C$8&gt;=0),'Параметры'!$C$8*C65/365,NA())</x:f>
        <x:v>0.0061643835616438354</x:v>
      </x:c>
      <x:c r="L65" s="32" t="n">
        <x:f>L64/(1+K65)</x:f>
        <x:v>0.6936086537306996</x:v>
      </x:c>
      <x:c r="M65" s="30" t="n">
        <x:f>E65*L65</x:f>
        <x:v>14594.330660532247</x:v>
      </x:c>
      <x:c r="N65" s="30" t="n">
        <x:f>F65*L65</x:f>
        <x:v>3441.7138841578803</x:v>
      </x:c>
      <x:c r="O65" s="30" t="n">
        <x:f>G65*L65</x:f>
        <x:v>18036.04454469013</x:v>
      </x:c>
    </x:row>
    <x:row r="66" ht="21" customHeight="1">
      <x:c r="A66" s="28" t="n">
        <x:v>60</x:v>
      </x:c>
      <x:c r="B66" s="29" t="n">
        <x:v>46621</x:v>
      </x:c>
      <x:c r="C66" s="28" t="n">
        <x:f>B66-B65</x:f>
        <x:v>31</x:v>
      </x:c>
      <x:c r="D66" s="30" t="n">
        <x:f>H65</x:f>
        <x:v>3408381.64</x:v>
      </x:c>
      <x:c r="E66" s="30" t="n">
        <x:f>ROUND(D66*I66,2)</x:f>
        <x:v>21710.92</x:v>
      </x:c>
      <x:c r="F66" s="30" t="n">
        <x:f>IF(G66&gt;=E66,ROUND(G66-E66,2),NA())</x:f>
        <x:v>4292.28</x:v>
      </x:c>
      <x:c r="G66" s="30" t="n">
        <x:f>MIN('Параметры'!$C$14,ROUND(D66+E66,2))</x:f>
        <x:v>26003.2</x:v>
      </x:c>
      <x:c r="H66" s="30" t="n">
        <x:f>ROUND(D66-F66,2)</x:f>
        <x:v>3404089.36</x:v>
      </x:c>
      <x:c r="I66" s="33" t="n">
        <x:f>IF(AND(ISNUMBER('Параметры'!$C$7),'Параметры'!$C$7&gt;=0),'Параметры'!$C$7*C66/365,NA())</x:f>
        <x:v>0.00636986301369863</x:v>
      </x:c>
      <x:c r="J66" s="32" t="n">
        <x:f>J65/(1+I66)</x:f>
        <x:v>0.6892184267656853</x:v>
      </x:c>
      <x:c r="K66" s="33" t="n">
        <x:f>IF(AND(ISNUMBER('Параметры'!$C$8),'Параметры'!$C$8&gt;=0),'Параметры'!$C$8*C66/365,NA())</x:f>
        <x:v>0.00636986301369863</x:v>
      </x:c>
      <x:c r="L66" s="32" t="n">
        <x:f>L65/(1+K66)</x:f>
        <x:v>0.6892184267656853</x:v>
      </x:c>
      <x:c r="M66" s="30" t="n">
        <x:f>E66*L66</x:f>
        <x:v>14963.566126035652</x:v>
      </x:c>
      <x:c r="N66" s="30" t="n">
        <x:f>F66*L66</x:f>
        <x:v>2958.3184688378155</x:v>
      </x:c>
      <x:c r="O66" s="30" t="n">
        <x:f>G66*L66</x:f>
        <x:v>17921.88459487347</x:v>
      </x:c>
    </x:row>
    <x:row r="67" ht="21" customHeight="1">
      <x:c r="A67" s="28" t="n">
        <x:v>61</x:v>
      </x:c>
      <x:c r="B67" s="29" t="n">
        <x:v>46652</x:v>
      </x:c>
      <x:c r="C67" s="28" t="n">
        <x:f>B67-B66</x:f>
        <x:v>31</x:v>
      </x:c>
      <x:c r="D67" s="30" t="n">
        <x:f>H66</x:f>
        <x:v>3404089.36</x:v>
      </x:c>
      <x:c r="E67" s="30" t="n">
        <x:f>ROUND(D67*I67,2)</x:f>
        <x:v>21683.58</x:v>
      </x:c>
      <x:c r="F67" s="30" t="n">
        <x:f>IF(G67&gt;=E67,ROUND(G67-E67,2),NA())</x:f>
        <x:v>4319.62</x:v>
      </x:c>
      <x:c r="G67" s="30" t="n">
        <x:f>MIN('Параметры'!$C$14,ROUND(D67+E67,2))</x:f>
        <x:v>26003.2</x:v>
      </x:c>
      <x:c r="H67" s="30" t="n">
        <x:f>ROUND(D67-F67,2)</x:f>
        <x:v>3399769.74</x:v>
      </x:c>
      <x:c r="I67" s="33" t="n">
        <x:f>IF(AND(ISNUMBER('Параметры'!$C$7),'Параметры'!$C$7&gt;=0),'Параметры'!$C$7*C67/365,NA())</x:f>
        <x:v>0.00636986301369863</x:v>
      </x:c>
      <x:c r="J67" s="32" t="n">
        <x:f>J66/(1+I67)</x:f>
        <x:v>0.6848559879384065</x:v>
      </x:c>
      <x:c r="K67" s="33" t="n">
        <x:f>IF(AND(ISNUMBER('Параметры'!$C$8),'Параметры'!$C$8&gt;=0),'Параметры'!$C$8*C67/365,NA())</x:f>
        <x:v>0.00636986301369863</x:v>
      </x:c>
      <x:c r="L67" s="32" t="n">
        <x:f>L66/(1+K67)</x:f>
        <x:v>0.6848559879384065</x:v>
      </x:c>
      <x:c r="M67" s="30" t="n">
        <x:f>E67*L67</x:f>
        <x:v>14850.129602941473</x:v>
      </x:c>
      <x:c r="N67" s="30" t="n">
        <x:f>F67*L67</x:f>
        <x:v>2958.3176226184996</x:v>
      </x:c>
      <x:c r="O67" s="30" t="n">
        <x:f>G67*L67</x:f>
        <x:v>17808.447225559972</x:v>
      </x:c>
    </x:row>
    <x:row r="68" ht="21" customHeight="1">
      <x:c r="A68" s="28" t="n">
        <x:v>62</x:v>
      </x:c>
      <x:c r="B68" s="29" t="n">
        <x:v>46682</x:v>
      </x:c>
      <x:c r="C68" s="28" t="n">
        <x:f>B68-B67</x:f>
        <x:v>30</x:v>
      </x:c>
      <x:c r="D68" s="30" t="n">
        <x:f>H67</x:f>
        <x:v>3399769.74</x:v>
      </x:c>
      <x:c r="E68" s="30" t="n">
        <x:f>ROUND(D68*I68,2)</x:f>
        <x:v>20957.48</x:v>
      </x:c>
      <x:c r="F68" s="30" t="n">
        <x:f>IF(G68&gt;=E68,ROUND(G68-E68,2),NA())</x:f>
        <x:v>5045.72</x:v>
      </x:c>
      <x:c r="G68" s="30" t="n">
        <x:f>MIN('Параметры'!$C$14,ROUND(D68+E68,2))</x:f>
        <x:v>26003.2</x:v>
      </x:c>
      <x:c r="H68" s="30" t="n">
        <x:f>ROUND(D68-F68,2)</x:f>
        <x:v>3394724.02</x:v>
      </x:c>
      <x:c r="I68" s="33" t="n">
        <x:f>IF(AND(ISNUMBER('Параметры'!$C$7),'Параметры'!$C$7&gt;=0),'Параметры'!$C$7*C68/365,NA())</x:f>
        <x:v>0.0061643835616438354</x:v>
      </x:c>
      <x:c r="J68" s="32" t="n">
        <x:f>J67/(1+I68)</x:f>
        <x:v>0.680660137774046</x:v>
      </x:c>
      <x:c r="K68" s="33" t="n">
        <x:f>IF(AND(ISNUMBER('Параметры'!$C$8),'Параметры'!$C$8&gt;=0),'Параметры'!$C$8*C68/365,NA())</x:f>
        <x:v>0.0061643835616438354</x:v>
      </x:c>
      <x:c r="L68" s="32" t="n">
        <x:f>L67/(1+K68)</x:f>
        <x:v>0.680660137774046</x:v>
      </x:c>
      <x:c r="M68" s="30" t="n">
        <x:f>E68*L68</x:f>
        <x:v>14264.921224196813</x:v>
      </x:c>
      <x:c r="N68" s="30" t="n">
        <x:f>F68*L68</x:f>
        <x:v>3434.4204703692594</x:v>
      </x:c>
      <x:c r="O68" s="30" t="n">
        <x:f>G68*L68</x:f>
        <x:v>17699.341694566072</x:v>
      </x:c>
    </x:row>
    <x:row r="69" ht="21" customHeight="1">
      <x:c r="A69" s="28" t="n">
        <x:v>63</x:v>
      </x:c>
      <x:c r="B69" s="29" t="n">
        <x:v>46713</x:v>
      </x:c>
      <x:c r="C69" s="28" t="n">
        <x:f>B69-B68</x:f>
        <x:v>31</x:v>
      </x:c>
      <x:c r="D69" s="30" t="n">
        <x:f>H68</x:f>
        <x:v>3394724.02</x:v>
      </x:c>
      <x:c r="E69" s="30" t="n">
        <x:f>ROUND(D69*I69,2)</x:f>
        <x:v>21623.93</x:v>
      </x:c>
      <x:c r="F69" s="30" t="n">
        <x:f>IF(G69&gt;=E69,ROUND(G69-E69,2),NA())</x:f>
        <x:v>4379.27</x:v>
      </x:c>
      <x:c r="G69" s="30" t="n">
        <x:f>MIN('Параметры'!$C$14,ROUND(D69+E69,2))</x:f>
        <x:v>26003.2</x:v>
      </x:c>
      <x:c r="H69" s="30" t="n">
        <x:f>ROUND(D69-F69,2)</x:f>
        <x:v>3390344.75</x:v>
      </x:c>
      <x:c r="I69" s="33" t="n">
        <x:f>IF(AND(ISNUMBER('Параметры'!$C$7),'Параметры'!$C$7&gt;=0),'Параметры'!$C$7*C69/365,NA())</x:f>
        <x:v>0.00636986301369863</x:v>
      </x:c>
      <x:c r="J69" s="32" t="n">
        <x:f>J68/(1+I69)</x:f>
        <x:v>0.6763518690193339</x:v>
      </x:c>
      <x:c r="K69" s="33" t="n">
        <x:f>IF(AND(ISNUMBER('Параметры'!$C$8),'Параметры'!$C$8&gt;=0),'Параметры'!$C$8*C69/365,NA())</x:f>
        <x:v>0.00636986301369863</x:v>
      </x:c>
      <x:c r="L69" s="32" t="n">
        <x:f>L68/(1+K69)</x:f>
        <x:v>0.6763518690193339</x:v>
      </x:c>
      <x:c r="M69" s="30" t="n">
        <x:f>E69*L69</x:f>
        <x:v>14625.385471043244</x:v>
      </x:c>
      <x:c r="N69" s="30" t="n">
        <x:f>F69*L69</x:f>
        <x:v>2961.9274494402985</x:v>
      </x:c>
      <x:c r="O69" s="30" t="n">
        <x:f>G69*L69</x:f>
        <x:v>17587.312920483542</x:v>
      </x:c>
    </x:row>
    <x:row r="70" ht="21" customHeight="1">
      <x:c r="A70" s="28" t="n">
        <x:v>64</x:v>
      </x:c>
      <x:c r="B70" s="29" t="n">
        <x:v>46743</x:v>
      </x:c>
      <x:c r="C70" s="28" t="n">
        <x:f>B70-B69</x:f>
        <x:v>30</x:v>
      </x:c>
      <x:c r="D70" s="30" t="n">
        <x:f>H69</x:f>
        <x:v>3390344.75</x:v>
      </x:c>
      <x:c r="E70" s="30" t="n">
        <x:f>ROUND(D70*I70,2)</x:f>
        <x:v>20899.39</x:v>
      </x:c>
      <x:c r="F70" s="30" t="n">
        <x:f>IF(G70&gt;=E70,ROUND(G70-E70,2),NA())</x:f>
        <x:v>5103.81</x:v>
      </x:c>
      <x:c r="G70" s="30" t="n">
        <x:f>MIN('Параметры'!$C$14,ROUND(D70+E70,2))</x:f>
        <x:v>26003.2</x:v>
      </x:c>
      <x:c r="H70" s="30" t="n">
        <x:f>ROUND(D70-F70,2)</x:f>
        <x:v>3385240.94</x:v>
      </x:c>
      <x:c r="I70" s="33" t="n">
        <x:f>IF(AND(ISNUMBER('Параметры'!$C$7),'Параметры'!$C$7&gt;=0),'Параметры'!$C$7*C70/365,NA())</x:f>
        <x:v>0.0061643835616438354</x:v>
      </x:c>
      <x:c r="J70" s="32" t="n">
        <x:f>J69/(1+I70)</x:f>
        <x:v>0.6722081203323536</x:v>
      </x:c>
      <x:c r="K70" s="33" t="n">
        <x:f>IF(AND(ISNUMBER('Параметры'!$C$8),'Параметры'!$C$8&gt;=0),'Параметры'!$C$8*C70/365,NA())</x:f>
        <x:v>0.0061643835616438354</x:v>
      </x:c>
      <x:c r="L70" s="32" t="n">
        <x:f>L69/(1+K70)</x:f>
        <x:v>0.6722081203323536</x:v>
      </x:c>
      <x:c r="M70" s="30" t="n">
        <x:f>E70*L70</x:f>
        <x:v>14048.739667992786</x:v>
      </x:c>
      <x:c r="N70" s="30" t="n">
        <x:f>F70*L70</x:f>
        <x:v>3430.82252663347</x:v>
      </x:c>
      <x:c r="O70" s="30" t="n">
        <x:f>G70*L70</x:f>
        <x:v>17479.562194626258</x:v>
      </x:c>
    </x:row>
    <x:row r="71" ht="21" customHeight="1">
      <x:c r="A71" s="28" t="n">
        <x:v>65</x:v>
      </x:c>
      <x:c r="B71" s="29" t="n">
        <x:v>46774</x:v>
      </x:c>
      <x:c r="C71" s="28" t="n">
        <x:f>B71-B70</x:f>
        <x:v>31</x:v>
      </x:c>
      <x:c r="D71" s="30" t="n">
        <x:f>H70</x:f>
        <x:v>3385240.94</x:v>
      </x:c>
      <x:c r="E71" s="30" t="n">
        <x:f>ROUND(D71*I71,2)</x:f>
        <x:v>21563.52</x:v>
      </x:c>
      <x:c r="F71" s="30" t="n">
        <x:f>IF(G71&gt;=E71,ROUND(G71-E71,2),NA())</x:f>
        <x:v>4439.68</x:v>
      </x:c>
      <x:c r="G71" s="30" t="n">
        <x:f>MIN('Параметры'!$C$14,ROUND(D71+E71,2))</x:f>
        <x:v>26003.2</x:v>
      </x:c>
      <x:c r="H71" s="30" t="n">
        <x:f>ROUND(D71-F71,2)</x:f>
        <x:v>3380801.26</x:v>
      </x:c>
      <x:c r="I71" s="33" t="n">
        <x:f>IF(AND(ISNUMBER('Параметры'!$C$7),'Параметры'!$C$7&gt;=0),'Параметры'!$C$7*C71/365,NA())</x:f>
        <x:v>0.00636986301369863</x:v>
      </x:c>
      <x:c r="J71" s="32" t="n">
        <x:f>J70/(1+I71)</x:f>
        <x:v>0.6679533489996844</x:v>
      </x:c>
      <x:c r="K71" s="33" t="n">
        <x:f>IF(AND(ISNUMBER('Параметры'!$C$8),'Параметры'!$C$8&gt;=0),'Параметры'!$C$8*C71/365,NA())</x:f>
        <x:v>0.00636986301369863</x:v>
      </x:c>
      <x:c r="L71" s="32" t="n">
        <x:f>L70/(1+K71)</x:f>
        <x:v>0.6679533489996844</x:v>
      </x:c>
      <x:c r="M71" s="30" t="n">
        <x:f>E71*L71</x:f>
        <x:v>14403.425400221675</x:v>
      </x:c>
      <x:c r="N71" s="30" t="n">
        <x:f>F71*L71</x:f>
        <x:v>2965.499124486919</x:v>
      </x:c>
      <x:c r="O71" s="30" t="n">
        <x:f>G71*L71</x:f>
        <x:v>17368.924524708593</x:v>
      </x:c>
    </x:row>
    <x:row r="72" ht="21" customHeight="1">
      <x:c r="A72" s="28" t="n">
        <x:v>66</x:v>
      </x:c>
      <x:c r="B72" s="29" t="n">
        <x:v>46805</x:v>
      </x:c>
      <x:c r="C72" s="28" t="n">
        <x:f>B72-B71</x:f>
        <x:v>31</x:v>
      </x:c>
      <x:c r="D72" s="30" t="n">
        <x:f>H71</x:f>
        <x:v>3380801.26</x:v>
      </x:c>
      <x:c r="E72" s="30" t="n">
        <x:f>ROUND(D72*I72,2)</x:f>
        <x:v>21535.24</x:v>
      </x:c>
      <x:c r="F72" s="30" t="n">
        <x:f>IF(G72&gt;=E72,ROUND(G72-E72,2),NA())</x:f>
        <x:v>4467.96</x:v>
      </x:c>
      <x:c r="G72" s="30" t="n">
        <x:f>MIN('Параметры'!$C$14,ROUND(D72+E72,2))</x:f>
        <x:v>26003.2</x:v>
      </x:c>
      <x:c r="H72" s="30" t="n">
        <x:f>ROUND(D72-F72,2)</x:f>
        <x:v>3376333.3</x:v>
      </x:c>
      <x:c r="I72" s="33" t="n">
        <x:f>IF(AND(ISNUMBER('Параметры'!$C$7),'Параметры'!$C$7&gt;=0),'Параметры'!$C$7*C72/365,NA())</x:f>
        <x:v>0.00636986301369863</x:v>
      </x:c>
      <x:c r="J72" s="32" t="n">
        <x:f>J71/(1+I72)</x:f>
        <x:v>0.6637255084322734</x:v>
      </x:c>
      <x:c r="K72" s="33" t="n">
        <x:f>IF(AND(ISNUMBER('Параметры'!$C$8),'Параметры'!$C$8&gt;=0),'Параметры'!$C$8*C72/365,NA())</x:f>
        <x:v>0.00636986301369863</x:v>
      </x:c>
      <x:c r="L72" s="32" t="n">
        <x:f>L71/(1+K72)</x:f>
        <x:v>0.6637255084322734</x:v>
      </x:c>
      <x:c r="M72" s="30" t="n">
        <x:f>E72*L72</x:f>
        <x:v>14293.488118211033</x:v>
      </x:c>
      <x:c r="N72" s="30" t="n">
        <x:f>F72*L72</x:f>
        <x:v>2965.4990226550603</x:v>
      </x:c>
      <x:c r="O72" s="30" t="n">
        <x:f>G72*L72</x:f>
        <x:v>17258.98714086609</x:v>
      </x:c>
    </x:row>
    <x:row r="73" ht="21" customHeight="1">
      <x:c r="A73" s="28" t="n">
        <x:v>67</x:v>
      </x:c>
      <x:c r="B73" s="29" t="n">
        <x:v>46834</x:v>
      </x:c>
      <x:c r="C73" s="28" t="n">
        <x:f>B73-B72</x:f>
        <x:v>29</x:v>
      </x:c>
      <x:c r="D73" s="30" t="n">
        <x:f>H72</x:f>
        <x:v>3376333.3</x:v>
      </x:c>
      <x:c r="E73" s="30" t="n">
        <x:f>ROUND(D73*I73,2)</x:f>
        <x:v>20119.25</x:v>
      </x:c>
      <x:c r="F73" s="30" t="n">
        <x:f>IF(G73&gt;=E73,ROUND(G73-E73,2),NA())</x:f>
        <x:v>5883.95</x:v>
      </x:c>
      <x:c r="G73" s="30" t="n">
        <x:f>MIN('Параметры'!$C$14,ROUND(D73+E73,2))</x:f>
        <x:v>26003.2</x:v>
      </x:c>
      <x:c r="H73" s="30" t="n">
        <x:f>ROUND(D73-F73,2)</x:f>
        <x:v>3370449.35</x:v>
      </x:c>
      <x:c r="I73" s="33" t="n">
        <x:f>IF(AND(ISNUMBER('Параметры'!$C$7),'Параметры'!$C$7&gt;=0),'Параметры'!$C$7*C73/365,NA())</x:f>
        <x:v>0.00595890410958904</x:v>
      </x:c>
      <x:c r="J73" s="32" t="n">
        <x:f>J72/(1+I73)</x:f>
        <x:v>0.6597938600879139</x:v>
      </x:c>
      <x:c r="K73" s="33" t="n">
        <x:f>IF(AND(ISNUMBER('Параметры'!$C$8),'Параметры'!$C$8&gt;=0),'Параметры'!$C$8*C73/365,NA())</x:f>
        <x:v>0.00595890410958904</x:v>
      </x:c>
      <x:c r="L73" s="32" t="n">
        <x:f>L72/(1+K73)</x:f>
        <x:v>0.6597938600879139</x:v>
      </x:c>
      <x:c r="M73" s="30" t="n">
        <x:f>E73*L73</x:f>
        <x:v>13274.557619573761</x:v>
      </x:c>
      <x:c r="N73" s="30" t="n">
        <x:f>F73*L73</x:f>
        <x:v>3882.1940830642807</x:v>
      </x:c>
      <x:c r="O73" s="30" t="n">
        <x:f>G73*L73</x:f>
        <x:v>17156.75170263804</x:v>
      </x:c>
    </x:row>
    <x:row r="74" ht="21" customHeight="1">
      <x:c r="A74" s="28" t="n">
        <x:v>68</x:v>
      </x:c>
      <x:c r="B74" s="29" t="n">
        <x:v>46865</x:v>
      </x:c>
      <x:c r="C74" s="28" t="n">
        <x:f>B74-B73</x:f>
        <x:v>31</x:v>
      </x:c>
      <x:c r="D74" s="30" t="n">
        <x:f>H73</x:f>
        <x:v>3370449.35</x:v>
      </x:c>
      <x:c r="E74" s="30" t="n">
        <x:f>ROUND(D74*I74,2)</x:f>
        <x:v>21469.3</x:v>
      </x:c>
      <x:c r="F74" s="30" t="n">
        <x:f>IF(G74&gt;=E74,ROUND(G74-E74,2),NA())</x:f>
        <x:v>4533.9</x:v>
      </x:c>
      <x:c r="G74" s="30" t="n">
        <x:f>MIN('Параметры'!$C$14,ROUND(D74+E74,2))</x:f>
        <x:v>26003.2</x:v>
      </x:c>
      <x:c r="H74" s="30" t="n">
        <x:f>ROUND(D74-F74,2)</x:f>
        <x:v>3365915.45</x:v>
      </x:c>
      <x:c r="I74" s="33" t="n">
        <x:f>IF(AND(ISNUMBER('Параметры'!$C$7),'Параметры'!$C$7&gt;=0),'Параметры'!$C$7*C74/365,NA())</x:f>
        <x:v>0.00636986301369863</x:v>
      </x:c>
      <x:c r="J74" s="32" t="n">
        <x:f>J73/(1+I74)</x:f>
        <x:v>0.6556176653701452</x:v>
      </x:c>
      <x:c r="K74" s="33" t="n">
        <x:f>IF(AND(ISNUMBER('Параметры'!$C$8),'Параметры'!$C$8&gt;=0),'Параметры'!$C$8*C74/365,NA())</x:f>
        <x:v>0.00636986301369863</x:v>
      </x:c>
      <x:c r="L74" s="32" t="n">
        <x:f>L73/(1+K74)</x:f>
        <x:v>0.6556176653701452</x:v>
      </x:c>
      <x:c r="M74" s="30" t="n">
        <x:f>E74*L74</x:f>
        <x:v>14075.652343131258</x:v>
      </x:c>
      <x:c r="N74" s="30" t="n">
        <x:f>F74*L74</x:f>
        <x:v>2972.504933021701</x:v>
      </x:c>
      <x:c r="O74" s="30" t="n">
        <x:f>G74*L74</x:f>
        <x:v>17048.15727615296</x:v>
      </x:c>
    </x:row>
    <x:row r="75" ht="21" customHeight="1">
      <x:c r="A75" s="28" t="n">
        <x:v>69</x:v>
      </x:c>
      <x:c r="B75" s="29" t="n">
        <x:v>46895</x:v>
      </x:c>
      <x:c r="C75" s="28" t="n">
        <x:f>B75-B74</x:f>
        <x:v>30</x:v>
      </x:c>
      <x:c r="D75" s="30" t="n">
        <x:f>H74</x:f>
        <x:v>3365915.45</x:v>
      </x:c>
      <x:c r="E75" s="30" t="n">
        <x:f>ROUND(D75*I75,2)</x:f>
        <x:v>20748.79</x:v>
      </x:c>
      <x:c r="F75" s="30" t="n">
        <x:f>IF(G75&gt;=E75,ROUND(G75-E75,2),NA())</x:f>
        <x:v>5254.41</x:v>
      </x:c>
      <x:c r="G75" s="30" t="n">
        <x:f>MIN('Параметры'!$C$14,ROUND(D75+E75,2))</x:f>
        <x:v>26003.2</x:v>
      </x:c>
      <x:c r="H75" s="30" t="n">
        <x:f>ROUND(D75-F75,2)</x:f>
        <x:v>3360661.04</x:v>
      </x:c>
      <x:c r="I75" s="33" t="n">
        <x:f>IF(AND(ISNUMBER('Параметры'!$C$7),'Параметры'!$C$7&gt;=0),'Параметры'!$C$7*C75/365,NA())</x:f>
        <x:v>0.0061643835616438354</x:v>
      </x:c>
      <x:c r="J75" s="32" t="n">
        <x:f>J74/(1+I75)</x:f>
        <x:v>0.6516009472024589</x:v>
      </x:c>
      <x:c r="K75" s="33" t="n">
        <x:f>IF(AND(ISNUMBER('Параметры'!$C$8),'Параметры'!$C$8&gt;=0),'Параметры'!$C$8*C75/365,NA())</x:f>
        <x:v>0.0061643835616438354</x:v>
      </x:c>
      <x:c r="L75" s="32" t="n">
        <x:f>L74/(1+K75)</x:f>
        <x:v>0.6516009472024589</x:v>
      </x:c>
      <x:c r="M75" s="30" t="n">
        <x:f>E75*L75</x:f>
        <x:v>13519.931217304907</x:v>
      </x:c>
      <x:c r="N75" s="30" t="n">
        <x:f>F75*L75</x:f>
        <x:v>3423.7785329900717</x:v>
      </x:c>
      <x:c r="O75" s="30" t="n">
        <x:f>G75*L75</x:f>
        <x:v>16943.70975029498</x:v>
      </x:c>
    </x:row>
    <x:row r="76" ht="21" customHeight="1">
      <x:c r="A76" s="28" t="n">
        <x:v>70</x:v>
      </x:c>
      <x:c r="B76" s="29" t="n">
        <x:v>46926</x:v>
      </x:c>
      <x:c r="C76" s="28" t="n">
        <x:f>B76-B75</x:f>
        <x:v>31</x:v>
      </x:c>
      <x:c r="D76" s="30" t="n">
        <x:f>H75</x:f>
        <x:v>3360661.04</x:v>
      </x:c>
      <x:c r="E76" s="30" t="n">
        <x:f>ROUND(D76*I76,2)</x:f>
        <x:v>21406.95</x:v>
      </x:c>
      <x:c r="F76" s="30" t="n">
        <x:f>IF(G76&gt;=E76,ROUND(G76-E76,2),NA())</x:f>
        <x:v>4596.25</x:v>
      </x:c>
      <x:c r="G76" s="30" t="n">
        <x:f>MIN('Параметры'!$C$14,ROUND(D76+E76,2))</x:f>
        <x:v>26003.2</x:v>
      </x:c>
      <x:c r="H76" s="30" t="n">
        <x:f>ROUND(D76-F76,2)</x:f>
        <x:v>3356064.79</x:v>
      </x:c>
      <x:c r="I76" s="33" t="n">
        <x:f>IF(AND(ISNUMBER('Параметры'!$C$7),'Параметры'!$C$7&gt;=0),'Параметры'!$C$7*C76/365,NA())</x:f>
        <x:v>0.00636986301369863</x:v>
      </x:c>
      <x:c r="J76" s="32" t="n">
        <x:f>J75/(1+I76)</x:f>
        <x:v>0.6474766098928674</x:v>
      </x:c>
      <x:c r="K76" s="33" t="n">
        <x:f>IF(AND(ISNUMBER('Параметры'!$C$8),'Параметры'!$C$8&gt;=0),'Параметры'!$C$8*C76/365,NA())</x:f>
        <x:v>0.00636986301369863</x:v>
      </x:c>
      <x:c r="L76" s="32" t="n">
        <x:f>L75/(1+K76)</x:f>
        <x:v>0.6474766098928674</x:v>
      </x:c>
      <x:c r="M76" s="30" t="n">
        <x:f>E76*L76</x:f>
        <x:v>13860.499414146117</x:v>
      </x:c>
      <x:c r="N76" s="30" t="n">
        <x:f>F76*L76</x:f>
        <x:v>2975.9643682200917</x:v>
      </x:c>
      <x:c r="O76" s="30" t="n">
        <x:f>G76*L76</x:f>
        <x:v>16836.46378236621</x:v>
      </x:c>
    </x:row>
    <x:row r="77" ht="21" customHeight="1">
      <x:c r="A77" s="28" t="n">
        <x:v>71</x:v>
      </x:c>
      <x:c r="B77" s="29" t="n">
        <x:v>46956</x:v>
      </x:c>
      <x:c r="C77" s="28" t="n">
        <x:f>B77-B76</x:f>
        <x:v>30</x:v>
      </x:c>
      <x:c r="D77" s="30" t="n">
        <x:f>H76</x:f>
        <x:v>3356064.79</x:v>
      </x:c>
      <x:c r="E77" s="30" t="n">
        <x:f>ROUND(D77*I77,2)</x:f>
        <x:v>20688.07</x:v>
      </x:c>
      <x:c r="F77" s="30" t="n">
        <x:f>IF(G77&gt;=E77,ROUND(G77-E77,2),NA())</x:f>
        <x:v>5315.13</x:v>
      </x:c>
      <x:c r="G77" s="30" t="n">
        <x:f>MIN('Параметры'!$C$14,ROUND(D77+E77,2))</x:f>
        <x:v>26003.2</x:v>
      </x:c>
      <x:c r="H77" s="30" t="n">
        <x:f>ROUND(D77-F77,2)</x:f>
        <x:v>3350749.66</x:v>
      </x:c>
      <x:c r="I77" s="33" t="n">
        <x:f>IF(AND(ISNUMBER('Параметры'!$C$7),'Параметры'!$C$7&gt;=0),'Параметры'!$C$7*C77/365,NA())</x:f>
        <x:v>0.0061643835616438354</x:v>
      </x:c>
      <x:c r="J77" s="32" t="n">
        <x:f>J76/(1+I77)</x:f>
        <x:v>0.6435097688519988</x:v>
      </x:c>
      <x:c r="K77" s="33" t="n">
        <x:f>IF(AND(ISNUMBER('Параметры'!$C$8),'Параметры'!$C$8&gt;=0),'Параметры'!$C$8*C77/365,NA())</x:f>
        <x:v>0.0061643835616438354</x:v>
      </x:c>
      <x:c r="L77" s="32" t="n">
        <x:f>L76/(1+K77)</x:f>
        <x:v>0.6435097688519988</x:v>
      </x:c>
      <x:c r="M77" s="30" t="n">
        <x:f>E77*L77</x:f>
        <x:v>13312.975143693971</x:v>
      </x:c>
      <x:c r="N77" s="30" t="n">
        <x:f>F77*L77</x:f>
        <x:v>3420.3380777183247</x:v>
      </x:c>
      <x:c r="O77" s="30" t="n">
        <x:f>G77*L77</x:f>
        <x:v>16733.313221412296</x:v>
      </x:c>
    </x:row>
    <x:row r="78" ht="21" customHeight="1">
      <x:c r="A78" s="28" t="n">
        <x:v>72</x:v>
      </x:c>
      <x:c r="B78" s="29" t="n">
        <x:v>46987</x:v>
      </x:c>
      <x:c r="C78" s="28" t="n">
        <x:f>B78-B77</x:f>
        <x:v>31</x:v>
      </x:c>
      <x:c r="D78" s="30" t="n">
        <x:f>H77</x:f>
        <x:v>3350749.66</x:v>
      </x:c>
      <x:c r="E78" s="30" t="n">
        <x:f>ROUND(D78*I78,2)</x:f>
        <x:v>21343.82</x:v>
      </x:c>
      <x:c r="F78" s="30" t="n">
        <x:f>IF(G78&gt;=E78,ROUND(G78-E78,2),NA())</x:f>
        <x:v>4659.38</x:v>
      </x:c>
      <x:c r="G78" s="30" t="n">
        <x:f>MIN('Параметры'!$C$14,ROUND(D78+E78,2))</x:f>
        <x:v>26003.2</x:v>
      </x:c>
      <x:c r="H78" s="30" t="n">
        <x:f>ROUND(D78-F78,2)</x:f>
        <x:v>3346090.28</x:v>
      </x:c>
      <x:c r="I78" s="33" t="n">
        <x:f>IF(AND(ISNUMBER('Параметры'!$C$7),'Параметры'!$C$7&gt;=0),'Параметры'!$C$7*C78/365,NA())</x:f>
        <x:v>0.00636986301369863</x:v>
      </x:c>
      <x:c r="J78" s="32" t="n">
        <x:f>J77/(1+I78)</x:f>
        <x:v>0.6394366450172997</x:v>
      </x:c>
      <x:c r="K78" s="33" t="n">
        <x:f>IF(AND(ISNUMBER('Параметры'!$C$8),'Параметры'!$C$8&gt;=0),'Параметры'!$C$8*C78/365,NA())</x:f>
        <x:v>0.00636986301369863</x:v>
      </x:c>
      <x:c r="L78" s="32" t="n">
        <x:f>L77/(1+K78)</x:f>
        <x:v>0.6394366450172997</x:v>
      </x:c>
      <x:c r="M78" s="30" t="n">
        <x:f>E78*L78</x:f>
        <x:v>13648.020652653142</x:v>
      </x:c>
      <x:c r="N78" s="30" t="n">
        <x:f>F78*L78</x:f>
        <x:v>2979.378315060706</x:v>
      </x:c>
      <x:c r="O78" s="30" t="n">
        <x:f>G78*L78</x:f>
        <x:v>16627.39896771385</x:v>
      </x:c>
    </x:row>
    <x:row r="79" ht="21" customHeight="1">
      <x:c r="A79" s="28" t="n">
        <x:v>73</x:v>
      </x:c>
      <x:c r="B79" s="29" t="n">
        <x:v>47018</x:v>
      </x:c>
      <x:c r="C79" s="28" t="n">
        <x:f>B79-B78</x:f>
        <x:v>31</x:v>
      </x:c>
      <x:c r="D79" s="30" t="n">
        <x:f>H78</x:f>
        <x:v>3346090.28</x:v>
      </x:c>
      <x:c r="E79" s="30" t="n">
        <x:f>ROUND(D79*I79,2)</x:f>
        <x:v>21314.14</x:v>
      </x:c>
      <x:c r="F79" s="30" t="n">
        <x:f>IF(G79&gt;=E79,ROUND(G79-E79,2),NA())</x:f>
        <x:v>4689.06</x:v>
      </x:c>
      <x:c r="G79" s="30" t="n">
        <x:f>MIN('Параметры'!$C$14,ROUND(D79+E79,2))</x:f>
        <x:v>26003.2</x:v>
      </x:c>
      <x:c r="H79" s="30" t="n">
        <x:f>ROUND(D79-F79,2)</x:f>
        <x:v>3341401.22</x:v>
      </x:c>
      <x:c r="I79" s="33" t="n">
        <x:f>IF(AND(ISNUMBER('Параметры'!$C$7),'Параметры'!$C$7&gt;=0),'Параметры'!$C$7*C79/365,NA())</x:f>
        <x:v>0.00636986301369863</x:v>
      </x:c>
      <x:c r="J79" s="32" t="n">
        <x:f>J78/(1+I79)</x:f>
        <x:v>0.635389302201904</x:v>
      </x:c>
      <x:c r="K79" s="33" t="n">
        <x:f>IF(AND(ISNUMBER('Параметры'!$C$8),'Параметры'!$C$8&gt;=0),'Параметры'!$C$8*C79/365,NA())</x:f>
        <x:v>0.00636986301369863</x:v>
      </x:c>
      <x:c r="L79" s="32" t="n">
        <x:f>L78/(1+K79)</x:f>
        <x:v>0.635389302201904</x:v>
      </x:c>
      <x:c r="M79" s="30" t="n">
        <x:f>E79*L79</x:f>
        <x:v>13542.77654163369</x:v>
      </x:c>
      <x:c r="N79" s="30" t="n">
        <x:f>F79*L79</x:f>
        <x:v>2979.3785613828604</x:v>
      </x:c>
      <x:c r="O79" s="30" t="n">
        <x:f>G79*L79</x:f>
        <x:v>16522.15510301655</x:v>
      </x:c>
    </x:row>
    <x:row r="80" ht="21" customHeight="1">
      <x:c r="A80" s="28" t="n">
        <x:v>74</x:v>
      </x:c>
      <x:c r="B80" s="29" t="n">
        <x:v>47048</x:v>
      </x:c>
      <x:c r="C80" s="28" t="n">
        <x:f>B80-B79</x:f>
        <x:v>30</x:v>
      </x:c>
      <x:c r="D80" s="30" t="n">
        <x:f>H79</x:f>
        <x:v>3341401.22</x:v>
      </x:c>
      <x:c r="E80" s="30" t="n">
        <x:f>ROUND(D80*I80,2)</x:f>
        <x:v>20597.68</x:v>
      </x:c>
      <x:c r="F80" s="30" t="n">
        <x:f>IF(G80&gt;=E80,ROUND(G80-E80,2),NA())</x:f>
        <x:v>5405.52</x:v>
      </x:c>
      <x:c r="G80" s="30" t="n">
        <x:f>MIN('Параметры'!$C$14,ROUND(D80+E80,2))</x:f>
        <x:v>26003.2</x:v>
      </x:c>
      <x:c r="H80" s="30" t="n">
        <x:f>ROUND(D80-F80,2)</x:f>
        <x:v>3335995.7</x:v>
      </x:c>
      <x:c r="I80" s="33" t="n">
        <x:f>IF(AND(ISNUMBER('Параметры'!$C$7),'Параметры'!$C$7&gt;=0),'Параметры'!$C$7*C80/365,NA())</x:f>
        <x:v>0.0061643835616438354</x:v>
      </x:c>
      <x:c r="J80" s="32" t="n">
        <x:f>J79/(1+I80)</x:f>
        <x:v>0.6314965154627501</x:v>
      </x:c>
      <x:c r="K80" s="33" t="n">
        <x:f>IF(AND(ISNUMBER('Параметры'!$C$8),'Параметры'!$C$8&gt;=0),'Параметры'!$C$8*C80/365,NA())</x:f>
        <x:v>0.0061643835616438354</x:v>
      </x:c>
      <x:c r="L80" s="32" t="n">
        <x:f>L79/(1+K80)</x:f>
        <x:v>0.6314965154627501</x:v>
      </x:c>
      <x:c r="M80" s="30" t="n">
        <x:f>E80*L80</x:f>
        <x:v>13007.363146616779</x:v>
      </x:c>
      <x:c r="N80" s="30" t="n">
        <x:f>F80*L80</x:f>
        <x:v>3413.5670442642054</x:v>
      </x:c>
      <x:c r="O80" s="30" t="n">
        <x:f>G80*L80</x:f>
        <x:v>16420.930190880983</x:v>
      </x:c>
    </x:row>
    <x:row r="81" ht="21" customHeight="1">
      <x:c r="A81" s="28" t="n">
        <x:v>75</x:v>
      </x:c>
      <x:c r="B81" s="29" t="n">
        <x:v>47079</x:v>
      </x:c>
      <x:c r="C81" s="28" t="n">
        <x:f>B81-B80</x:f>
        <x:v>31</x:v>
      </x:c>
      <x:c r="D81" s="30" t="n">
        <x:f>H80</x:f>
        <x:v>3335995.7</x:v>
      </x:c>
      <x:c r="E81" s="30" t="n">
        <x:f>ROUND(D81*I81,2)</x:f>
        <x:v>21249.84</x:v>
      </x:c>
      <x:c r="F81" s="30" t="n">
        <x:f>IF(G81&gt;=E81,ROUND(G81-E81,2),NA())</x:f>
        <x:v>4753.36</x:v>
      </x:c>
      <x:c r="G81" s="30" t="n">
        <x:f>MIN('Параметры'!$C$14,ROUND(D81+E81,2))</x:f>
        <x:v>26003.2</x:v>
      </x:c>
      <x:c r="H81" s="30" t="n">
        <x:f>ROUND(D81-F81,2)</x:f>
        <x:v>3331242.34</x:v>
      </x:c>
      <x:c r="I81" s="33" t="n">
        <x:f>IF(AND(ISNUMBER('Параметры'!$C$7),'Параметры'!$C$7&gt;=0),'Параметры'!$C$7*C81/365,NA())</x:f>
        <x:v>0.00636986301369863</x:v>
      </x:c>
      <x:c r="J81" s="32" t="n">
        <x:f>J80/(1+I81)</x:f>
        <x:v>0.627499430052144</x:v>
      </x:c>
      <x:c r="K81" s="33" t="n">
        <x:f>IF(AND(ISNUMBER('Параметры'!$C$8),'Параметры'!$C$8&gt;=0),'Параметры'!$C$8*C81/365,NA())</x:f>
        <x:v>0.00636986301369863</x:v>
      </x:c>
      <x:c r="L81" s="32" t="n">
        <x:f>L80/(1+K81)</x:f>
        <x:v>0.627499430052144</x:v>
      </x:c>
      <x:c r="M81" s="30" t="n">
        <x:f>E81*L81</x:f>
        <x:v>13334.262488699253</x:v>
      </x:c>
      <x:c r="N81" s="30" t="n">
        <x:f>F81*L81</x:f>
        <x:v>2982.730690832659</x:v>
      </x:c>
      <x:c r="O81" s="30" t="n">
        <x:f>G81*L81</x:f>
        <x:v>16316.993179531912</x:v>
      </x:c>
    </x:row>
    <x:row r="82" ht="21" customHeight="1">
      <x:c r="A82" s="28" t="n">
        <x:v>76</x:v>
      </x:c>
      <x:c r="B82" s="29" t="n">
        <x:v>47109</x:v>
      </x:c>
      <x:c r="C82" s="28" t="n">
        <x:f>B82-B81</x:f>
        <x:v>30</x:v>
      </x:c>
      <x:c r="D82" s="30" t="n">
        <x:f>H81</x:f>
        <x:v>3331242.34</x:v>
      </x:c>
      <x:c r="E82" s="30" t="n">
        <x:f>ROUND(D82*I82,2)</x:f>
        <x:v>20535.06</x:v>
      </x:c>
      <x:c r="F82" s="30" t="n">
        <x:f>IF(G82&gt;=E82,ROUND(G82-E82,2),NA())</x:f>
        <x:v>5468.14</x:v>
      </x:c>
      <x:c r="G82" s="30" t="n">
        <x:f>MIN('Параметры'!$C$14,ROUND(D82+E82,2))</x:f>
        <x:v>26003.2</x:v>
      </x:c>
      <x:c r="H82" s="30" t="n">
        <x:f>ROUND(D82-F82,2)</x:f>
        <x:v>3325774.2</x:v>
      </x:c>
      <x:c r="I82" s="33" t="n">
        <x:f>IF(AND(ISNUMBER('Параметры'!$C$7),'Параметры'!$C$7&gt;=0),'Параметры'!$C$7*C82/365,NA())</x:f>
        <x:v>0.0061643835616438354</x:v>
      </x:c>
      <x:c r="J82" s="32" t="n">
        <x:f>J81/(1+I82)</x:f>
        <x:v>0.6236549815358273</x:v>
      </x:c>
      <x:c r="K82" s="33" t="n">
        <x:f>IF(AND(ISNUMBER('Параметры'!$C$8),'Параметры'!$C$8&gt;=0),'Параметры'!$C$8*C82/365,NA())</x:f>
        <x:v>0.0061643835616438354</x:v>
      </x:c>
      <x:c r="L82" s="32" t="n">
        <x:f>L81/(1+K82)</x:f>
        <x:v>0.6236549815358273</x:v>
      </x:c>
      <x:c r="M82" s="30" t="n">
        <x:f>E82*L82</x:f>
        <x:v>12806.792465137107</x:v>
      </x:c>
      <x:c r="N82" s="30" t="n">
        <x:f>F82*L82</x:f>
        <x:v>3410.232750735319</x:v>
      </x:c>
      <x:c r="O82" s="30" t="n">
        <x:f>G82*L82</x:f>
        <x:v>16217.025215872425</x:v>
      </x:c>
    </x:row>
    <x:row r="83" ht="21" customHeight="1">
      <x:c r="A83" s="28" t="n">
        <x:v>77</x:v>
      </x:c>
      <x:c r="B83" s="29" t="n">
        <x:v>47140</x:v>
      </x:c>
      <x:c r="C83" s="28" t="n">
        <x:f>B83-B82</x:f>
        <x:v>31</x:v>
      </x:c>
      <x:c r="D83" s="30" t="n">
        <x:f>H82</x:f>
        <x:v>3325774.2</x:v>
      </x:c>
      <x:c r="E83" s="30" t="n">
        <x:f>ROUND(D83*I83,2)</x:f>
        <x:v>21184.73</x:v>
      </x:c>
      <x:c r="F83" s="30" t="n">
        <x:f>IF(G83&gt;=E83,ROUND(G83-E83,2),NA())</x:f>
        <x:v>4818.47</x:v>
      </x:c>
      <x:c r="G83" s="30" t="n">
        <x:f>MIN('Параметры'!$C$14,ROUND(D83+E83,2))</x:f>
        <x:v>26003.2</x:v>
      </x:c>
      <x:c r="H83" s="30" t="n">
        <x:f>ROUND(D83-F83,2)</x:f>
        <x:v>3320955.73</x:v>
      </x:c>
      <x:c r="I83" s="33" t="n">
        <x:f>IF(AND(ISNUMBER('Параметры'!$C$7),'Параметры'!$C$7&gt;=0),'Параметры'!$C$7*C83/365,NA())</x:f>
        <x:v>0.00636986301369863</x:v>
      </x:c>
      <x:c r="J83" s="32" t="n">
        <x:f>J82/(1+I83)</x:f>
        <x:v>0.6197075294645804</x:v>
      </x:c>
      <x:c r="K83" s="33" t="n">
        <x:f>IF(AND(ISNUMBER('Параметры'!$C$8),'Параметры'!$C$8&gt;=0),'Параметры'!$C$8*C83/365,NA())</x:f>
        <x:v>0.00636986301369863</x:v>
      </x:c>
      <x:c r="L83" s="32" t="n">
        <x:f>L82/(1+K83)</x:f>
        <x:v>0.6197075294645804</x:v>
      </x:c>
      <x:c r="M83" s="30" t="n">
        <x:f>E83*L83</x:f>
        <x:v>13128.33669067418</x:v>
      </x:c>
      <x:c r="N83" s="30" t="n">
        <x:f>F83*L83</x:f>
        <x:v>2986.0421394991968</x:v>
      </x:c>
      <x:c r="O83" s="30" t="n">
        <x:f>G83*L83</x:f>
        <x:v>16114.378830173378</x:v>
      </x:c>
    </x:row>
    <x:row r="84" ht="21" customHeight="1">
      <x:c r="A84" s="28" t="n">
        <x:v>78</x:v>
      </x:c>
      <x:c r="B84" s="29" t="n">
        <x:v>47171</x:v>
      </x:c>
      <x:c r="C84" s="28" t="n">
        <x:f>B84-B83</x:f>
        <x:v>31</x:v>
      </x:c>
      <x:c r="D84" s="30" t="n">
        <x:f>H83</x:f>
        <x:v>3320955.73</x:v>
      </x:c>
      <x:c r="E84" s="30" t="n">
        <x:f>ROUND(D84*I84,2)</x:f>
        <x:v>21154.03</x:v>
      </x:c>
      <x:c r="F84" s="30" t="n">
        <x:f>IF(G84&gt;=E84,ROUND(G84-E84,2),NA())</x:f>
        <x:v>4849.17</x:v>
      </x:c>
      <x:c r="G84" s="30" t="n">
        <x:f>MIN('Параметры'!$C$14,ROUND(D84+E84,2))</x:f>
        <x:v>26003.2</x:v>
      </x:c>
      <x:c r="H84" s="30" t="n">
        <x:f>ROUND(D84-F84,2)</x:f>
        <x:v>3316106.56</x:v>
      </x:c>
      <x:c r="I84" s="33" t="n">
        <x:f>IF(AND(ISNUMBER('Параметры'!$C$7),'Параметры'!$C$7&gt;=0),'Параметры'!$C$7*C84/365,NA())</x:f>
        <x:v>0.00636986301369863</x:v>
      </x:c>
      <x:c r="J84" s="32" t="n">
        <x:f>J83/(1+I84)</x:f>
        <x:v>0.615785062967595</x:v>
      </x:c>
      <x:c r="K84" s="33" t="n">
        <x:f>IF(AND(ISNUMBER('Параметры'!$C$8),'Параметры'!$C$8&gt;=0),'Параметры'!$C$8*C84/365,NA())</x:f>
        <x:v>0.00636986301369863</x:v>
      </x:c>
      <x:c r="L84" s="32" t="n">
        <x:f>L83/(1+K84)</x:f>
        <x:v>0.615785062967595</x:v>
      </x:c>
      <x:c r="M84" s="30" t="n">
        <x:f>E84*L84</x:f>
        <x:v>13026.335695568394</x:v>
      </x:c>
      <x:c r="N84" s="30" t="n">
        <x:f>F84*L84</x:f>
        <x:v>2986.0464537905727</x:v>
      </x:c>
      <x:c r="O84" s="30" t="n">
        <x:f>G84*L84</x:f>
        <x:v>16012.382149358968</x:v>
      </x:c>
    </x:row>
    <x:row r="85" ht="21" customHeight="1">
      <x:c r="A85" s="28" t="n">
        <x:v>79</x:v>
      </x:c>
      <x:c r="B85" s="29" t="n">
        <x:v>47199</x:v>
      </x:c>
      <x:c r="C85" s="28" t="n">
        <x:f>B85-B84</x:f>
        <x:v>28</x:v>
      </x:c>
      <x:c r="D85" s="30" t="n">
        <x:f>H84</x:f>
        <x:v>3316106.56</x:v>
      </x:c>
      <x:c r="E85" s="30" t="n">
        <x:f>ROUND(D85*I85,2)</x:f>
        <x:v>19078.97</x:v>
      </x:c>
      <x:c r="F85" s="30" t="n">
        <x:f>IF(G85&gt;=E85,ROUND(G85-E85,2),NA())</x:f>
        <x:v>6924.23</x:v>
      </x:c>
      <x:c r="G85" s="30" t="n">
        <x:f>MIN('Параметры'!$C$14,ROUND(D85+E85,2))</x:f>
        <x:v>26003.2</x:v>
      </x:c>
      <x:c r="H85" s="30" t="n">
        <x:f>ROUND(D85-F85,2)</x:f>
        <x:v>3309182.33</x:v>
      </x:c>
      <x:c r="I85" s="33" t="n">
        <x:f>IF(AND(ISNUMBER('Параметры'!$C$7),'Параметры'!$C$7&gt;=0),'Параметры'!$C$7*C85/365,NA())</x:f>
        <x:v>0.005753424657534247</x:v>
      </x:c>
      <x:c r="J85" s="32" t="n">
        <x:f>J84/(1+I85)</x:f>
        <x:v>0.6122624570503193</x:v>
      </x:c>
      <x:c r="K85" s="33" t="n">
        <x:f>IF(AND(ISNUMBER('Параметры'!$C$8),'Параметры'!$C$8&gt;=0),'Параметры'!$C$8*C85/365,NA())</x:f>
        <x:v>0.005753424657534247</x:v>
      </x:c>
      <x:c r="L85" s="32" t="n">
        <x:f>L84/(1+K85)</x:f>
        <x:v>0.6122624570503193</x:v>
      </x:c>
      <x:c r="M85" s="30" t="n">
        <x:f>E85*L85</x:f>
        <x:v>11681.337050189331</x:v>
      </x:c>
      <x:c r="N85" s="30" t="n">
        <x:f>F85*L85</x:f>
        <x:v>4239.446072981533</x:v>
      </x:c>
      <x:c r="O85" s="30" t="n">
        <x:f>G85*L85</x:f>
        <x:v>15920.783123170864</x:v>
      </x:c>
    </x:row>
    <x:row r="86" ht="21" customHeight="1">
      <x:c r="A86" s="28" t="n">
        <x:v>80</x:v>
      </x:c>
      <x:c r="B86" s="29" t="n">
        <x:v>47230</x:v>
      </x:c>
      <x:c r="C86" s="28" t="n">
        <x:f>B86-B85</x:f>
        <x:v>31</x:v>
      </x:c>
      <x:c r="D86" s="30" t="n">
        <x:f>H85</x:f>
        <x:v>3309182.33</x:v>
      </x:c>
      <x:c r="E86" s="30" t="n">
        <x:f>ROUND(D86*I86,2)</x:f>
        <x:v>21079.04</x:v>
      </x:c>
      <x:c r="F86" s="30" t="n">
        <x:f>IF(G86&gt;=E86,ROUND(G86-E86,2),NA())</x:f>
        <x:v>4924.16</x:v>
      </x:c>
      <x:c r="G86" s="30" t="n">
        <x:f>MIN('Параметры'!$C$14,ROUND(D86+E86,2))</x:f>
        <x:v>26003.2</x:v>
      </x:c>
      <x:c r="H86" s="30" t="n">
        <x:f>ROUND(D86-F86,2)</x:f>
        <x:v>3304258.17</x:v>
      </x:c>
      <x:c r="I86" s="33" t="n">
        <x:f>IF(AND(ISNUMBER('Параметры'!$C$7),'Параметры'!$C$7&gt;=0),'Параметры'!$C$7*C86/365,NA())</x:f>
        <x:v>0.00636986301369863</x:v>
      </x:c>
      <x:c r="J86" s="32" t="n">
        <x:f>J85/(1+I86)</x:f>
        <x:v>0.6083871144718344</x:v>
      </x:c>
      <x:c r="K86" s="33" t="n">
        <x:f>IF(AND(ISNUMBER('Параметры'!$C$8),'Параметры'!$C$8&gt;=0),'Параметры'!$C$8*C86/365,NA())</x:f>
        <x:v>0.00636986301369863</x:v>
      </x:c>
      <x:c r="L86" s="32" t="n">
        <x:f>L85/(1+K86)</x:f>
        <x:v>0.6083871144718344</x:v>
      </x:c>
      <x:c r="M86" s="30" t="n">
        <x:f>E86*L86</x:f>
        <x:v>12824.216321436375</x:v>
      </x:c>
      <x:c r="N86" s="30" t="n">
        <x:f>F86*L86</x:f>
        <x:v>2995.7954935976277</x:v>
      </x:c>
      <x:c r="O86" s="30" t="n">
        <x:f>G86*L86</x:f>
        <x:v>15820.011815034004</x:v>
      </x:c>
    </x:row>
    <x:row r="87" ht="21" customHeight="1">
      <x:c r="A87" s="28" t="n">
        <x:v>81</x:v>
      </x:c>
      <x:c r="B87" s="29" t="n">
        <x:v>47260</x:v>
      </x:c>
      <x:c r="C87" s="28" t="n">
        <x:f>B87-B86</x:f>
        <x:v>30</x:v>
      </x:c>
      <x:c r="D87" s="30" t="n">
        <x:f>H86</x:f>
        <x:v>3304258.17</x:v>
      </x:c>
      <x:c r="E87" s="30" t="n">
        <x:f>ROUND(D87*I87,2)</x:f>
        <x:v>20368.71</x:v>
      </x:c>
      <x:c r="F87" s="30" t="n">
        <x:f>IF(G87&gt;=E87,ROUND(G87-E87,2),NA())</x:f>
        <x:v>5634.49</x:v>
      </x:c>
      <x:c r="G87" s="30" t="n">
        <x:f>MIN('Параметры'!$C$14,ROUND(D87+E87,2))</x:f>
        <x:v>26003.2</x:v>
      </x:c>
      <x:c r="H87" s="30" t="n">
        <x:f>ROUND(D87-F87,2)</x:f>
        <x:v>3298623.68</x:v>
      </x:c>
      <x:c r="I87" s="33" t="n">
        <x:f>IF(AND(ISNUMBER('Параметры'!$C$7),'Параметры'!$C$7&gt;=0),'Параметры'!$C$7*C87/365,NA())</x:f>
        <x:v>0.0061643835616438354</x:v>
      </x:c>
      <x:c r="J87" s="32" t="n">
        <x:f>J86/(1+I87)</x:f>
        <x:v>0.6046597597882084</x:v>
      </x:c>
      <x:c r="K87" s="33" t="n">
        <x:f>IF(AND(ISNUMBER('Параметры'!$C$8),'Параметры'!$C$8&gt;=0),'Параметры'!$C$8*C87/365,NA())</x:f>
        <x:v>0.0061643835616438354</x:v>
      </x:c>
      <x:c r="L87" s="32" t="n">
        <x:f>L86/(1+K87)</x:f>
        <x:v>0.6046597597882084</x:v>
      </x:c>
      <x:c r="M87" s="30" t="n">
        <x:f>E87*L87</x:f>
        <x:v>12316.139295795678</x:v>
      </x:c>
      <x:c r="N87" s="30" t="n">
        <x:f>F87*L87</x:f>
        <x:v>3406.9493699290624</x:v>
      </x:c>
      <x:c r="O87" s="30" t="n">
        <x:f>G87*L87</x:f>
        <x:v>15723.088665724741</x:v>
      </x:c>
    </x:row>
    <x:row r="88" ht="21" customHeight="1">
      <x:c r="A88" s="28" t="n">
        <x:v>82</x:v>
      </x:c>
      <x:c r="B88" s="29" t="n">
        <x:v>47291</x:v>
      </x:c>
      <x:c r="C88" s="28" t="n">
        <x:f>B88-B87</x:f>
        <x:v>31</x:v>
      </x:c>
      <x:c r="D88" s="30" t="n">
        <x:f>H87</x:f>
        <x:v>3298623.68</x:v>
      </x:c>
      <x:c r="E88" s="30" t="n">
        <x:f>ROUND(D88*I88,2)</x:f>
        <x:v>21011.78</x:v>
      </x:c>
      <x:c r="F88" s="30" t="n">
        <x:f>IF(G88&gt;=E88,ROUND(G88-E88,2),NA())</x:f>
        <x:v>4991.42</x:v>
      </x:c>
      <x:c r="G88" s="30" t="n">
        <x:f>MIN('Параметры'!$C$14,ROUND(D88+E88,2))</x:f>
        <x:v>26003.2</x:v>
      </x:c>
      <x:c r="H88" s="30" t="n">
        <x:f>ROUND(D88-F88,2)</x:f>
        <x:v>3293632.26</x:v>
      </x:c>
      <x:c r="I88" s="33" t="n">
        <x:f>IF(AND(ISNUMBER('Параметры'!$C$7),'Параметры'!$C$7&gt;=0),'Параметры'!$C$7*C88/365,NA())</x:f>
        <x:v>0.00636986301369863</x:v>
      </x:c>
      <x:c r="J88" s="32" t="n">
        <x:f>J87/(1+I88)</x:f>
        <x:v>0.6008325388217411</x:v>
      </x:c>
      <x:c r="K88" s="33" t="n">
        <x:f>IF(AND(ISNUMBER('Параметры'!$C$8),'Параметры'!$C$8&gt;=0),'Параметры'!$C$8*C88/365,NA())</x:f>
        <x:v>0.00636986301369863</x:v>
      </x:c>
      <x:c r="L88" s="32" t="n">
        <x:f>L87/(1+K88)</x:f>
        <x:v>0.6008325388217411</x:v>
      </x:c>
      <x:c r="M88" s="30" t="n">
        <x:f>E88*L88</x:f>
        <x:v>12624.561122563884</x:v>
      </x:c>
      <x:c r="N88" s="30" t="n">
        <x:f>F88*L88</x:f>
        <x:v>2999.0075509256153</x:v>
      </x:c>
      <x:c r="O88" s="30" t="n">
        <x:f>G88*L88</x:f>
        <x:v>15623.5686734895</x:v>
      </x:c>
    </x:row>
    <x:row r="89" ht="21" customHeight="1">
      <x:c r="A89" s="28" t="n">
        <x:v>83</x:v>
      </x:c>
      <x:c r="B89" s="29" t="n">
        <x:v>47321</x:v>
      </x:c>
      <x:c r="C89" s="28" t="n">
        <x:f>B89-B88</x:f>
        <x:v>30</x:v>
      </x:c>
      <x:c r="D89" s="30" t="n">
        <x:f>H88</x:f>
        <x:v>3293632.26</x:v>
      </x:c>
      <x:c r="E89" s="30" t="n">
        <x:f>ROUND(D89*I89,2)</x:f>
        <x:v>20303.21</x:v>
      </x:c>
      <x:c r="F89" s="30" t="n">
        <x:f>IF(G89&gt;=E89,ROUND(G89-E89,2),NA())</x:f>
        <x:v>5699.99</x:v>
      </x:c>
      <x:c r="G89" s="30" t="n">
        <x:f>MIN('Параметры'!$C$14,ROUND(D89+E89,2))</x:f>
        <x:v>26003.2</x:v>
      </x:c>
      <x:c r="H89" s="30" t="n">
        <x:f>ROUND(D89-F89,2)</x:f>
        <x:v>3287932.27</x:v>
      </x:c>
      <x:c r="I89" s="33" t="n">
        <x:f>IF(AND(ISNUMBER('Параметры'!$C$7),'Параметры'!$C$7&gt;=0),'Параметры'!$C$7*C89/365,NA())</x:f>
        <x:v>0.0061643835616438354</x:v>
      </x:c>
      <x:c r="J89" s="32" t="n">
        <x:f>J88/(1+I89)</x:f>
        <x:v>0.5971514681278026</x:v>
      </x:c>
      <x:c r="K89" s="33" t="n">
        <x:f>IF(AND(ISNUMBER('Параметры'!$C$8),'Параметры'!$C$8&gt;=0),'Параметры'!$C$8*C89/365,NA())</x:f>
        <x:v>0.0061643835616438354</x:v>
      </x:c>
      <x:c r="L89" s="32" t="n">
        <x:f>L88/(1+K89)</x:f>
        <x:v>0.5971514681278026</x:v>
      </x:c>
      <x:c r="M89" s="30" t="n">
        <x:f>E89*L89</x:f>
        <x:v>12124.091659207083</x:v>
      </x:c>
      <x:c r="N89" s="30" t="n">
        <x:f>F89*L89</x:f>
        <x:v>3403.7573968137935</x:v>
      </x:c>
      <x:c r="O89" s="30" t="n">
        <x:f>G89*L89</x:f>
        <x:v>15527.849056020877</x:v>
      </x:c>
    </x:row>
    <x:row r="90" ht="21" customHeight="1">
      <x:c r="A90" s="28" t="n">
        <x:v>84</x:v>
      </x:c>
      <x:c r="B90" s="29" t="n">
        <x:v>47352</x:v>
      </x:c>
      <x:c r="C90" s="28" t="n">
        <x:f>B90-B89</x:f>
        <x:v>31</x:v>
      </x:c>
      <x:c r="D90" s="30" t="n">
        <x:f>H89</x:f>
        <x:v>3287932.27</x:v>
      </x:c>
      <x:c r="E90" s="30" t="n">
        <x:f>ROUND(D90*I90,2)</x:f>
        <x:v>20943.68</x:v>
      </x:c>
      <x:c r="F90" s="30" t="n">
        <x:f>IF(G90&gt;=E90,ROUND(G90-E90,2),NA())</x:f>
        <x:v>5059.52</x:v>
      </x:c>
      <x:c r="G90" s="30" t="n">
        <x:f>MIN('Параметры'!$C$14,ROUND(D90+E90,2))</x:f>
        <x:v>26003.2</x:v>
      </x:c>
      <x:c r="H90" s="30" t="n">
        <x:f>ROUND(D90-F90,2)</x:f>
        <x:v>3282872.75</x:v>
      </x:c>
      <x:c r="I90" s="33" t="n">
        <x:f>IF(AND(ISNUMBER('Параметры'!$C$7),'Параметры'!$C$7&gt;=0),'Параметры'!$C$7*C90/365,NA())</x:f>
        <x:v>0.00636986301369863</x:v>
      </x:c>
      <x:c r="J90" s="32" t="n">
        <x:f>J89/(1+I90)</x:f>
        <x:v>0.593371771228879</x:v>
      </x:c>
      <x:c r="K90" s="33" t="n">
        <x:f>IF(AND(ISNUMBER('Параметры'!$C$8),'Параметры'!$C$8&gt;=0),'Параметры'!$C$8*C90/365,NA())</x:f>
        <x:v>0.00636986301369863</x:v>
      </x:c>
      <x:c r="L90" s="32" t="n">
        <x:f>L89/(1+K90)</x:f>
        <x:v>0.593371771228879</x:v>
      </x:c>
      <x:c r="M90" s="30" t="n">
        <x:f>E90*L90</x:f>
        <x:v>12427.388497650847</x:v>
      </x:c>
      <x:c r="N90" s="30" t="n">
        <x:f>F90*L90</x:f>
        <x:v>3002.176343967938</x:v>
      </x:c>
      <x:c r="O90" s="30" t="n">
        <x:f>G90*L90</x:f>
        <x:v>15429.564841618785</x:v>
      </x:c>
    </x:row>
    <x:row r="91" ht="21" customHeight="1">
      <x:c r="A91" s="28" t="n">
        <x:v>85</x:v>
      </x:c>
      <x:c r="B91" s="29" t="n">
        <x:v>47383</x:v>
      </x:c>
      <x:c r="C91" s="28" t="n">
        <x:f>B91-B90</x:f>
        <x:v>31</x:v>
      </x:c>
      <x:c r="D91" s="30" t="n">
        <x:f>H90</x:f>
        <x:v>3282872.75</x:v>
      </x:c>
      <x:c r="E91" s="30" t="n">
        <x:f>ROUND(D91*I91,2)</x:f>
        <x:v>20911.45</x:v>
      </x:c>
      <x:c r="F91" s="30" t="n">
        <x:f>IF(G91&gt;=E91,ROUND(G91-E91,2),NA())</x:f>
        <x:v>5091.75</x:v>
      </x:c>
      <x:c r="G91" s="30" t="n">
        <x:f>MIN('Параметры'!$C$14,ROUND(D91+E91,2))</x:f>
        <x:v>26003.2</x:v>
      </x:c>
      <x:c r="H91" s="30" t="n">
        <x:f>ROUND(D91-F91,2)</x:f>
        <x:v>3277781</x:v>
      </x:c>
      <x:c r="I91" s="33" t="n">
        <x:f>IF(AND(ISNUMBER('Параметры'!$C$7),'Параметры'!$C$7&gt;=0),'Параметры'!$C$7*C91/365,NA())</x:f>
        <x:v>0.00636986301369863</x:v>
      </x:c>
      <x:c r="J91" s="32" t="n">
        <x:f>J90/(1+I91)</x:f>
        <x:v>0.5896159980903583</x:v>
      </x:c>
      <x:c r="K91" s="33" t="n">
        <x:f>IF(AND(ISNUMBER('Параметры'!$C$8),'Параметры'!$C$8&gt;=0),'Параметры'!$C$8*C91/365,NA())</x:f>
        <x:v>0.00636986301369863</x:v>
      </x:c>
      <x:c r="L91" s="32" t="n">
        <x:f>L90/(1+K91)</x:f>
        <x:v>0.5896159980903583</x:v>
      </x:c>
      <x:c r="M91" s="30" t="n">
        <x:f>E91*L91</x:f>
        <x:v>12329.725463266623</x:v>
      </x:c>
      <x:c r="N91" s="30" t="n">
        <x:f>F91*L91</x:f>
        <x:v>3002.1772582765816</x:v>
      </x:c>
      <x:c r="O91" s="30" t="n">
        <x:f>G91*L91</x:f>
        <x:v>15331.902721543203</x:v>
      </x:c>
    </x:row>
    <x:row r="92" ht="21" customHeight="1">
      <x:c r="A92" s="28" t="n">
        <x:v>86</x:v>
      </x:c>
      <x:c r="B92" s="29" t="n">
        <x:v>47413</x:v>
      </x:c>
      <x:c r="C92" s="28" t="n">
        <x:f>B92-B91</x:f>
        <x:v>30</x:v>
      </x:c>
      <x:c r="D92" s="30" t="n">
        <x:f>H91</x:f>
        <x:v>3277781</x:v>
      </x:c>
      <x:c r="E92" s="30" t="n">
        <x:f>ROUND(D92*I92,2)</x:f>
        <x:v>20205.5</x:v>
      </x:c>
      <x:c r="F92" s="30" t="n">
        <x:f>IF(G92&gt;=E92,ROUND(G92-E92,2),NA())</x:f>
        <x:v>5797.7</x:v>
      </x:c>
      <x:c r="G92" s="30" t="n">
        <x:f>MIN('Параметры'!$C$14,ROUND(D92+E92,2))</x:f>
        <x:v>26003.2</x:v>
      </x:c>
      <x:c r="H92" s="30" t="n">
        <x:f>ROUND(D92-F92,2)</x:f>
        <x:v>3271983.3</x:v>
      </x:c>
      <x:c r="I92" s="33" t="n">
        <x:f>IF(AND(ISNUMBER('Параметры'!$C$7),'Параметры'!$C$7&gt;=0),'Параметры'!$C$7*C92/365,NA())</x:f>
        <x:v>0.0061643835616438354</x:v>
      </x:c>
      <x:c r="J92" s="32" t="n">
        <x:f>J91/(1+I92)</x:f>
        <x:v>0.5860036468426978</x:v>
      </x:c>
      <x:c r="K92" s="33" t="n">
        <x:f>IF(AND(ISNUMBER('Параметры'!$C$8),'Параметры'!$C$8&gt;=0),'Параметры'!$C$8*C92/365,NA())</x:f>
        <x:v>0.0061643835616438354</x:v>
      </x:c>
      <x:c r="L92" s="32" t="n">
        <x:f>L91/(1+K92)</x:f>
        <x:v>0.5860036468426978</x:v>
      </x:c>
      <x:c r="M92" s="30" t="n">
        <x:f>E92*L92</x:f>
        <x:v>11840.49668628013</x:v>
      </x:c>
      <x:c r="N92" s="30" t="n">
        <x:f>F92*L92</x:f>
        <x:v>3397.4733432999087</x:v>
      </x:c>
      <x:c r="O92" s="30" t="n">
        <x:f>G92*L92</x:f>
        <x:v>15237.97002958004</x:v>
      </x:c>
    </x:row>
    <x:row r="93" ht="21" customHeight="1">
      <x:c r="A93" s="28" t="n">
        <x:v>87</x:v>
      </x:c>
      <x:c r="B93" s="29" t="n">
        <x:v>47444</x:v>
      </x:c>
      <x:c r="C93" s="28" t="n">
        <x:f>B93-B92</x:f>
        <x:v>31</x:v>
      </x:c>
      <x:c r="D93" s="30" t="n">
        <x:f>H92</x:f>
        <x:v>3271983.3</x:v>
      </x:c>
      <x:c r="E93" s="30" t="n">
        <x:f>ROUND(D93*I93,2)</x:f>
        <x:v>20842.09</x:v>
      </x:c>
      <x:c r="F93" s="30" t="n">
        <x:f>IF(G93&gt;=E93,ROUND(G93-E93,2),NA())</x:f>
        <x:v>5161.11</x:v>
      </x:c>
      <x:c r="G93" s="30" t="n">
        <x:f>MIN('Параметры'!$C$14,ROUND(D93+E93,2))</x:f>
        <x:v>26003.2</x:v>
      </x:c>
      <x:c r="H93" s="30" t="n">
        <x:f>ROUND(D93-F93,2)</x:f>
        <x:v>3266822.19</x:v>
      </x:c>
      <x:c r="I93" s="33" t="n">
        <x:f>IF(AND(ISNUMBER('Параметры'!$C$7),'Параметры'!$C$7&gt;=0),'Параметры'!$C$7*C93/365,NA())</x:f>
        <x:v>0.00636986301369863</x:v>
      </x:c>
      <x:c r="J93" s="32" t="n">
        <x:f>J92/(1+I93)</x:f>
        <x:v>0.5822945105766956</x:v>
      </x:c>
      <x:c r="K93" s="33" t="n">
        <x:f>IF(AND(ISNUMBER('Параметры'!$C$8),'Параметры'!$C$8&gt;=0),'Параметры'!$C$8*C93/365,NA())</x:f>
        <x:v>0.00636986301369863</x:v>
      </x:c>
      <x:c r="L93" s="32" t="n">
        <x:f>L92/(1+K93)</x:f>
        <x:v>0.5822945105766956</x:v>
      </x:c>
      <x:c r="M93" s="30" t="n">
        <x:f>E93*L93</x:f>
        <x:v>12136.234595945441</x:v>
      </x:c>
      <x:c r="N93" s="30" t="n">
        <x:f>F93*L93</x:f>
        <x:v>3005.286021482489</x:v>
      </x:c>
      <x:c r="O93" s="30" t="n">
        <x:f>G93*L93</x:f>
        <x:v>15141.52061742793</x:v>
      </x:c>
    </x:row>
    <x:row r="94" ht="21" customHeight="1">
      <x:c r="A94" s="28" t="n">
        <x:v>88</x:v>
      </x:c>
      <x:c r="B94" s="29" t="n">
        <x:v>47474</x:v>
      </x:c>
      <x:c r="C94" s="28" t="n">
        <x:f>B94-B93</x:f>
        <x:v>30</x:v>
      </x:c>
      <x:c r="D94" s="30" t="n">
        <x:f>H93</x:f>
        <x:v>3266822.19</x:v>
      </x:c>
      <x:c r="E94" s="30" t="n">
        <x:f>ROUND(D94*I94,2)</x:f>
        <x:v>20137.95</x:v>
      </x:c>
      <x:c r="F94" s="30" t="n">
        <x:f>IF(G94&gt;=E94,ROUND(G94-E94,2),NA())</x:f>
        <x:v>5865.25</x:v>
      </x:c>
      <x:c r="G94" s="30" t="n">
        <x:f>MIN('Параметры'!$C$14,ROUND(D94+E94,2))</x:f>
        <x:v>26003.2</x:v>
      </x:c>
      <x:c r="H94" s="30" t="n">
        <x:f>ROUND(D94-F94,2)</x:f>
        <x:v>3260956.94</x:v>
      </x:c>
      <x:c r="I94" s="33" t="n">
        <x:f>IF(AND(ISNUMBER('Параметры'!$C$7),'Параметры'!$C$7&gt;=0),'Параметры'!$C$7*C94/365,NA())</x:f>
        <x:v>0.0061643835616438354</x:v>
      </x:c>
      <x:c r="J94" s="32" t="n">
        <x:f>J93/(1+I94)</x:f>
        <x:v>0.5787270152770425</x:v>
      </x:c>
      <x:c r="K94" s="33" t="n">
        <x:f>IF(AND(ISNUMBER('Параметры'!$C$8),'Параметры'!$C$8&gt;=0),'Параметры'!$C$8*C94/365,NA())</x:f>
        <x:v>0.0061643835616438354</x:v>
      </x:c>
      <x:c r="L94" s="32" t="n">
        <x:f>L93/(1+K94)</x:f>
        <x:v>0.5787270152770425</x:v>
      </x:c>
      <x:c r="M94" s="30" t="n">
        <x:f>E94*L94</x:f>
        <x:v>11654.37569729832</x:v>
      </x:c>
      <x:c r="N94" s="30" t="n">
        <x:f>F94*L94</x:f>
        <x:v>3394.3786263536736</x:v>
      </x:c>
      <x:c r="O94" s="30" t="n">
        <x:f>G94*L94</x:f>
        <x:v>15048.754323651992</x:v>
      </x:c>
    </x:row>
    <x:row r="95" ht="21" customHeight="1">
      <x:c r="A95" s="28" t="n">
        <x:v>89</x:v>
      </x:c>
      <x:c r="B95" s="29" t="n">
        <x:v>47505</x:v>
      </x:c>
      <x:c r="C95" s="28" t="n">
        <x:f>B95-B94</x:f>
        <x:v>31</x:v>
      </x:c>
      <x:c r="D95" s="30" t="n">
        <x:f>H94</x:f>
        <x:v>3260956.94</x:v>
      </x:c>
      <x:c r="E95" s="30" t="n">
        <x:f>ROUND(D95*I95,2)</x:f>
        <x:v>20771.85</x:v>
      </x:c>
      <x:c r="F95" s="30" t="n">
        <x:f>IF(G95&gt;=E95,ROUND(G95-E95,2),NA())</x:f>
        <x:v>5231.35</x:v>
      </x:c>
      <x:c r="G95" s="30" t="n">
        <x:f>MIN('Параметры'!$C$14,ROUND(D95+E95,2))</x:f>
        <x:v>26003.2</x:v>
      </x:c>
      <x:c r="H95" s="30" t="n">
        <x:f>ROUND(D95-F95,2)</x:f>
        <x:v>3255725.59</x:v>
      </x:c>
      <x:c r="I95" s="33" t="n">
        <x:f>IF(AND(ISNUMBER('Параметры'!$C$7),'Параметры'!$C$7&gt;=0),'Параметры'!$C$7*C95/365,NA())</x:f>
        <x:v>0.00636986301369863</x:v>
      </x:c>
      <x:c r="J95" s="32" t="n">
        <x:f>J94/(1+I95)</x:f>
        <x:v>0.5750639367756634</x:v>
      </x:c>
      <x:c r="K95" s="33" t="n">
        <x:f>IF(AND(ISNUMBER('Параметры'!$C$8),'Параметры'!$C$8&gt;=0),'Параметры'!$C$8*C95/365,NA())</x:f>
        <x:v>0.00636986301369863</x:v>
      </x:c>
      <x:c r="L95" s="32" t="n">
        <x:f>L94/(1+K95)</x:f>
        <x:v>0.5750639367756634</x:v>
      </x:c>
      <x:c r="M95" s="30" t="n">
        <x:f>E95*L95</x:f>
        <x:v>11945.141835113562</x:v>
      </x:c>
      <x:c r="N95" s="30" t="n">
        <x:f>F95*L95</x:f>
        <x:v>3008.360725651367</x:v>
      </x:c>
      <x:c r="O95" s="30" t="n">
        <x:f>G95*L95</x:f>
        <x:v>14953.50256076493</x:v>
      </x:c>
    </x:row>
    <x:row r="96" ht="21" customHeight="1">
      <x:c r="A96" s="28" t="n">
        <x:v>90</x:v>
      </x:c>
      <x:c r="B96" s="29" t="n">
        <x:v>47536</x:v>
      </x:c>
      <x:c r="C96" s="28" t="n">
        <x:f>B96-B95</x:f>
        <x:v>31</x:v>
      </x:c>
      <x:c r="D96" s="30" t="n">
        <x:f>H95</x:f>
        <x:v>3255725.59</x:v>
      </x:c>
      <x:c r="E96" s="30" t="n">
        <x:f>ROUND(D96*I96,2)</x:f>
        <x:v>20738.53</x:v>
      </x:c>
      <x:c r="F96" s="30" t="n">
        <x:f>IF(G96&gt;=E96,ROUND(G96-E96,2),NA())</x:f>
        <x:v>5264.67</x:v>
      </x:c>
      <x:c r="G96" s="30" t="n">
        <x:f>MIN('Параметры'!$C$14,ROUND(D96+E96,2))</x:f>
        <x:v>26003.2</x:v>
      </x:c>
      <x:c r="H96" s="30" t="n">
        <x:f>ROUND(D96-F96,2)</x:f>
        <x:v>3250460.92</x:v>
      </x:c>
      <x:c r="I96" s="33" t="n">
        <x:f>IF(AND(ISNUMBER('Параметры'!$C$7),'Параметры'!$C$7&gt;=0),'Параметры'!$C$7*C96/365,NA())</x:f>
        <x:v>0.00636986301369863</x:v>
      </x:c>
      <x:c r="J96" s="32" t="n">
        <x:f>J95/(1+I96)</x:f>
        <x:v>0.5714240438933291</x:v>
      </x:c>
      <x:c r="K96" s="33" t="n">
        <x:f>IF(AND(ISNUMBER('Параметры'!$C$8),'Параметры'!$C$8&gt;=0),'Параметры'!$C$8*C96/365,NA())</x:f>
        <x:v>0.00636986301369863</x:v>
      </x:c>
      <x:c r="L96" s="32" t="n">
        <x:f>L95/(1+K96)</x:f>
        <x:v>0.5714240438933291</x:v>
      </x:c>
      <x:c r="M96" s="30" t="n">
        <x:f>E96*L96</x:f>
        <x:v>11850.494677003122</x:v>
      </x:c>
      <x:c r="N96" s="30" t="n">
        <x:f>F96*L96</x:f>
        <x:v>3008.359021163893</x:v>
      </x:c>
      <x:c r="O96" s="30" t="n">
        <x:f>G96*L96</x:f>
        <x:v>14858.853698167017</x:v>
      </x:c>
    </x:row>
    <x:row r="97" ht="21" customHeight="1">
      <x:c r="A97" s="28" t="n">
        <x:v>91</x:v>
      </x:c>
      <x:c r="B97" s="29" t="n">
        <x:v>47564</x:v>
      </x:c>
      <x:c r="C97" s="28" t="n">
        <x:f>B97-B96</x:f>
        <x:v>28</x:v>
      </x:c>
      <x:c r="D97" s="30" t="n">
        <x:f>H96</x:f>
        <x:v>3250460.92</x:v>
      </x:c>
      <x:c r="E97" s="30" t="n">
        <x:f>ROUND(D97*I97,2)</x:f>
        <x:v>18701.28</x:v>
      </x:c>
      <x:c r="F97" s="30" t="n">
        <x:f>IF(G97&gt;=E97,ROUND(G97-E97,2),NA())</x:f>
        <x:v>7301.92</x:v>
      </x:c>
      <x:c r="G97" s="30" t="n">
        <x:f>MIN('Параметры'!$C$14,ROUND(D97+E97,2))</x:f>
        <x:v>26003.2</x:v>
      </x:c>
      <x:c r="H97" s="30" t="n">
        <x:f>ROUND(D97-F97,2)</x:f>
        <x:v>3243159</x:v>
      </x:c>
      <x:c r="I97" s="33" t="n">
        <x:f>IF(AND(ISNUMBER('Параметры'!$C$7),'Параметры'!$C$7&gt;=0),'Параметры'!$C$7*C97/365,NA())</x:f>
        <x:v>0.005753424657534247</x:v>
      </x:c>
      <x:c r="J97" s="32" t="n">
        <x:f>J96/(1+I97)</x:f>
        <x:v>0.5681552057234136</x:v>
      </x:c>
      <x:c r="K97" s="33" t="n">
        <x:f>IF(AND(ISNUMBER('Параметры'!$C$8),'Параметры'!$C$8&gt;=0),'Параметры'!$C$8*C97/365,NA())</x:f>
        <x:v>0.005753424657534247</x:v>
      </x:c>
      <x:c r="L97" s="32" t="n">
        <x:f>L96/(1+K97)</x:f>
        <x:v>0.5681552057234136</x:v>
      </x:c>
      <x:c r="M97" s="30" t="n">
        <x:f>E97*L97</x:f>
        <x:v>10625.22958569116</x:v>
      </x:c>
      <x:c r="N97" s="30" t="n">
        <x:f>F97*L97</x:f>
        <x:v>4148.623859775908</x:v>
      </x:c>
      <x:c r="O97" s="30" t="n">
        <x:f>G97*L97</x:f>
        <x:v>14773.85344546707</x:v>
      </x:c>
    </x:row>
    <x:row r="98" ht="21" customHeight="1">
      <x:c r="A98" s="28" t="n">
        <x:v>92</x:v>
      </x:c>
      <x:c r="B98" s="29" t="n">
        <x:v>47595</x:v>
      </x:c>
      <x:c r="C98" s="28" t="n">
        <x:f>B98-B97</x:f>
        <x:v>31</x:v>
      </x:c>
      <x:c r="D98" s="30" t="n">
        <x:f>H97</x:f>
        <x:v>3243159</x:v>
      </x:c>
      <x:c r="E98" s="30" t="n">
        <x:f>ROUND(D98*I98,2)</x:f>
        <x:v>20658.48</x:v>
      </x:c>
      <x:c r="F98" s="30" t="n">
        <x:f>IF(G98&gt;=E98,ROUND(G98-E98,2),NA())</x:f>
        <x:v>5344.72</x:v>
      </x:c>
      <x:c r="G98" s="30" t="n">
        <x:f>MIN('Параметры'!$C$14,ROUND(D98+E98,2))</x:f>
        <x:v>26003.2</x:v>
      </x:c>
      <x:c r="H98" s="30" t="n">
        <x:f>ROUND(D98-F98,2)</x:f>
        <x:v>3237814.28</x:v>
      </x:c>
      <x:c r="I98" s="33" t="n">
        <x:f>IF(AND(ISNUMBER('Параметры'!$C$7),'Параметры'!$C$7&gt;=0),'Параметры'!$C$7*C98/365,NA())</x:f>
        <x:v>0.00636986301369863</x:v>
      </x:c>
      <x:c r="J98" s="32" t="n">
        <x:f>J97/(1+I98)</x:f>
        <x:v>0.5645590419629646</x:v>
      </x:c>
      <x:c r="K98" s="33" t="n">
        <x:f>IF(AND(ISNUMBER('Параметры'!$C$8),'Параметры'!$C$8&gt;=0),'Параметры'!$C$8*C98/365,NA())</x:f>
        <x:v>0.00636986301369863</x:v>
      </x:c>
      <x:c r="L98" s="32" t="n">
        <x:f>L97/(1+K98)</x:f>
        <x:v>0.5645590419629646</x:v>
      </x:c>
      <x:c r="M98" s="30" t="n">
        <x:f>E98*L98</x:f>
        <x:v>11662.931677211065</x:v>
      </x:c>
      <x:c r="N98" s="30" t="n">
        <x:f>F98*L98</x:f>
        <x:v>3017.4100027602963</x:v>
      </x:c>
      <x:c r="O98" s="30" t="n">
        <x:f>G98*L98</x:f>
        <x:v>14680.341679971361</x:v>
      </x:c>
    </x:row>
    <x:row r="99" ht="21" customHeight="1">
      <x:c r="A99" s="28" t="n">
        <x:v>93</x:v>
      </x:c>
      <x:c r="B99" s="29" t="n">
        <x:v>47625</x:v>
      </x:c>
      <x:c r="C99" s="28" t="n">
        <x:f>B99-B98</x:f>
        <x:v>30</x:v>
      </x:c>
      <x:c r="D99" s="30" t="n">
        <x:f>H98</x:f>
        <x:v>3237814.28</x:v>
      </x:c>
      <x:c r="E99" s="30" t="n">
        <x:f>ROUND(D99*I99,2)</x:f>
        <x:v>19959.13</x:v>
      </x:c>
      <x:c r="F99" s="30" t="n">
        <x:f>IF(G99&gt;=E99,ROUND(G99-E99,2),NA())</x:f>
        <x:v>6044.07</x:v>
      </x:c>
      <x:c r="G99" s="30" t="n">
        <x:f>MIN('Параметры'!$C$14,ROUND(D99+E99,2))</x:f>
        <x:v>26003.2</x:v>
      </x:c>
      <x:c r="H99" s="30" t="n">
        <x:f>ROUND(D99-F99,2)</x:f>
        <x:v>3231770.21</x:v>
      </x:c>
      <x:c r="I99" s="33" t="n">
        <x:f>IF(AND(ISNUMBER('Параметры'!$C$7),'Параметры'!$C$7&gt;=0),'Параметры'!$C$7*C99/365,NA())</x:f>
        <x:v>0.0061643835616438354</x:v>
      </x:c>
      <x:c r="J99" s="32" t="n">
        <x:f>J98/(1+I99)</x:f>
        <x:v>0.5611002050823202</x:v>
      </x:c>
      <x:c r="K99" s="33" t="n">
        <x:f>IF(AND(ISNUMBER('Параметры'!$C$8),'Параметры'!$C$8&gt;=0),'Параметры'!$C$8*C99/365,NA())</x:f>
        <x:v>0.0061643835616438354</x:v>
      </x:c>
      <x:c r="L99" s="32" t="n">
        <x:f>L98/(1+K99)</x:f>
        <x:v>0.5611002050823202</x:v>
      </x:c>
      <x:c r="M99" s="30" t="n">
        <x:f>E99*L99</x:f>
        <x:v>11199.071936264689</x:v>
      </x:c>
      <x:c r="N99" s="30" t="n">
        <x:f>F99*L99</x:f>
        <x:v>3391.328916531899</x:v>
      </x:c>
      <x:c r="O99" s="30" t="n">
        <x:f>G99*L99</x:f>
        <x:v>14590.400852796589</x:v>
      </x:c>
    </x:row>
    <x:row r="100" ht="21" customHeight="1">
      <x:c r="A100" s="28" t="n">
        <x:v>94</x:v>
      </x:c>
      <x:c r="B100" s="29" t="n">
        <x:v>47656</x:v>
      </x:c>
      <x:c r="C100" s="28" t="n">
        <x:f>B100-B99</x:f>
        <x:v>31</x:v>
      </x:c>
      <x:c r="D100" s="30" t="n">
        <x:f>H99</x:f>
        <x:v>3231770.21</x:v>
      </x:c>
      <x:c r="E100" s="30" t="n">
        <x:f>ROUND(D100*I100,2)</x:f>
        <x:v>20585.93</x:v>
      </x:c>
      <x:c r="F100" s="30" t="n">
        <x:f>IF(G100&gt;=E100,ROUND(G100-E100,2),NA())</x:f>
        <x:v>5417.27</x:v>
      </x:c>
      <x:c r="G100" s="30" t="n">
        <x:f>MIN('Параметры'!$C$14,ROUND(D100+E100,2))</x:f>
        <x:v>26003.2</x:v>
      </x:c>
      <x:c r="H100" s="30" t="n">
        <x:f>ROUND(D100-F100,2)</x:f>
        <x:v>3226352.94</x:v>
      </x:c>
      <x:c r="I100" s="33" t="n">
        <x:f>IF(AND(ISNUMBER('Параметры'!$C$7),'Параметры'!$C$7&gt;=0),'Параметры'!$C$7*C100/365,NA())</x:f>
        <x:v>0.00636986301369863</x:v>
      </x:c>
      <x:c r="J100" s="32" t="n">
        <x:f>J99/(1+I100)</x:f>
        <x:v>0.5575486962636544</x:v>
      </x:c>
      <x:c r="K100" s="33" t="n">
        <x:f>IF(AND(ISNUMBER('Параметры'!$C$8),'Параметры'!$C$8&gt;=0),'Параметры'!$C$8*C100/365,NA())</x:f>
        <x:v>0.00636986301369863</x:v>
      </x:c>
      <x:c r="L100" s="32" t="n">
        <x:f>L99/(1+K100)</x:f>
        <x:v>0.5575486962636544</x:v>
      </x:c>
      <x:c r="M100" s="30" t="n">
        <x:f>E100*L100</x:f>
        <x:v>11477.658432874852</x:v>
      </x:c>
      <x:c r="N100" s="30" t="n">
        <x:f>F100*L100</x:f>
        <x:v>3020.3918258082076</x:v>
      </x:c>
      <x:c r="O100" s="30" t="n">
        <x:f>G100*L100</x:f>
        <x:v>14498.050258683059</x:v>
      </x:c>
    </x:row>
    <x:row r="101" ht="21" customHeight="1">
      <x:c r="A101" s="28" t="n">
        <x:v>95</x:v>
      </x:c>
      <x:c r="B101" s="29" t="n">
        <x:v>47686</x:v>
      </x:c>
      <x:c r="C101" s="28" t="n">
        <x:f>B101-B100</x:f>
        <x:v>30</x:v>
      </x:c>
      <x:c r="D101" s="30" t="n">
        <x:f>H100</x:f>
        <x:v>3226352.94</x:v>
      </x:c>
      <x:c r="E101" s="30" t="n">
        <x:f>ROUND(D101*I101,2)</x:f>
        <x:v>19888.48</x:v>
      </x:c>
      <x:c r="F101" s="30" t="n">
        <x:f>IF(G101&gt;=E101,ROUND(G101-E101,2),NA())</x:f>
        <x:v>6114.72</x:v>
      </x:c>
      <x:c r="G101" s="30" t="n">
        <x:f>MIN('Параметры'!$C$14,ROUND(D101+E101,2))</x:f>
        <x:v>26003.2</x:v>
      </x:c>
      <x:c r="H101" s="30" t="n">
        <x:f>ROUND(D101-F101,2)</x:f>
        <x:v>3220238.22</x:v>
      </x:c>
      <x:c r="I101" s="33" t="n">
        <x:f>IF(AND(ISNUMBER('Параметры'!$C$7),'Параметры'!$C$7&gt;=0),'Параметры'!$C$7*C101/365,NA())</x:f>
        <x:v>0.0061643835616438354</x:v>
      </x:c>
      <x:c r="J101" s="32" t="n">
        <x:f>J100/(1+I101)</x:f>
        <x:v>0.5541328090843672</x:v>
      </x:c>
      <x:c r="K101" s="33" t="n">
        <x:f>IF(AND(ISNUMBER('Параметры'!$C$8),'Параметры'!$C$8&gt;=0),'Параметры'!$C$8*C101/365,NA())</x:f>
        <x:v>0.0061643835616438354</x:v>
      </x:c>
      <x:c r="L101" s="32" t="n">
        <x:f>L100/(1+K101)</x:f>
        <x:v>0.5541328090843672</x:v>
      </x:c>
      <x:c r="M101" s="30" t="n">
        <x:f>E101*L101</x:f>
        <x:v>11020.859290818256</x:v>
      </x:c>
      <x:c r="N101" s="30" t="n">
        <x:f>F101*L101</x:f>
        <x:v>3388.3669703643623</x:v>
      </x:c>
      <x:c r="O101" s="30" t="n">
        <x:f>G101*L101</x:f>
        <x:v>14409.226261182619</x:v>
      </x:c>
    </x:row>
    <x:row r="102" ht="21" customHeight="1">
      <x:c r="A102" s="28" t="n">
        <x:v>96</x:v>
      </x:c>
      <x:c r="B102" s="29" t="n">
        <x:v>47717</x:v>
      </x:c>
      <x:c r="C102" s="28" t="n">
        <x:f>B102-B101</x:f>
        <x:v>31</x:v>
      </x:c>
      <x:c r="D102" s="30" t="n">
        <x:f>H101</x:f>
        <x:v>3220238.22</x:v>
      </x:c>
      <x:c r="E102" s="30" t="n">
        <x:f>ROUND(D102*I102,2)</x:f>
        <x:v>20512.48</x:v>
      </x:c>
      <x:c r="F102" s="30" t="n">
        <x:f>IF(G102&gt;=E102,ROUND(G102-E102,2),NA())</x:f>
        <x:v>5490.72</x:v>
      </x:c>
      <x:c r="G102" s="30" t="n">
        <x:f>MIN('Параметры'!$C$14,ROUND(D102+E102,2))</x:f>
        <x:v>26003.2</x:v>
      </x:c>
      <x:c r="H102" s="30" t="n">
        <x:f>ROUND(D102-F102,2)</x:f>
        <x:v>3214747.5</x:v>
      </x:c>
      <x:c r="I102" s="33" t="n">
        <x:f>IF(AND(ISNUMBER('Параметры'!$C$7),'Параметры'!$C$7&gt;=0),'Параметры'!$C$7*C102/365,NA())</x:f>
        <x:v>0.00636986301369863</x:v>
      </x:c>
      <x:c r="J102" s="32" t="n">
        <x:f>J101/(1+I102)</x:f>
        <x:v>0.5506254007099818</x:v>
      </x:c>
      <x:c r="K102" s="33" t="n">
        <x:f>IF(AND(ISNUMBER('Параметры'!$C$8),'Параметры'!$C$8&gt;=0),'Параметры'!$C$8*C102/365,NA())</x:f>
        <x:v>0.00636986301369863</x:v>
      </x:c>
      <x:c r="L102" s="32" t="n">
        <x:f>L101/(1+K102)</x:f>
        <x:v>0.5506254007099818</x:v>
      </x:c>
      <x:c r="M102" s="30" t="n">
        <x:f>E102*L102</x:f>
        <x:v>11294.692519555487</x:v>
      </x:c>
      <x:c r="N102" s="30" t="n">
        <x:f>F102*L102</x:f>
        <x:v>3023.3299001863115</x:v>
      </x:c>
      <x:c r="O102" s="30" t="n">
        <x:f>G102*L102</x:f>
        <x:v>14318.0224197418</x:v>
      </x:c>
    </x:row>
    <x:row r="103" ht="21" customHeight="1">
      <x:c r="A103" s="28" t="n">
        <x:v>97</x:v>
      </x:c>
      <x:c r="B103" s="29" t="n">
        <x:v>47748</x:v>
      </x:c>
      <x:c r="C103" s="28" t="n">
        <x:f>B103-B102</x:f>
        <x:v>31</x:v>
      </x:c>
      <x:c r="D103" s="30" t="n">
        <x:f>H102</x:f>
        <x:v>3214747.5</x:v>
      </x:c>
      <x:c r="E103" s="30" t="n">
        <x:f>ROUND(D103*I103,2)</x:f>
        <x:v>20477.5</x:v>
      </x:c>
      <x:c r="F103" s="30" t="n">
        <x:f>IF(G103&gt;=E103,ROUND(G103-E103,2),NA())</x:f>
        <x:v>5525.7</x:v>
      </x:c>
      <x:c r="G103" s="30" t="n">
        <x:f>MIN('Параметры'!$C$14,ROUND(D103+E103,2))</x:f>
        <x:v>26003.2</x:v>
      </x:c>
      <x:c r="H103" s="30" t="n">
        <x:f>ROUND(D103-F103,2)</x:f>
        <x:v>3209221.8</x:v>
      </x:c>
      <x:c r="I103" s="33" t="n">
        <x:f>IF(AND(ISNUMBER('Параметры'!$C$7),'Параметры'!$C$7&gt;=0),'Параметры'!$C$7*C103/365,NA())</x:f>
        <x:v>0.00636986301369863</x:v>
      </x:c>
      <x:c r="J103" s="32" t="n">
        <x:f>J102/(1+I103)</x:f>
        <x:v>0.547140192633617</x:v>
      </x:c>
      <x:c r="K103" s="33" t="n">
        <x:f>IF(AND(ISNUMBER('Параметры'!$C$8),'Параметры'!$C$8&gt;=0),'Параметры'!$C$8*C103/365,NA())</x:f>
        <x:v>0.00636986301369863</x:v>
      </x:c>
      <x:c r="L103" s="32" t="n">
        <x:f>L102/(1+K103)</x:f>
        <x:v>0.547140192633617</x:v>
      </x:c>
      <x:c r="M103" s="30" t="n">
        <x:f>E103*L103</x:f>
        <x:v>11204.063294654892</x:v>
      </x:c>
      <x:c r="N103" s="30" t="n">
        <x:f>F103*L103</x:f>
        <x:v>3023.3325624355775</x:v>
      </x:c>
      <x:c r="O103" s="30" t="n">
        <x:f>G103*L103</x:f>
        <x:v>14227.39585709047</x:v>
      </x:c>
    </x:row>
    <x:row r="104" ht="21" customHeight="1">
      <x:c r="A104" s="28" t="n">
        <x:v>98</x:v>
      </x:c>
      <x:c r="B104" s="29" t="n">
        <x:v>47778</x:v>
      </x:c>
      <x:c r="C104" s="28" t="n">
        <x:f>B104-B103</x:f>
        <x:v>30</x:v>
      </x:c>
      <x:c r="D104" s="30" t="n">
        <x:f>H103</x:f>
        <x:v>3209221.8</x:v>
      </x:c>
      <x:c r="E104" s="30" t="n">
        <x:f>ROUND(D104*I104,2)</x:f>
        <x:v>19782.87</x:v>
      </x:c>
      <x:c r="F104" s="30" t="n">
        <x:f>IF(G104&gt;=E104,ROUND(G104-E104,2),NA())</x:f>
        <x:v>6220.33</x:v>
      </x:c>
      <x:c r="G104" s="30" t="n">
        <x:f>MIN('Параметры'!$C$14,ROUND(D104+E104,2))</x:f>
        <x:v>26003.2</x:v>
      </x:c>
      <x:c r="H104" s="30" t="n">
        <x:f>ROUND(D104-F104,2)</x:f>
        <x:v>3203001.47</x:v>
      </x:c>
      <x:c r="I104" s="33" t="n">
        <x:f>IF(AND(ISNUMBER('Параметры'!$C$7),'Параметры'!$C$7&gt;=0),'Параметры'!$C$7*C104/365,NA())</x:f>
        <x:v>0.0061643835616438354</x:v>
      </x:c>
      <x:c r="J104" s="32" t="n">
        <x:f>J103/(1+I104)</x:f>
        <x:v>0.5437880743669713</x:v>
      </x:c>
      <x:c r="K104" s="33" t="n">
        <x:f>IF(AND(ISNUMBER('Параметры'!$C$8),'Параметры'!$C$8&gt;=0),'Параметры'!$C$8*C104/365,NA())</x:f>
        <x:v>0.0061643835616438354</x:v>
      </x:c>
      <x:c r="L104" s="32" t="n">
        <x:f>L103/(1+K104)</x:f>
        <x:v>0.5437880743669713</x:v>
      </x:c>
      <x:c r="M104" s="30" t="n">
        <x:f>E104*L104</x:f>
        <x:v>10757.688782752124</x:v>
      </x:c>
      <x:c r="N104" s="30" t="n">
        <x:f>F104*L104</x:f>
        <x:v>3382.5412726271024</x:v>
      </x:c>
      <x:c r="O104" s="30" t="n">
        <x:f>G104*L104</x:f>
        <x:v>14140.230055379228</x:v>
      </x:c>
    </x:row>
    <x:row r="105" ht="21" customHeight="1">
      <x:c r="A105" s="28" t="n">
        <x:v>99</x:v>
      </x:c>
      <x:c r="B105" s="29" t="n">
        <x:v>47809</x:v>
      </x:c>
      <x:c r="C105" s="28" t="n">
        <x:f>B105-B104</x:f>
        <x:v>31</x:v>
      </x:c>
      <x:c r="D105" s="30" t="n">
        <x:f>H104</x:f>
        <x:v>3203001.47</x:v>
      </x:c>
      <x:c r="E105" s="30" t="n">
        <x:f>ROUND(D105*I105,2)</x:f>
        <x:v>20402.68</x:v>
      </x:c>
      <x:c r="F105" s="30" t="n">
        <x:f>IF(G105&gt;=E105,ROUND(G105-E105,2),NA())</x:f>
        <x:v>5600.52</x:v>
      </x:c>
      <x:c r="G105" s="30" t="n">
        <x:f>MIN('Параметры'!$C$14,ROUND(D105+E105,2))</x:f>
        <x:v>26003.2</x:v>
      </x:c>
      <x:c r="H105" s="30" t="n">
        <x:f>ROUND(D105-F105,2)</x:f>
        <x:v>3197400.95</x:v>
      </x:c>
      <x:c r="I105" s="33" t="n">
        <x:f>IF(AND(ISNUMBER('Параметры'!$C$7),'Параметры'!$C$7&gt;=0),'Параметры'!$C$7*C105/365,NA())</x:f>
        <x:v>0.00636986301369863</x:v>
      </x:c>
      <x:c r="J105" s="32" t="n">
        <x:f>J104/(1+I105)</x:f>
        <x:v>0.5403461434531941</x:v>
      </x:c>
      <x:c r="K105" s="33" t="n">
        <x:f>IF(AND(ISNUMBER('Параметры'!$C$8),'Параметры'!$C$8&gt;=0),'Параметры'!$C$8*C105/365,NA())</x:f>
        <x:v>0.00636986301369863</x:v>
      </x:c>
      <x:c r="L105" s="32" t="n">
        <x:f>L104/(1+K105)</x:f>
        <x:v>0.5403461434531941</x:v>
      </x:c>
      <x:c r="M105" s="30" t="n">
        <x:f>E105*L105</x:f>
        <x:v>11024.509454109615</x:v>
      </x:c>
      <x:c r="N105" s="30" t="n">
        <x:f>F105*L105</x:f>
        <x:v>3026.2193833324827</x:v>
      </x:c>
      <x:c r="O105" s="30" t="n">
        <x:f>G105*L105</x:f>
        <x:v>14050.728837442097</x:v>
      </x:c>
    </x:row>
    <x:row r="106" ht="21" customHeight="1">
      <x:c r="A106" s="28" t="n">
        <x:v>100</x:v>
      </x:c>
      <x:c r="B106" s="29" t="n">
        <x:v>47839</x:v>
      </x:c>
      <x:c r="C106" s="28" t="n">
        <x:f>B106-B105</x:f>
        <x:v>30</x:v>
      </x:c>
      <x:c r="D106" s="30" t="n">
        <x:f>H105</x:f>
        <x:v>3197400.95</x:v>
      </x:c>
      <x:c r="E106" s="30" t="n">
        <x:f>ROUND(D106*I106,2)</x:f>
        <x:v>19710.01</x:v>
      </x:c>
      <x:c r="F106" s="30" t="n">
        <x:f>IF(G106&gt;=E106,ROUND(G106-E106,2),NA())</x:f>
        <x:v>6293.19</x:v>
      </x:c>
      <x:c r="G106" s="30" t="n">
        <x:f>MIN('Параметры'!$C$14,ROUND(D106+E106,2))</x:f>
        <x:v>26003.2</x:v>
      </x:c>
      <x:c r="H106" s="30" t="n">
        <x:f>ROUND(D106-F106,2)</x:f>
        <x:v>3191107.76</x:v>
      </x:c>
      <x:c r="I106" s="33" t="n">
        <x:f>IF(AND(ISNUMBER('Параметры'!$C$7),'Параметры'!$C$7&gt;=0),'Параметры'!$C$7*C106/365,NA())</x:f>
        <x:v>0.0061643835616438354</x:v>
      </x:c>
      <x:c r="J106" s="32" t="n">
        <x:f>J105/(1+I106)</x:f>
        <x:v>0.5370356497220309</x:v>
      </x:c>
      <x:c r="K106" s="33" t="n">
        <x:f>IF(AND(ISNUMBER('Параметры'!$C$8),'Параметры'!$C$8&gt;=0),'Параметры'!$C$8*C106/365,NA())</x:f>
        <x:v>0.0061643835616438354</x:v>
      </x:c>
      <x:c r="L106" s="32" t="n">
        <x:f>L105/(1+K106)</x:f>
        <x:v>0.5370356497220309</x:v>
      </x:c>
      <x:c r="M106" s="30" t="n">
        <x:f>E106*L106</x:f>
        <x:v>10584.978026377725</x:v>
      </x:c>
      <x:c r="N106" s="30" t="n">
        <x:f>F106*L106</x:f>
        <x:v>3379.667380474187</x:v>
      </x:c>
      <x:c r="O106" s="30" t="n">
        <x:f>G106*L106</x:f>
        <x:v>13964.645406851914</x:v>
      </x:c>
    </x:row>
    <x:row r="107" ht="21" customHeight="1">
      <x:c r="A107" s="28" t="n">
        <x:v>101</x:v>
      </x:c>
      <x:c r="B107" s="29" t="n">
        <x:v>47870</x:v>
      </x:c>
      <x:c r="C107" s="28" t="n">
        <x:f>B107-B106</x:f>
        <x:v>31</x:v>
      </x:c>
      <x:c r="D107" s="30" t="n">
        <x:f>H106</x:f>
        <x:v>3191107.76</x:v>
      </x:c>
      <x:c r="E107" s="30" t="n">
        <x:f>ROUND(D107*I107,2)</x:f>
        <x:v>20326.92</x:v>
      </x:c>
      <x:c r="F107" s="30" t="n">
        <x:f>IF(G107&gt;=E107,ROUND(G107-E107,2),NA())</x:f>
        <x:v>5676.28</x:v>
      </x:c>
      <x:c r="G107" s="30" t="n">
        <x:f>MIN('Параметры'!$C$14,ROUND(D107+E107,2))</x:f>
        <x:v>26003.2</x:v>
      </x:c>
      <x:c r="H107" s="30" t="n">
        <x:f>ROUND(D107-F107,2)</x:f>
        <x:v>3185431.48</x:v>
      </x:c>
      <x:c r="I107" s="33" t="n">
        <x:f>IF(AND(ISNUMBER('Параметры'!$C$7),'Параметры'!$C$7&gt;=0),'Параметры'!$C$7*C107/365,NA())</x:f>
        <x:v>0.00636986301369863</x:v>
      </x:c>
      <x:c r="J107" s="32" t="n">
        <x:f>J106/(1+I107)</x:f>
        <x:v>0.5336364585817499</x:v>
      </x:c>
      <x:c r="K107" s="33" t="n">
        <x:f>IF(AND(ISNUMBER('Параметры'!$C$8),'Параметры'!$C$8&gt;=0),'Параметры'!$C$8*C107/365,NA())</x:f>
        <x:v>0.00636986301369863</x:v>
      </x:c>
      <x:c r="L107" s="32" t="n">
        <x:f>L106/(1+K107)</x:f>
        <x:v>0.5336364585817499</x:v>
      </x:c>
      <x:c r="M107" s="30" t="n">
        <x:f>E107*L107</x:f>
        <x:v>10847.185602674543</x:v>
      </x:c>
      <x:c r="N107" s="30" t="n">
        <x:f>F107*L107</x:f>
        <x:v>3029.069957118415</x:v>
      </x:c>
      <x:c r="O107" s="30" t="n">
        <x:f>G107*L107</x:f>
        <x:v>13876.25555979296</x:v>
      </x:c>
    </x:row>
    <x:row r="108" ht="21" customHeight="1">
      <x:c r="A108" s="28" t="n">
        <x:v>102</x:v>
      </x:c>
      <x:c r="B108" s="29" t="n">
        <x:v>47901</x:v>
      </x:c>
      <x:c r="C108" s="28" t="n">
        <x:f>B108-B107</x:f>
        <x:v>31</x:v>
      </x:c>
      <x:c r="D108" s="30" t="n">
        <x:f>H107</x:f>
        <x:v>3185431.48</x:v>
      </x:c>
      <x:c r="E108" s="30" t="n">
        <x:f>ROUND(D108*I108,2)</x:f>
        <x:v>20290.76</x:v>
      </x:c>
      <x:c r="F108" s="30" t="n">
        <x:f>IF(G108&gt;=E108,ROUND(G108-E108,2),NA())</x:f>
        <x:v>5712.44</x:v>
      </x:c>
      <x:c r="G108" s="30" t="n">
        <x:f>MIN('Параметры'!$C$14,ROUND(D108+E108,2))</x:f>
        <x:v>26003.2</x:v>
      </x:c>
      <x:c r="H108" s="30" t="n">
        <x:f>ROUND(D108-F108,2)</x:f>
        <x:v>3179719.04</x:v>
      </x:c>
      <x:c r="I108" s="33" t="n">
        <x:f>IF(AND(ISNUMBER('Параметры'!$C$7),'Параметры'!$C$7&gt;=0),'Параметры'!$C$7*C108/365,NA())</x:f>
        <x:v>0.00636986301369863</x:v>
      </x:c>
      <x:c r="J108" s="32" t="n">
        <x:f>J107/(1+I108)</x:f>
        <x:v>0.5302587827736711</x:v>
      </x:c>
      <x:c r="K108" s="33" t="n">
        <x:f>IF(AND(ISNUMBER('Параметры'!$C$8),'Параметры'!$C$8&gt;=0),'Параметры'!$C$8*C108/365,NA())</x:f>
        <x:v>0.00636986301369863</x:v>
      </x:c>
      <x:c r="L108" s="32" t="n">
        <x:f>L107/(1+K108)</x:f>
        <x:v>0.5302587827736711</x:v>
      </x:c>
      <x:c r="M108" s="30" t="n">
        <x:f>E108*L108</x:f>
        <x:v>10759.353699152694</x:v>
      </x:c>
      <x:c r="N108" s="30" t="n">
        <x:f>F108*L108</x:f>
        <x:v>3029.0714810676295</x:v>
      </x:c>
      <x:c r="O108" s="30" t="n">
        <x:f>G108*L108</x:f>
        <x:v>13788.425180220325</x:v>
      </x:c>
    </x:row>
    <x:row r="109" ht="21" customHeight="1">
      <x:c r="A109" s="28" t="n">
        <x:v>103</x:v>
      </x:c>
      <x:c r="B109" s="29" t="n">
        <x:v>47929</x:v>
      </x:c>
      <x:c r="C109" s="28" t="n">
        <x:f>B109-B108</x:f>
        <x:v>28</x:v>
      </x:c>
      <x:c r="D109" s="30" t="n">
        <x:f>H108</x:f>
        <x:v>3179719.04</x:v>
      </x:c>
      <x:c r="E109" s="30" t="n">
        <x:f>ROUND(D109*I109,2)</x:f>
        <x:v>18294.27</x:v>
      </x:c>
      <x:c r="F109" s="30" t="n">
        <x:f>IF(G109&gt;=E109,ROUND(G109-E109,2),NA())</x:f>
        <x:v>7708.93</x:v>
      </x:c>
      <x:c r="G109" s="30" t="n">
        <x:f>MIN('Параметры'!$C$14,ROUND(D109+E109,2))</x:f>
        <x:v>26003.2</x:v>
      </x:c>
      <x:c r="H109" s="30" t="n">
        <x:f>ROUND(D109-F109,2)</x:f>
        <x:v>3172010.11</x:v>
      </x:c>
      <x:c r="I109" s="33" t="n">
        <x:f>IF(AND(ISNUMBER('Параметры'!$C$7),'Параметры'!$C$7&gt;=0),'Параметры'!$C$7*C109/365,NA())</x:f>
        <x:v>0.005753424657534247</x:v>
      </x:c>
      <x:c r="J109" s="32" t="n">
        <x:f>J108/(1+I109)</x:f>
        <x:v>0.5272254309789974</x:v>
      </x:c>
      <x:c r="K109" s="33" t="n">
        <x:f>IF(AND(ISNUMBER('Параметры'!$C$8),'Параметры'!$C$8&gt;=0),'Параметры'!$C$8*C109/365,NA())</x:f>
        <x:v>0.005753424657534247</x:v>
      </x:c>
      <x:c r="L109" s="32" t="n">
        <x:f>L108/(1+K109)</x:f>
        <x:v>0.5272254309789974</x:v>
      </x:c>
      <x:c r="M109" s="30" t="n">
        <x:f>E109*L109</x:f>
        <x:v>9645.204385196144</x:v>
      </x:c>
      <x:c r="N109" s="30" t="n">
        <x:f>F109*L109</x:f>
        <x:v>4064.343941636923</x:v>
      </x:c>
      <x:c r="O109" s="30" t="n">
        <x:f>G109*L109</x:f>
        <x:v>13709.548326833066</x:v>
      </x:c>
    </x:row>
    <x:row r="110" ht="21" customHeight="1">
      <x:c r="A110" s="28" t="n">
        <x:v>104</x:v>
      </x:c>
      <x:c r="B110" s="29" t="n">
        <x:v>47960</x:v>
      </x:c>
      <x:c r="C110" s="28" t="n">
        <x:f>B110-B109</x:f>
        <x:v>31</x:v>
      </x:c>
      <x:c r="D110" s="30" t="n">
        <x:f>H109</x:f>
        <x:v>3172010.11</x:v>
      </x:c>
      <x:c r="E110" s="30" t="n">
        <x:f>ROUND(D110*I110,2)</x:f>
        <x:v>20205.27</x:v>
      </x:c>
      <x:c r="F110" s="30" t="n">
        <x:f>IF(G110&gt;=E110,ROUND(G110-E110,2),NA())</x:f>
        <x:v>5797.93</x:v>
      </x:c>
      <x:c r="G110" s="30" t="n">
        <x:f>MIN('Параметры'!$C$14,ROUND(D110+E110,2))</x:f>
        <x:v>26003.2</x:v>
      </x:c>
      <x:c r="H110" s="30" t="n">
        <x:f>ROUND(D110-F110,2)</x:f>
        <x:v>3166212.18</x:v>
      </x:c>
      <x:c r="I110" s="33" t="n">
        <x:f>IF(AND(ISNUMBER('Параметры'!$C$7),'Параметры'!$C$7&gt;=0),'Параметры'!$C$7*C110/365,NA())</x:f>
        <x:v>0.00636986301369863</x:v>
      </x:c>
      <x:c r="J110" s="32" t="n">
        <x:f>J109/(1+I110)</x:f>
        <x:v>0.5238883340565822</x:v>
      </x:c>
      <x:c r="K110" s="33" t="n">
        <x:f>IF(AND(ISNUMBER('Параметры'!$C$8),'Параметры'!$C$8&gt;=0),'Параметры'!$C$8*C110/365,NA())</x:f>
        <x:v>0.00636986301369863</x:v>
      </x:c>
      <x:c r="L110" s="32" t="n">
        <x:f>L109/(1+K110)</x:f>
        <x:v>0.5238883340565822</x:v>
      </x:c>
      <x:c r="M110" s="30" t="n">
        <x:f>E110*L110</x:f>
        <x:v>10585.30523946344</x:v>
      </x:c>
      <x:c r="N110" s="30" t="n">
        <x:f>F110*L110</x:f>
        <x:v>3037.4678886766796</x:v>
      </x:c>
      <x:c r="O110" s="30" t="n">
        <x:f>G110*L110</x:f>
        <x:v>13622.77312814012</x:v>
      </x:c>
    </x:row>
    <x:row r="111" ht="21" customHeight="1">
      <x:c r="A111" s="28" t="n">
        <x:v>105</x:v>
      </x:c>
      <x:c r="B111" s="29" t="n">
        <x:v>47990</x:v>
      </x:c>
      <x:c r="C111" s="28" t="n">
        <x:f>B111-B110</x:f>
        <x:v>30</x:v>
      </x:c>
      <x:c r="D111" s="30" t="n">
        <x:f>H110</x:f>
        <x:v>3166212.18</x:v>
      </x:c>
      <x:c r="E111" s="30" t="n">
        <x:f>ROUND(D111*I111,2)</x:f>
        <x:v>19517.75</x:v>
      </x:c>
      <x:c r="F111" s="30" t="n">
        <x:f>IF(G111&gt;=E111,ROUND(G111-E111,2),NA())</x:f>
        <x:v>6485.45</x:v>
      </x:c>
      <x:c r="G111" s="30" t="n">
        <x:f>MIN('Параметры'!$C$14,ROUND(D111+E111,2))</x:f>
        <x:v>26003.2</x:v>
      </x:c>
      <x:c r="H111" s="30" t="n">
        <x:f>ROUND(D111-F111,2)</x:f>
        <x:v>3159726.73</x:v>
      </x:c>
      <x:c r="I111" s="33" t="n">
        <x:f>IF(AND(ISNUMBER('Параметры'!$C$7),'Параметры'!$C$7&gt;=0),'Параметры'!$C$7*C111/365,NA())</x:f>
        <x:v>0.0061643835616438354</x:v>
      </x:c>
      <x:c r="J111" s="32" t="n">
        <x:f>J110/(1+I111)</x:f>
        <x:v>0.5206786710160721</x:v>
      </x:c>
      <x:c r="K111" s="33" t="n">
        <x:f>IF(AND(ISNUMBER('Параметры'!$C$8),'Параметры'!$C$8&gt;=0),'Параметры'!$C$8*C111/365,NA())</x:f>
        <x:v>0.0061643835616438354</x:v>
      </x:c>
      <x:c r="L111" s="32" t="n">
        <x:f>L110/(1+K111)</x:f>
        <x:v>0.5206786710160721</x:v>
      </x:c>
      <x:c r="M111" s="30" t="n">
        <x:f>E111*L111</x:f>
        <x:v>10162.476131223943</x:v>
      </x:c>
      <x:c r="N111" s="30" t="n">
        <x:f>F111*L111</x:f>
        <x:v>3376.835486941185</x:v>
      </x:c>
      <x:c r="O111" s="30" t="n">
        <x:f>G111*L111</x:f>
        <x:v>13539.311618165128</x:v>
      </x:c>
    </x:row>
    <x:row r="112" ht="21" customHeight="1">
      <x:c r="A112" s="28" t="n">
        <x:v>106</x:v>
      </x:c>
      <x:c r="B112" s="29" t="n">
        <x:v>48021</x:v>
      </x:c>
      <x:c r="C112" s="28" t="n">
        <x:f>B112-B111</x:f>
        <x:v>31</x:v>
      </x:c>
      <x:c r="D112" s="30" t="n">
        <x:f>H111</x:f>
        <x:v>3159726.73</x:v>
      </x:c>
      <x:c r="E112" s="30" t="n">
        <x:f>ROUND(D112*I112,2)</x:f>
        <x:v>20127.03</x:v>
      </x:c>
      <x:c r="F112" s="30" t="n">
        <x:f>IF(G112&gt;=E112,ROUND(G112-E112,2),NA())</x:f>
        <x:v>5876.17</x:v>
      </x:c>
      <x:c r="G112" s="30" t="n">
        <x:f>MIN('Параметры'!$C$14,ROUND(D112+E112,2))</x:f>
        <x:v>26003.2</x:v>
      </x:c>
      <x:c r="H112" s="30" t="n">
        <x:f>ROUND(D112-F112,2)</x:f>
        <x:v>3153850.56</x:v>
      </x:c>
      <x:c r="I112" s="33" t="n">
        <x:f>IF(AND(ISNUMBER('Параметры'!$C$7),'Параметры'!$C$7&gt;=0),'Параметры'!$C$7*C112/365,NA())</x:f>
        <x:v>0.00636986301369863</x:v>
      </x:c>
      <x:c r="J112" s="32" t="n">
        <x:f>J111/(1+I112)</x:f>
        <x:v>0.517383012103359</x:v>
      </x:c>
      <x:c r="K112" s="33" t="n">
        <x:f>IF(AND(ISNUMBER('Параметры'!$C$8),'Параметры'!$C$8&gt;=0),'Параметры'!$C$8*C112/365,NA())</x:f>
        <x:v>0.00636986301369863</x:v>
      </x:c>
      <x:c r="L112" s="32" t="n">
        <x:f>L111/(1+K112)</x:f>
        <x:v>0.517383012103359</x:v>
      </x:c>
      <x:c r="M112" s="30" t="n">
        <x:f>E112*L112</x:f>
        <x:v>10413.38340609467</x:v>
      </x:c>
      <x:c r="N112" s="30" t="n">
        <x:f>F112*L112</x:f>
        <x:v>3040.2305342313953</x:v>
      </x:c>
      <x:c r="O112" s="30" t="n">
        <x:f>G112*L112</x:f>
        <x:v>13453.613940326066</x:v>
      </x:c>
    </x:row>
    <x:row r="113" ht="21" customHeight="1">
      <x:c r="A113" s="28" t="n">
        <x:v>107</x:v>
      </x:c>
      <x:c r="B113" s="29" t="n">
        <x:v>48051</x:v>
      </x:c>
      <x:c r="C113" s="28" t="n">
        <x:f>B113-B112</x:f>
        <x:v>30</x:v>
      </x:c>
      <x:c r="D113" s="30" t="n">
        <x:f>H112</x:f>
        <x:v>3153850.56</x:v>
      </x:c>
      <x:c r="E113" s="30" t="n">
        <x:f>ROUND(D113*I113,2)</x:f>
        <x:v>19441.54</x:v>
      </x:c>
      <x:c r="F113" s="30" t="n">
        <x:f>IF(G113&gt;=E113,ROUND(G113-E113,2),NA())</x:f>
        <x:v>6561.66</x:v>
      </x:c>
      <x:c r="G113" s="30" t="n">
        <x:f>MIN('Параметры'!$C$14,ROUND(D113+E113,2))</x:f>
        <x:v>26003.2</x:v>
      </x:c>
      <x:c r="H113" s="30" t="n">
        <x:f>ROUND(D113-F113,2)</x:f>
        <x:v>3147288.9</x:v>
      </x:c>
      <x:c r="I113" s="33" t="n">
        <x:f>IF(AND(ISNUMBER('Параметры'!$C$7),'Параметры'!$C$7&gt;=0),'Параметры'!$C$7*C113/365,NA())</x:f>
        <x:v>0.0061643835616438354</x:v>
      </x:c>
      <x:c r="J113" s="32" t="n">
        <x:f>J112/(1+I113)</x:f>
        <x:v>0.5142132046772663</x:v>
      </x:c>
      <x:c r="K113" s="33" t="n">
        <x:f>IF(AND(ISNUMBER('Параметры'!$C$8),'Параметры'!$C$8&gt;=0),'Параметры'!$C$8*C113/365,NA())</x:f>
        <x:v>0.0061643835616438354</x:v>
      </x:c>
      <x:c r="L113" s="32" t="n">
        <x:f>L112/(1+K113)</x:f>
        <x:v>0.5142132046772663</x:v>
      </x:c>
      <x:c r="M113" s="30" t="n">
        <x:f>E113*L113</x:f>
        <x:v>9997.09658726126</x:v>
      </x:c>
      <x:c r="N113" s="30" t="n">
        <x:f>F113*L113</x:f>
        <x:v>3374.092216602631</x:v>
      </x:c>
      <x:c r="O113" s="30" t="n">
        <x:f>G113*L113</x:f>
        <x:v>13371.188803863892</x:v>
      </x:c>
    </x:row>
    <x:row r="114" ht="21" customHeight="1">
      <x:c r="A114" s="28" t="n">
        <x:v>108</x:v>
      </x:c>
      <x:c r="B114" s="29" t="n">
        <x:v>48082</x:v>
      </x:c>
      <x:c r="C114" s="28" t="n">
        <x:f>B114-B113</x:f>
        <x:v>31</x:v>
      </x:c>
      <x:c r="D114" s="30" t="n">
        <x:f>H113</x:f>
        <x:v>3147288.9</x:v>
      </x:c>
      <x:c r="E114" s="30" t="n">
        <x:f>ROUND(D114*I114,2)</x:f>
        <x:v>20047.8</x:v>
      </x:c>
      <x:c r="F114" s="30" t="n">
        <x:f>IF(G114&gt;=E114,ROUND(G114-E114,2),NA())</x:f>
        <x:v>5955.4</x:v>
      </x:c>
      <x:c r="G114" s="30" t="n">
        <x:f>MIN('Параметры'!$C$14,ROUND(D114+E114,2))</x:f>
        <x:v>26003.2</x:v>
      </x:c>
      <x:c r="H114" s="30" t="n">
        <x:f>ROUND(D114-F114,2)</x:f>
        <x:v>3141333.5</x:v>
      </x:c>
      <x:c r="I114" s="33" t="n">
        <x:f>IF(AND(ISNUMBER('Параметры'!$C$7),'Параметры'!$C$7&gt;=0),'Параметры'!$C$7*C114/365,NA())</x:f>
        <x:v>0.00636986301369863</x:v>
      </x:c>
      <x:c r="J114" s="32" t="n">
        <x:f>J113/(1+I114)</x:f>
        <x:v>0.510958469222629</x:v>
      </x:c>
      <x:c r="K114" s="33" t="n">
        <x:f>IF(AND(ISNUMBER('Параметры'!$C$8),'Параметры'!$C$8&gt;=0),'Параметры'!$C$8*C114/365,NA())</x:f>
        <x:v>0.00636986301369863</x:v>
      </x:c>
      <x:c r="L114" s="32" t="n">
        <x:f>L113/(1+K114)</x:f>
        <x:v>0.510958469222629</x:v>
      </x:c>
      <x:c r="M114" s="30" t="n">
        <x:f>E114*L114</x:f>
        <x:v>10243.593199281422</x:v>
      </x:c>
      <x:c r="N114" s="30" t="n">
        <x:f>F114*L114</x:f>
        <x:v>3042.9620676084446</x:v>
      </x:c>
      <x:c r="O114" s="30" t="n">
        <x:f>G114*L114</x:f>
        <x:v>13286.555266889867</x:v>
      </x:c>
    </x:row>
    <x:row r="115" ht="21" customHeight="1">
      <x:c r="A115" s="28" t="n">
        <x:v>109</x:v>
      </x:c>
      <x:c r="B115" s="29" t="n">
        <x:v>48113</x:v>
      </x:c>
      <x:c r="C115" s="28" t="n">
        <x:f>B115-B114</x:f>
        <x:v>31</x:v>
      </x:c>
      <x:c r="D115" s="30" t="n">
        <x:f>H114</x:f>
        <x:v>3141333.5</x:v>
      </x:c>
      <x:c r="E115" s="30" t="n">
        <x:f>ROUND(D115*I115,2)</x:f>
        <x:v>20009.86</x:v>
      </x:c>
      <x:c r="F115" s="30" t="n">
        <x:f>IF(G115&gt;=E115,ROUND(G115-E115,2),NA())</x:f>
        <x:v>5993.34</x:v>
      </x:c>
      <x:c r="G115" s="30" t="n">
        <x:f>MIN('Параметры'!$C$14,ROUND(D115+E115,2))</x:f>
        <x:v>26003.2</x:v>
      </x:c>
      <x:c r="H115" s="30" t="n">
        <x:f>ROUND(D115-F115,2)</x:f>
        <x:v>3135340.16</x:v>
      </x:c>
      <x:c r="I115" s="33" t="n">
        <x:f>IF(AND(ISNUMBER('Параметры'!$C$7),'Параметры'!$C$7&gt;=0),'Параметры'!$C$7*C115/365,NA())</x:f>
        <x:v>0.00636986301369863</x:v>
      </x:c>
      <x:c r="J115" s="32" t="n">
        <x:f>J114/(1+I115)</x:f>
        <x:v>0.5077243347614772</x:v>
      </x:c>
      <x:c r="K115" s="33" t="n">
        <x:f>IF(AND(ISNUMBER('Параметры'!$C$8),'Параметры'!$C$8&gt;=0),'Параметры'!$C$8*C115/365,NA())</x:f>
        <x:v>0.00636986301369863</x:v>
      </x:c>
      <x:c r="L115" s="32" t="n">
        <x:f>L114/(1+K115)</x:f>
        <x:v>0.5077243347614772</x:v>
      </x:c>
      <x:c r="M115" s="30" t="n">
        <x:f>E115*L115</x:f>
        <x:v>10159.492857170291</x:v>
      </x:c>
      <x:c r="N115" s="30" t="n">
        <x:f>F115*L115</x:f>
        <x:v>3042.9645644993516</x:v>
      </x:c>
      <x:c r="O115" s="30" t="n">
        <x:f>G115*L115</x:f>
        <x:v>13202.457421669644</x:v>
      </x:c>
    </x:row>
    <x:row r="116" ht="21" customHeight="1">
      <x:c r="A116" s="28" t="n">
        <x:v>110</x:v>
      </x:c>
      <x:c r="B116" s="29" t="n">
        <x:v>48143</x:v>
      </x:c>
      <x:c r="C116" s="28" t="n">
        <x:f>B116-B115</x:f>
        <x:v>30</x:v>
      </x:c>
      <x:c r="D116" s="30" t="n">
        <x:f>H115</x:f>
        <x:v>3135340.16</x:v>
      </x:c>
      <x:c r="E116" s="30" t="n">
        <x:f>ROUND(D116*I116,2)</x:f>
        <x:v>19327.44</x:v>
      </x:c>
      <x:c r="F116" s="30" t="n">
        <x:f>IF(G116&gt;=E116,ROUND(G116-E116,2),NA())</x:f>
        <x:v>6675.76</x:v>
      </x:c>
      <x:c r="G116" s="30" t="n">
        <x:f>MIN('Параметры'!$C$14,ROUND(D116+E116,2))</x:f>
        <x:v>26003.2</x:v>
      </x:c>
      <x:c r="H116" s="30" t="n">
        <x:f>ROUND(D116-F116,2)</x:f>
        <x:v>3128664.4</x:v>
      </x:c>
      <x:c r="I116" s="33" t="n">
        <x:f>IF(AND(ISNUMBER('Параметры'!$C$7),'Параметры'!$C$7&gt;=0),'Параметры'!$C$7*C116/365,NA())</x:f>
        <x:v>0.0061643835616438354</x:v>
      </x:c>
      <x:c r="J116" s="32" t="n">
        <x:f>J115/(1+I116)</x:f>
        <x:v>0.5046137023497322</x:v>
      </x:c>
      <x:c r="K116" s="33" t="n">
        <x:f>IF(AND(ISNUMBER('Параметры'!$C$8),'Параметры'!$C$8&gt;=0),'Параметры'!$C$8*C116/365,NA())</x:f>
        <x:v>0.0061643835616438354</x:v>
      </x:c>
      <x:c r="L116" s="32" t="n">
        <x:f>L115/(1+K116)</x:f>
        <x:v>0.5046137023497322</x:v>
      </x:c>
      <x:c r="M116" s="30" t="n">
        <x:f>E116*L116</x:f>
        <x:v>9752.891055342308</x:v>
      </x:c>
      <x:c r="N116" s="30" t="n">
        <x:f>F116*L116</x:f>
        <x:v>3368.6799695982486</x:v>
      </x:c>
      <x:c r="O116" s="30" t="n">
        <x:f>G116*L116</x:f>
        <x:v>13121.571024940558</x:v>
      </x:c>
    </x:row>
    <x:row r="117" ht="21" customHeight="1">
      <x:c r="A117" s="28" t="n">
        <x:v>111</x:v>
      </x:c>
      <x:c r="B117" s="29" t="n">
        <x:v>48174</x:v>
      </x:c>
      <x:c r="C117" s="28" t="n">
        <x:f>B117-B116</x:f>
        <x:v>31</x:v>
      </x:c>
      <x:c r="D117" s="30" t="n">
        <x:f>H116</x:f>
        <x:v>3128664.4</x:v>
      </x:c>
      <x:c r="E117" s="30" t="n">
        <x:f>ROUND(D117*I117,2)</x:f>
        <x:v>19929.16</x:v>
      </x:c>
      <x:c r="F117" s="30" t="n">
        <x:f>IF(G117&gt;=E117,ROUND(G117-E117,2),NA())</x:f>
        <x:v>6074.04</x:v>
      </x:c>
      <x:c r="G117" s="30" t="n">
        <x:f>MIN('Параметры'!$C$14,ROUND(D117+E117,2))</x:f>
        <x:v>26003.2</x:v>
      </x:c>
      <x:c r="H117" s="30" t="n">
        <x:f>ROUND(D117-F117,2)</x:f>
        <x:v>3122590.36</x:v>
      </x:c>
      <x:c r="I117" s="33" t="n">
        <x:f>IF(AND(ISNUMBER('Параметры'!$C$7),'Параметры'!$C$7&gt;=0),'Параметры'!$C$7*C117/365,NA())</x:f>
        <x:v>0.00636986301369863</x:v>
      </x:c>
      <x:c r="J117" s="32" t="n">
        <x:f>J116/(1+I117)</x:f>
        <x:v>0.5014197273739938</x:v>
      </x:c>
      <x:c r="K117" s="33" t="n">
        <x:f>IF(AND(ISNUMBER('Параметры'!$C$8),'Параметры'!$C$8&gt;=0),'Параметры'!$C$8*C117/365,NA())</x:f>
        <x:v>0.00636986301369863</x:v>
      </x:c>
      <x:c r="L117" s="32" t="n">
        <x:f>L116/(1+K117)</x:f>
        <x:v>0.5014197273739938</x:v>
      </x:c>
      <x:c r="M117" s="30" t="n">
        <x:f>E117*L117</x:f>
        <x:v>9992.873973992702</x:v>
      </x:c>
      <x:c r="N117" s="30" t="n">
        <x:f>F117*L117</x:f>
        <x:v>3045.6434808587333</x:v>
      </x:c>
      <x:c r="O117" s="30" t="n">
        <x:f>G117*L117</x:f>
        <x:v>13038.517454851435</x:v>
      </x:c>
    </x:row>
    <x:row r="118" ht="21" customHeight="1">
      <x:c r="A118" s="28" t="n">
        <x:v>112</x:v>
      </x:c>
      <x:c r="B118" s="29" t="n">
        <x:v>48204</x:v>
      </x:c>
      <x:c r="C118" s="28" t="n">
        <x:f>B118-B117</x:f>
        <x:v>30</x:v>
      </x:c>
      <x:c r="D118" s="30" t="n">
        <x:f>H117</x:f>
        <x:v>3122590.36</x:v>
      </x:c>
      <x:c r="E118" s="30" t="n">
        <x:f>ROUND(D118*I118,2)</x:f>
        <x:v>19248.84</x:v>
      </x:c>
      <x:c r="F118" s="30" t="n">
        <x:f>IF(G118&gt;=E118,ROUND(G118-E118,2),NA())</x:f>
        <x:v>6754.36</x:v>
      </x:c>
      <x:c r="G118" s="30" t="n">
        <x:f>MIN('Параметры'!$C$14,ROUND(D118+E118,2))</x:f>
        <x:v>26003.2</x:v>
      </x:c>
      <x:c r="H118" s="30" t="n">
        <x:f>ROUND(D118-F118,2)</x:f>
        <x:v>3115836</x:v>
      </x:c>
      <x:c r="I118" s="33" t="n">
        <x:f>IF(AND(ISNUMBER('Параметры'!$C$7),'Параметры'!$C$7&gt;=0),'Параметры'!$C$7*C118/365,NA())</x:f>
        <x:v>0.0061643835616438354</x:v>
      </x:c>
      <x:c r="J118" s="32" t="n">
        <x:f>J117/(1+I118)</x:f>
        <x:v>0.4983477208754465</x:v>
      </x:c>
      <x:c r="K118" s="33" t="n">
        <x:f>IF(AND(ISNUMBER('Параметры'!$C$8),'Параметры'!$C$8&gt;=0),'Параметры'!$C$8*C118/365,NA())</x:f>
        <x:v>0.0061643835616438354</x:v>
      </x:c>
      <x:c r="L118" s="32" t="n">
        <x:f>L117/(1+K118)</x:f>
        <x:v>0.4983477208754465</x:v>
      </x:c>
      <x:c r="M118" s="30" t="n">
        <x:f>E118*L118</x:f>
        <x:v>9592.61554349613</x:v>
      </x:c>
      <x:c r="N118" s="30" t="n">
        <x:f>F118*L118</x:f>
        <x:v>3366.0199119722806</x:v>
      </x:c>
      <x:c r="O118" s="30" t="n">
        <x:f>G118*L118</x:f>
        <x:v>12958.635455468411</x:v>
      </x:c>
    </x:row>
    <x:row r="119" ht="21" customHeight="1">
      <x:c r="A119" s="28" t="n">
        <x:v>113</x:v>
      </x:c>
      <x:c r="B119" s="29" t="n">
        <x:v>48235</x:v>
      </x:c>
      <x:c r="C119" s="28" t="n">
        <x:f>B119-B118</x:f>
        <x:v>31</x:v>
      </x:c>
      <x:c r="D119" s="30" t="n">
        <x:f>H118</x:f>
        <x:v>3115836</x:v>
      </x:c>
      <x:c r="E119" s="30" t="n">
        <x:f>ROUND(D119*I119,2)</x:f>
        <x:v>19847.45</x:v>
      </x:c>
      <x:c r="F119" s="30" t="n">
        <x:f>IF(G119&gt;=E119,ROUND(G119-E119,2),NA())</x:f>
        <x:v>6155.75</x:v>
      </x:c>
      <x:c r="G119" s="30" t="n">
        <x:f>MIN('Параметры'!$C$14,ROUND(D119+E119,2))</x:f>
        <x:v>26003.2</x:v>
      </x:c>
      <x:c r="H119" s="30" t="n">
        <x:f>ROUND(D119-F119,2)</x:f>
        <x:v>3109680.25</x:v>
      </x:c>
      <x:c r="I119" s="33" t="n">
        <x:f>IF(AND(ISNUMBER('Параметры'!$C$7),'Параметры'!$C$7&gt;=0),'Параметры'!$C$7*C119/365,NA())</x:f>
        <x:v>0.00636986301369863</x:v>
      </x:c>
      <x:c r="J119" s="32" t="n">
        <x:f>J118/(1+I119)</x:f>
        <x:v>0.49519340670942075</x:v>
      </x:c>
      <x:c r="K119" s="33" t="n">
        <x:f>IF(AND(ISNUMBER('Параметры'!$C$8),'Параметры'!$C$8&gt;=0),'Параметры'!$C$8*C119/365,NA())</x:f>
        <x:v>0.00636986301369863</x:v>
      </x:c>
      <x:c r="L119" s="32" t="n">
        <x:f>L118/(1+K119)</x:f>
        <x:v>0.49519340670942075</x:v>
      </x:c>
      <x:c r="M119" s="30" t="n">
        <x:f>E119*L119</x:f>
        <x:v>9828.326379994893</x:v>
      </x:c>
      <x:c r="N119" s="30" t="n">
        <x:f>F119*L119</x:f>
        <x:v>3048.2868133515167</x:v>
      </x:c>
      <x:c r="O119" s="30" t="n">
        <x:f>G119*L119</x:f>
        <x:v>12876.61319334641</x:v>
      </x:c>
    </x:row>
    <x:row r="120" ht="21" customHeight="1">
      <x:c r="A120" s="28" t="n">
        <x:v>114</x:v>
      </x:c>
      <x:c r="B120" s="29" t="n">
        <x:v>48266</x:v>
      </x:c>
      <x:c r="C120" s="28" t="n">
        <x:f>B120-B119</x:f>
        <x:v>31</x:v>
      </x:c>
      <x:c r="D120" s="30" t="n">
        <x:f>H119</x:f>
        <x:v>3109680.25</x:v>
      </x:c>
      <x:c r="E120" s="30" t="n">
        <x:f>ROUND(D120*I120,2)</x:f>
        <x:v>19808.24</x:v>
      </x:c>
      <x:c r="F120" s="30" t="n">
        <x:f>IF(G120&gt;=E120,ROUND(G120-E120,2),NA())</x:f>
        <x:v>6194.96</x:v>
      </x:c>
      <x:c r="G120" s="30" t="n">
        <x:f>MIN('Параметры'!$C$14,ROUND(D120+E120,2))</x:f>
        <x:v>26003.2</x:v>
      </x:c>
      <x:c r="H120" s="30" t="n">
        <x:f>ROUND(D120-F120,2)</x:f>
        <x:v>3103485.29</x:v>
      </x:c>
      <x:c r="I120" s="33" t="n">
        <x:f>IF(AND(ISNUMBER('Параметры'!$C$7),'Параметры'!$C$7&gt;=0),'Параметры'!$C$7*C120/365,NA())</x:f>
        <x:v>0.00636986301369863</x:v>
      </x:c>
      <x:c r="J120" s="32" t="n">
        <x:f>J119/(1+I120)</x:f>
        <x:v>0.49205905791584725</x:v>
      </x:c>
      <x:c r="K120" s="33" t="n">
        <x:f>IF(AND(ISNUMBER('Параметры'!$C$8),'Параметры'!$C$8&gt;=0),'Параметры'!$C$8*C120/365,NA())</x:f>
        <x:v>0.00636986301369863</x:v>
      </x:c>
      <x:c r="L120" s="32" t="n">
        <x:f>L119/(1+K120)</x:f>
        <x:v>0.49205905791584725</x:v>
      </x:c>
      <x:c r="M120" s="30" t="n">
        <x:f>E120*L120</x:f>
        <x:v>9746.823913371003</x:v>
      </x:c>
      <x:c r="N120" s="30" t="n">
        <x:f>F120*L120</x:f>
        <x:v>3048.286181426357</x:v>
      </x:c>
      <x:c r="O120" s="30" t="n">
        <x:f>G120*L120</x:f>
        <x:v>12795.11009479736</x:v>
      </x:c>
    </x:row>
    <x:row r="121" ht="21" customHeight="1">
      <x:c r="A121" s="28" t="n">
        <x:v>115</x:v>
      </x:c>
      <x:c r="B121" s="29" t="n">
        <x:v>48295</x:v>
      </x:c>
      <x:c r="C121" s="28" t="n">
        <x:f>B121-B120</x:f>
        <x:v>29</x:v>
      </x:c>
      <x:c r="D121" s="30" t="n">
        <x:f>H120</x:f>
        <x:v>3103485.29</x:v>
      </x:c>
      <x:c r="E121" s="30" t="n">
        <x:f>ROUND(D121*I121,2)</x:f>
        <x:v>18493.37</x:v>
      </x:c>
      <x:c r="F121" s="30" t="n">
        <x:f>IF(G121&gt;=E121,ROUND(G121-E121,2),NA())</x:f>
        <x:v>7509.83</x:v>
      </x:c>
      <x:c r="G121" s="30" t="n">
        <x:f>MIN('Параметры'!$C$14,ROUND(D121+E121,2))</x:f>
        <x:v>26003.2</x:v>
      </x:c>
      <x:c r="H121" s="30" t="n">
        <x:f>ROUND(D121-F121,2)</x:f>
        <x:v>3095975.46</x:v>
      </x:c>
      <x:c r="I121" s="33" t="n">
        <x:f>IF(AND(ISNUMBER('Параметры'!$C$7),'Параметры'!$C$7&gt;=0),'Параметры'!$C$7*C121/365,NA())</x:f>
        <x:v>0.00595890410958904</x:v>
      </x:c>
      <x:c r="J121" s="32" t="n">
        <x:f>J120/(1+I121)</x:f>
        <x:v>0.48914429397231357</x:v>
      </x:c>
      <x:c r="K121" s="33" t="n">
        <x:f>IF(AND(ISNUMBER('Параметры'!$C$8),'Параметры'!$C$8&gt;=0),'Параметры'!$C$8*C121/365,NA())</x:f>
        <x:v>0.00595890410958904</x:v>
      </x:c>
      <x:c r="L121" s="32" t="n">
        <x:f>L120/(1+K121)</x:f>
        <x:v>0.48914429397231357</x:v>
      </x:c>
      <x:c r="M121" s="30" t="n">
        <x:f>E121*L121</x:f>
        <x:v>9045.926411818764</x:v>
      </x:c>
      <x:c r="N121" s="30" t="n">
        <x:f>F121*L121</x:f>
        <x:v>3673.3904932020996</x:v>
      </x:c>
      <x:c r="O121" s="30" t="n">
        <x:f>G121*L121</x:f>
        <x:v>12719.316905020865</x:v>
      </x:c>
    </x:row>
    <x:row r="122" ht="21" customHeight="1">
      <x:c r="A122" s="28" t="n">
        <x:v>116</x:v>
      </x:c>
      <x:c r="B122" s="29" t="n">
        <x:v>48326</x:v>
      </x:c>
      <x:c r="C122" s="28" t="n">
        <x:f>B122-B121</x:f>
        <x:v>31</x:v>
      </x:c>
      <x:c r="D122" s="30" t="n">
        <x:f>H121</x:f>
        <x:v>3095975.46</x:v>
      </x:c>
      <x:c r="E122" s="30" t="n">
        <x:f>ROUND(D122*I122,2)</x:f>
        <x:v>19720.94</x:v>
      </x:c>
      <x:c r="F122" s="30" t="n">
        <x:f>IF(G122&gt;=E122,ROUND(G122-E122,2),NA())</x:f>
        <x:v>6282.26</x:v>
      </x:c>
      <x:c r="G122" s="30" t="n">
        <x:f>MIN('Параметры'!$C$14,ROUND(D122+E122,2))</x:f>
        <x:v>26003.2</x:v>
      </x:c>
      <x:c r="H122" s="30" t="n">
        <x:f>ROUND(D122-F122,2)</x:f>
        <x:v>3089693.2</x:v>
      </x:c>
      <x:c r="I122" s="33" t="n">
        <x:f>IF(AND(ISNUMBER('Параметры'!$C$7),'Параметры'!$C$7&gt;=0),'Параметры'!$C$7*C122/365,NA())</x:f>
        <x:v>0.00636986301369863</x:v>
      </x:c>
      <x:c r="J122" s="32" t="n">
        <x:f>J121/(1+I122)</x:f>
        <x:v>0.4860482333080908</x:v>
      </x:c>
      <x:c r="K122" s="33" t="n">
        <x:f>IF(AND(ISNUMBER('Параметры'!$C$8),'Параметры'!$C$8&gt;=0),'Параметры'!$C$8*C122/365,NA())</x:f>
        <x:v>0.00636986301369863</x:v>
      </x:c>
      <x:c r="L122" s="32" t="n">
        <x:f>L121/(1+K122)</x:f>
        <x:v>0.4860482333080908</x:v>
      </x:c>
      <x:c r="M122" s="30" t="n">
        <x:f>E122*L122</x:f>
        <x:v>9585.32804617486</x:v>
      </x:c>
      <x:c r="N122" s="30" t="n">
        <x:f>F122*L122</x:f>
        <x:v>3053.4813741820867</x:v>
      </x:c>
      <x:c r="O122" s="30" t="n">
        <x:f>G122*L122</x:f>
        <x:v>12638.809420356947</x:v>
      </x:c>
    </x:row>
    <x:row r="123" ht="21" customHeight="1">
      <x:c r="A123" s="28" t="n">
        <x:v>117</x:v>
      </x:c>
      <x:c r="B123" s="29" t="n">
        <x:v>48356</x:v>
      </x:c>
      <x:c r="C123" s="28" t="n">
        <x:f>B123-B122</x:f>
        <x:v>30</x:v>
      </x:c>
      <x:c r="D123" s="30" t="n">
        <x:f>H122</x:f>
        <x:v>3089693.2</x:v>
      </x:c>
      <x:c r="E123" s="30" t="n">
        <x:f>ROUND(D123*I123,2)</x:f>
        <x:v>19046.05</x:v>
      </x:c>
      <x:c r="F123" s="30" t="n">
        <x:f>IF(G123&gt;=E123,ROUND(G123-E123,2),NA())</x:f>
        <x:v>6957.15</x:v>
      </x:c>
      <x:c r="G123" s="30" t="n">
        <x:f>MIN('Параметры'!$C$14,ROUND(D123+E123,2))</x:f>
        <x:v>26003.2</x:v>
      </x:c>
      <x:c r="H123" s="30" t="n">
        <x:f>ROUND(D123-F123,2)</x:f>
        <x:v>3082736.05</x:v>
      </x:c>
      <x:c r="I123" s="33" t="n">
        <x:f>IF(AND(ISNUMBER('Параметры'!$C$7),'Параметры'!$C$7&gt;=0),'Параметры'!$C$7*C123/365,NA())</x:f>
        <x:v>0.0061643835616438354</x:v>
      </x:c>
      <x:c r="J123" s="32" t="n">
        <x:f>J122/(1+I123)</x:f>
        <x:v>0.48307040206250007</x:v>
      </x:c>
      <x:c r="K123" s="33" t="n">
        <x:f>IF(AND(ISNUMBER('Параметры'!$C$8),'Параметры'!$C$8&gt;=0),'Параметры'!$C$8*C123/365,NA())</x:f>
        <x:v>0.0061643835616438354</x:v>
      </x:c>
      <x:c r="L123" s="32" t="n">
        <x:f>L122/(1+K123)</x:f>
        <x:v>0.48307040206250007</x:v>
      </x:c>
      <x:c r="M123" s="30" t="n">
        <x:f>E123*L123</x:f>
        <x:v>9200.58303120248</x:v>
      </x:c>
      <x:c r="N123" s="30" t="n">
        <x:f>F123*L123</x:f>
        <x:v>3360.793247709122</x:v>
      </x:c>
      <x:c r="O123" s="30" t="n">
        <x:f>G123*L123</x:f>
        <x:v>12561.376278911603</x:v>
      </x:c>
    </x:row>
    <x:row r="124" ht="21" customHeight="1">
      <x:c r="A124" s="28" t="n">
        <x:v>118</x:v>
      </x:c>
      <x:c r="B124" s="29" t="n">
        <x:v>48387</x:v>
      </x:c>
      <x:c r="C124" s="28" t="n">
        <x:f>B124-B123</x:f>
        <x:v>31</x:v>
      </x:c>
      <x:c r="D124" s="30" t="n">
        <x:f>H123</x:f>
        <x:v>3082736.05</x:v>
      </x:c>
      <x:c r="E124" s="30" t="n">
        <x:f>ROUND(D124*I124,2)</x:f>
        <x:v>19636.61</x:v>
      </x:c>
      <x:c r="F124" s="30" t="n">
        <x:f>IF(G124&gt;=E124,ROUND(G124-E124,2),NA())</x:f>
        <x:v>6366.59</x:v>
      </x:c>
      <x:c r="G124" s="30" t="n">
        <x:f>MIN('Параметры'!$C$14,ROUND(D124+E124,2))</x:f>
        <x:v>26003.2</x:v>
      </x:c>
      <x:c r="H124" s="30" t="n">
        <x:f>ROUND(D124-F124,2)</x:f>
        <x:v>3076369.46</x:v>
      </x:c>
      <x:c r="I124" s="33" t="n">
        <x:f>IF(AND(ISNUMBER('Параметры'!$C$7),'Параметры'!$C$7&gt;=0),'Параметры'!$C$7*C124/365,NA())</x:f>
        <x:v>0.00636986301369863</x:v>
      </x:c>
      <x:c r="J124" s="32" t="n">
        <x:f>J123/(1+I124)</x:f>
        <x:v>0.4800127863685089</x:v>
      </x:c>
      <x:c r="K124" s="33" t="n">
        <x:f>IF(AND(ISNUMBER('Параметры'!$C$8),'Параметры'!$C$8&gt;=0),'Параметры'!$C$8*C124/365,NA())</x:f>
        <x:v>0.00636986301369863</x:v>
      </x:c>
      <x:c r="L124" s="32" t="n">
        <x:f>L123/(1+K124)</x:f>
        <x:v>0.4800127863685089</x:v>
      </x:c>
      <x:c r="M124" s="30" t="n">
        <x:f>E124*L124</x:f>
        <x:v>9425.823880931726</x:v>
      </x:c>
      <x:c r="N124" s="30" t="n">
        <x:f>F124*L124</x:f>
        <x:v>3056.0446055658854</x:v>
      </x:c>
      <x:c r="O124" s="30" t="n">
        <x:f>G124*L124</x:f>
        <x:v>12481.868486497611</x:v>
      </x:c>
    </x:row>
    <x:row r="125" ht="21" customHeight="1">
      <x:c r="A125" s="28" t="n">
        <x:v>119</x:v>
      </x:c>
      <x:c r="B125" s="29" t="n">
        <x:v>48417</x:v>
      </x:c>
      <x:c r="C125" s="28" t="n">
        <x:f>B125-B124</x:f>
        <x:v>30</x:v>
      </x:c>
      <x:c r="D125" s="30" t="n">
        <x:f>H124</x:f>
        <x:v>3076369.46</x:v>
      </x:c>
      <x:c r="E125" s="30" t="n">
        <x:f>ROUND(D125*I125,2)</x:f>
        <x:v>18963.92</x:v>
      </x:c>
      <x:c r="F125" s="30" t="n">
        <x:f>IF(G125&gt;=E125,ROUND(G125-E125,2),NA())</x:f>
        <x:v>7039.28</x:v>
      </x:c>
      <x:c r="G125" s="30" t="n">
        <x:f>MIN('Параметры'!$C$14,ROUND(D125+E125,2))</x:f>
        <x:v>26003.2</x:v>
      </x:c>
      <x:c r="H125" s="30" t="n">
        <x:f>ROUND(D125-F125,2)</x:f>
        <x:v>3069330.18</x:v>
      </x:c>
      <x:c r="I125" s="33" t="n">
        <x:f>IF(AND(ISNUMBER('Параметры'!$C$7),'Параметры'!$C$7&gt;=0),'Параметры'!$C$7*C125/365,NA())</x:f>
        <x:v>0.0061643835616438354</x:v>
      </x:c>
      <x:c r="J125" s="32" t="n">
        <x:f>J124/(1+I125)</x:f>
        <x:v>0.4770719319932083</x:v>
      </x:c>
      <x:c r="K125" s="33" t="n">
        <x:f>IF(AND(ISNUMBER('Параметры'!$C$8),'Параметры'!$C$8&gt;=0),'Параметры'!$C$8*C125/365,NA())</x:f>
        <x:v>0.0061643835616438354</x:v>
      </x:c>
      <x:c r="L125" s="32" t="n">
        <x:f>L124/(1+K125)</x:f>
        <x:v>0.4770719319932083</x:v>
      </x:c>
      <x:c r="M125" s="30" t="n">
        <x:f>E125*L125</x:f>
        <x:v>9047.153952564642</x:v>
      </x:c>
      <x:c r="N125" s="30" t="n">
        <x:f>F125*L125</x:f>
        <x:v>3358.2429094411514</x:v>
      </x:c>
      <x:c r="O125" s="30" t="n">
        <x:f>G125*L125</x:f>
        <x:v>12405.396862005795</x:v>
      </x:c>
    </x:row>
    <x:row r="126" ht="21" customHeight="1">
      <x:c r="A126" s="28" t="n">
        <x:v>120</x:v>
      </x:c>
      <x:c r="B126" s="29" t="n">
        <x:v>48448</x:v>
      </x:c>
      <x:c r="C126" s="28" t="n">
        <x:f>B126-B125</x:f>
        <x:v>31</x:v>
      </x:c>
      <x:c r="D126" s="30" t="n">
        <x:f>H125</x:f>
        <x:v>3069330.18</x:v>
      </x:c>
      <x:c r="E126" s="30" t="n">
        <x:f>ROUND(D126*I126,2)</x:f>
        <x:v>19551.21</x:v>
      </x:c>
      <x:c r="F126" s="30" t="n">
        <x:f>IF(G126&gt;=E126,ROUND(G126-E126,2),NA())</x:f>
        <x:v>6451.99</x:v>
      </x:c>
      <x:c r="G126" s="30" t="n">
        <x:f>MIN('Параметры'!$C$14,ROUND(D126+E126,2))</x:f>
        <x:v>26003.2</x:v>
      </x:c>
      <x:c r="H126" s="30" t="n">
        <x:f>ROUND(D126-F126,2)</x:f>
        <x:v>3062878.19</x:v>
      </x:c>
      <x:c r="I126" s="33" t="n">
        <x:f>IF(AND(ISNUMBER('Параметры'!$C$7),'Параметры'!$C$7&gt;=0),'Параметры'!$C$7*C126/365,NA())</x:f>
        <x:v>0.00636986301369863</x:v>
      </x:c>
      <x:c r="J126" s="32" t="n">
        <x:f>J125/(1+I126)</x:f>
        <x:v>0.4740522838835392</x:v>
      </x:c>
      <x:c r="K126" s="33" t="n">
        <x:f>IF(AND(ISNUMBER('Параметры'!$C$8),'Параметры'!$C$8&gt;=0),'Параметры'!$C$8*C126/365,NA())</x:f>
        <x:v>0.00636986301369863</x:v>
      </x:c>
      <x:c r="L126" s="32" t="n">
        <x:f>L125/(1+K126)</x:f>
        <x:v>0.4740522838835392</x:v>
      </x:c>
      <x:c r="M126" s="30" t="n">
        <x:f>E126*L126</x:f>
        <x:v>9268.29575318669</x:v>
      </x:c>
      <x:c r="N126" s="30" t="n">
        <x:f>F126*L126</x:f>
        <x:v>3058.580595093756</x:v>
      </x:c>
      <x:c r="O126" s="30" t="n">
        <x:f>G126*L126</x:f>
        <x:v>12326.876348280446</x:v>
      </x:c>
    </x:row>
    <x:row r="127" ht="21" customHeight="1">
      <x:c r="A127" s="28" t="n">
        <x:v>121</x:v>
      </x:c>
      <x:c r="B127" s="29" t="n">
        <x:v>48479</x:v>
      </x:c>
      <x:c r="C127" s="28" t="n">
        <x:f>B127-B126</x:f>
        <x:v>31</x:v>
      </x:c>
      <x:c r="D127" s="30" t="n">
        <x:f>H126</x:f>
        <x:v>3062878.19</x:v>
      </x:c>
      <x:c r="E127" s="30" t="n">
        <x:f>ROUND(D127*I127,2)</x:f>
        <x:v>19510.11</x:v>
      </x:c>
      <x:c r="F127" s="30" t="n">
        <x:f>IF(G127&gt;=E127,ROUND(G127-E127,2),NA())</x:f>
        <x:v>6493.09</x:v>
      </x:c>
      <x:c r="G127" s="30" t="n">
        <x:f>MIN('Параметры'!$C$14,ROUND(D127+E127,2))</x:f>
        <x:v>26003.2</x:v>
      </x:c>
      <x:c r="H127" s="30" t="n">
        <x:f>ROUND(D127-F127,2)</x:f>
        <x:v>3056385.1</x:v>
      </x:c>
      <x:c r="I127" s="33" t="n">
        <x:f>IF(AND(ISNUMBER('Параметры'!$C$7),'Параметры'!$C$7&gt;=0),'Параметры'!$C$7*C127/365,NA())</x:f>
        <x:v>0.00636986301369863</x:v>
      </x:c>
      <x:c r="J127" s="32" t="n">
        <x:f>J126/(1+I127)</x:f>
        <x:v>0.4710517487715016</x:v>
      </x:c>
      <x:c r="K127" s="33" t="n">
        <x:f>IF(AND(ISNUMBER('Параметры'!$C$8),'Параметры'!$C$8&gt;=0),'Параметры'!$C$8*C127/365,NA())</x:f>
        <x:v>0.00636986301369863</x:v>
      </x:c>
      <x:c r="L127" s="32" t="n">
        <x:f>L126/(1+K127)</x:f>
        <x:v>0.4710517487715016</x:v>
      </x:c>
      <x:c r="M127" s="30" t="n">
        <x:f>E127*L127</x:f>
        <x:v>9190.271434224362</x:v>
      </x:c>
      <x:c r="N127" s="30" t="n">
        <x:f>F127*L127</x:f>
        <x:v>3058.581399430749</x:v>
      </x:c>
      <x:c r="O127" s="30" t="n">
        <x:f>G127*L127</x:f>
        <x:v>12248.85283365511</x:v>
      </x:c>
    </x:row>
    <x:row r="128" ht="21" customHeight="1">
      <x:c r="A128" s="28" t="n">
        <x:v>122</x:v>
      </x:c>
      <x:c r="B128" s="29" t="n">
        <x:v>48509</x:v>
      </x:c>
      <x:c r="C128" s="28" t="n">
        <x:f>B128-B127</x:f>
        <x:v>30</x:v>
      </x:c>
      <x:c r="D128" s="30" t="n">
        <x:f>H127</x:f>
        <x:v>3056385.1</x:v>
      </x:c>
      <x:c r="E128" s="30" t="n">
        <x:f>ROUND(D128*I128,2)</x:f>
        <x:v>18840.73</x:v>
      </x:c>
      <x:c r="F128" s="30" t="n">
        <x:f>IF(G128&gt;=E128,ROUND(G128-E128,2),NA())</x:f>
        <x:v>7162.47</x:v>
      </x:c>
      <x:c r="G128" s="30" t="n">
        <x:f>MIN('Параметры'!$C$14,ROUND(D128+E128,2))</x:f>
        <x:v>26003.2</x:v>
      </x:c>
      <x:c r="H128" s="30" t="n">
        <x:f>ROUND(D128-F128,2)</x:f>
        <x:v>3049222.63</x:v>
      </x:c>
      <x:c r="I128" s="33" t="n">
        <x:f>IF(AND(ISNUMBER('Параметры'!$C$7),'Параметры'!$C$7&gt;=0),'Параметры'!$C$7*C128/365,NA())</x:f>
        <x:v>0.0061643835616438354</x:v>
      </x:c>
      <x:c r="J128" s="32" t="n">
        <x:f>J127/(1+I128)</x:f>
        <x:v>0.4681657952392051</x:v>
      </x:c>
      <x:c r="K128" s="33" t="n">
        <x:f>IF(AND(ISNUMBER('Параметры'!$C$8),'Параметры'!$C$8&gt;=0),'Параметры'!$C$8*C128/365,NA())</x:f>
        <x:v>0.0061643835616438354</x:v>
      </x:c>
      <x:c r="L128" s="32" t="n">
        <x:f>L127/(1+K128)</x:f>
        <x:v>0.4681657952392051</x:v>
      </x:c>
      <x:c r="M128" s="30" t="n">
        <x:f>E128*L128</x:f>
        <x:v>8820.585343337149</x:v>
      </x:c>
      <x:c r="N128" s="30" t="n">
        <x:f>F128*L128</x:f>
        <x:v>3353.2234634269494</x:v>
      </x:c>
      <x:c r="O128" s="30" t="n">
        <x:f>G128*L128</x:f>
        <x:v>12173.808806764098</x:v>
      </x:c>
    </x:row>
    <x:row r="129" ht="21" customHeight="1">
      <x:c r="A129" s="28" t="n">
        <x:v>123</x:v>
      </x:c>
      <x:c r="B129" s="29" t="n">
        <x:v>48540</x:v>
      </x:c>
      <x:c r="C129" s="28" t="n">
        <x:f>B129-B128</x:f>
        <x:v>31</x:v>
      </x:c>
      <x:c r="D129" s="30" t="n">
        <x:f>H128</x:f>
        <x:v>3049222.63</x:v>
      </x:c>
      <x:c r="E129" s="30" t="n">
        <x:f>ROUND(D129*I129,2)</x:f>
        <x:v>19423.13</x:v>
      </x:c>
      <x:c r="F129" s="30" t="n">
        <x:f>IF(G129&gt;=E129,ROUND(G129-E129,2),NA())</x:f>
        <x:v>6580.07</x:v>
      </x:c>
      <x:c r="G129" s="30" t="n">
        <x:f>MIN('Параметры'!$C$14,ROUND(D129+E129,2))</x:f>
        <x:v>26003.2</x:v>
      </x:c>
      <x:c r="H129" s="30" t="n">
        <x:f>ROUND(D129-F129,2)</x:f>
        <x:v>3042642.56</x:v>
      </x:c>
      <x:c r="I129" s="33" t="n">
        <x:f>IF(AND(ISNUMBER('Параметры'!$C$7),'Параметры'!$C$7&gt;=0),'Параметры'!$C$7*C129/365,NA())</x:f>
        <x:v>0.00636986301369863</x:v>
      </x:c>
      <x:c r="J129" s="32" t="n">
        <x:f>J128/(1+I129)</x:f>
        <x:v>0.4652025189200568</x:v>
      </x:c>
      <x:c r="K129" s="33" t="n">
        <x:f>IF(AND(ISNUMBER('Параметры'!$C$8),'Параметры'!$C$8&gt;=0),'Параметры'!$C$8*C129/365,NA())</x:f>
        <x:v>0.00636986301369863</x:v>
      </x:c>
      <x:c r="L129" s="32" t="n">
        <x:f>L128/(1+K129)</x:f>
        <x:v>0.4652025189200568</x:v>
      </x:c>
      <x:c r="M129" s="30" t="n">
        <x:f>E129*L129</x:f>
        <x:v>9035.689001311724</x:v>
      </x:c>
      <x:c r="N129" s="30" t="n">
        <x:f>F129*L129</x:f>
        <x:v>3061.065138670298</x:v>
      </x:c>
      <x:c r="O129" s="30" t="n">
        <x:f>G129*L129</x:f>
        <x:v>12096.754139982022</x:v>
      </x:c>
    </x:row>
    <x:row r="130" ht="21" customHeight="1">
      <x:c r="A130" s="28" t="n">
        <x:v>124</x:v>
      </x:c>
      <x:c r="B130" s="29" t="n">
        <x:v>48570</x:v>
      </x:c>
      <x:c r="C130" s="28" t="n">
        <x:f>B130-B129</x:f>
        <x:v>30</x:v>
      </x:c>
      <x:c r="D130" s="30" t="n">
        <x:f>H129</x:f>
        <x:v>3042642.56</x:v>
      </x:c>
      <x:c r="E130" s="30" t="n">
        <x:f>ROUND(D130*I130,2)</x:f>
        <x:v>18756.02</x:v>
      </x:c>
      <x:c r="F130" s="30" t="n">
        <x:f>IF(G130&gt;=E130,ROUND(G130-E130,2),NA())</x:f>
        <x:v>7247.18</x:v>
      </x:c>
      <x:c r="G130" s="30" t="n">
        <x:f>MIN('Параметры'!$C$14,ROUND(D130+E130,2))</x:f>
        <x:v>26003.2</x:v>
      </x:c>
      <x:c r="H130" s="30" t="n">
        <x:f>ROUND(D130-F130,2)</x:f>
        <x:v>3035395.38</x:v>
      </x:c>
      <x:c r="I130" s="33" t="n">
        <x:f>IF(AND(ISNUMBER('Параметры'!$C$7),'Параметры'!$C$7&gt;=0),'Параметры'!$C$7*C130/365,NA())</x:f>
        <x:v>0.0061643835616438354</x:v>
      </x:c>
      <x:c r="J130" s="32" t="n">
        <x:f>J129/(1+I130)</x:f>
        <x:v>0.4623524013773199</x:v>
      </x:c>
      <x:c r="K130" s="33" t="n">
        <x:f>IF(AND(ISNUMBER('Параметры'!$C$8),'Параметры'!$C$8&gt;=0),'Параметры'!$C$8*C130/365,NA())</x:f>
        <x:v>0.0061643835616438354</x:v>
      </x:c>
      <x:c r="L130" s="32" t="n">
        <x:f>L129/(1+K130)</x:f>
        <x:v>0.4623524013773199</x:v>
      </x:c>
      <x:c r="M130" s="30" t="n">
        <x:f>E130*L130</x:f>
        <x:v>8671.89088728104</x:v>
      </x:c>
      <x:c r="N130" s="30" t="n">
        <x:f>F130*L130</x:f>
        <x:v>3350.7510762136853</x:v>
      </x:c>
      <x:c r="O130" s="30" t="n">
        <x:f>G130*L130</x:f>
        <x:v>12022.641963494725</x:v>
      </x:c>
    </x:row>
    <x:row r="131" ht="21" customHeight="1">
      <x:c r="A131" s="28" t="n">
        <x:v>125</x:v>
      </x:c>
      <x:c r="B131" s="29" t="n">
        <x:v>48601</x:v>
      </x:c>
      <x:c r="C131" s="28" t="n">
        <x:f>B131-B130</x:f>
        <x:v>31</x:v>
      </x:c>
      <x:c r="D131" s="30" t="n">
        <x:f>H130</x:f>
        <x:v>3035395.38</x:v>
      </x:c>
      <x:c r="E131" s="30" t="n">
        <x:f>ROUND(D131*I131,2)</x:f>
        <x:v>19335.05</x:v>
      </x:c>
      <x:c r="F131" s="30" t="n">
        <x:f>IF(G131&gt;=E131,ROUND(G131-E131,2),NA())</x:f>
        <x:v>6668.15</x:v>
      </x:c>
      <x:c r="G131" s="30" t="n">
        <x:f>MIN('Параметры'!$C$14,ROUND(D131+E131,2))</x:f>
        <x:v>26003.2</x:v>
      </x:c>
      <x:c r="H131" s="30" t="n">
        <x:f>ROUND(D131-F131,2)</x:f>
        <x:v>3028727.23</x:v>
      </x:c>
      <x:c r="I131" s="33" t="n">
        <x:f>IF(AND(ISNUMBER('Параметры'!$C$7),'Параметры'!$C$7&gt;=0),'Параметры'!$C$7*C131/365,NA())</x:f>
        <x:v>0.00636986301369863</x:v>
      </x:c>
      <x:c r="J131" s="32" t="n">
        <x:f>J130/(1+I131)</x:f>
        <x:v>0.45942592119436954</x:v>
      </x:c>
      <x:c r="K131" s="33" t="n">
        <x:f>IF(AND(ISNUMBER('Параметры'!$C$8),'Параметры'!$C$8&gt;=0),'Параметры'!$C$8*C131/365,NA())</x:f>
        <x:v>0.00636986301369863</x:v>
      </x:c>
      <x:c r="L131" s="32" t="n">
        <x:f>L130/(1+K131)</x:f>
        <x:v>0.45942592119436954</x:v>
      </x:c>
      <x:c r="M131" s="30" t="n">
        <x:f>E131*L131</x:f>
        <x:v>8883.023157589194</x:v>
      </x:c>
      <x:c r="N131" s="30" t="n">
        <x:f>F131*L131</x:f>
        <x:v>3063.520956412235</x:v>
      </x:c>
      <x:c r="O131" s="30" t="n">
        <x:f>G131*L131</x:f>
        <x:v>11946.54411400143</x:v>
      </x:c>
    </x:row>
    <x:row r="132" ht="21" customHeight="1">
      <x:c r="A132" s="28" t="n">
        <x:v>126</x:v>
      </x:c>
      <x:c r="B132" s="29" t="n">
        <x:v>48632</x:v>
      </x:c>
      <x:c r="C132" s="28" t="n">
        <x:f>B132-B131</x:f>
        <x:v>31</x:v>
      </x:c>
      <x:c r="D132" s="30" t="n">
        <x:f>H131</x:f>
        <x:v>3028727.23</x:v>
      </x:c>
      <x:c r="E132" s="30" t="n">
        <x:f>ROUND(D132*I132,2)</x:f>
        <x:v>19292.58</x:v>
      </x:c>
      <x:c r="F132" s="30" t="n">
        <x:f>IF(G132&gt;=E132,ROUND(G132-E132,2),NA())</x:f>
        <x:v>6710.62</x:v>
      </x:c>
      <x:c r="G132" s="30" t="n">
        <x:f>MIN('Параметры'!$C$14,ROUND(D132+E132,2))</x:f>
        <x:v>26003.2</x:v>
      </x:c>
      <x:c r="H132" s="30" t="n">
        <x:f>ROUND(D132-F132,2)</x:f>
        <x:v>3022016.61</x:v>
      </x:c>
      <x:c r="I132" s="33" t="n">
        <x:f>IF(AND(ISNUMBER('Параметры'!$C$7),'Параметры'!$C$7&gt;=0),'Параметры'!$C$7*C132/365,NA())</x:f>
        <x:v>0.00636986301369863</x:v>
      </x:c>
      <x:c r="J132" s="32" t="n">
        <x:f>J131/(1+I132)</x:f>
        <x:v>0.45651796429849556</x:v>
      </x:c>
      <x:c r="K132" s="33" t="n">
        <x:f>IF(AND(ISNUMBER('Параметры'!$C$8),'Параметры'!$C$8&gt;=0),'Параметры'!$C$8*C132/365,NA())</x:f>
        <x:v>0.00636986301369863</x:v>
      </x:c>
      <x:c r="L132" s="32" t="n">
        <x:f>L131/(1+K132)</x:f>
        <x:v>0.45651796429849556</x:v>
      </x:c>
      <x:c r="M132" s="30" t="n">
        <x:f>E132*L132</x:f>
        <x:v>8807.40934766587</x:v>
      </x:c>
      <x:c r="N132" s="30" t="n">
        <x:f>F132*L132</x:f>
        <x:v>3063.5185815807704</x:v>
      </x:c>
      <x:c r="O132" s="30" t="n">
        <x:f>G132*L132</x:f>
        <x:v>11870.92792924664</x:v>
      </x:c>
    </x:row>
    <x:row r="133" ht="21" customHeight="1">
      <x:c r="A133" s="28" t="n">
        <x:v>127</x:v>
      </x:c>
      <x:c r="B133" s="29" t="n">
        <x:v>48660</x:v>
      </x:c>
      <x:c r="C133" s="28" t="n">
        <x:f>B133-B132</x:f>
        <x:v>28</x:v>
      </x:c>
      <x:c r="D133" s="30" t="n">
        <x:f>H132</x:f>
        <x:v>3022016.61</x:v>
      </x:c>
      <x:c r="E133" s="30" t="n">
        <x:f>ROUND(D133*I133,2)</x:f>
        <x:v>17386.94</x:v>
      </x:c>
      <x:c r="F133" s="30" t="n">
        <x:f>IF(G133&gt;=E133,ROUND(G133-E133,2),NA())</x:f>
        <x:v>8616.26</x:v>
      </x:c>
      <x:c r="G133" s="30" t="n">
        <x:f>MIN('Параметры'!$C$14,ROUND(D133+E133,2))</x:f>
        <x:v>26003.2</x:v>
      </x:c>
      <x:c r="H133" s="30" t="n">
        <x:f>ROUND(D133-F133,2)</x:f>
        <x:v>3013400.35</x:v>
      </x:c>
      <x:c r="I133" s="33" t="n">
        <x:f>IF(AND(ISNUMBER('Параметры'!$C$7),'Параметры'!$C$7&gt;=0),'Параметры'!$C$7*C133/365,NA())</x:f>
        <x:v>0.005753424657534247</x:v>
      </x:c>
      <x:c r="J133" s="32" t="n">
        <x:f>J132/(1+I133)</x:f>
        <x:v>0.45390644774979816</x:v>
      </x:c>
      <x:c r="K133" s="33" t="n">
        <x:f>IF(AND(ISNUMBER('Параметры'!$C$8),'Параметры'!$C$8&gt;=0),'Параметры'!$C$8*C133/365,NA())</x:f>
        <x:v>0.005753424657534247</x:v>
      </x:c>
      <x:c r="L133" s="32" t="n">
        <x:f>L132/(1+K133)</x:f>
        <x:v>0.45390644774979816</x:v>
      </x:c>
      <x:c r="M133" s="30" t="n">
        <x:f>E133*L133</x:f>
        <x:v>7892.044172638875</x:v>
      </x:c>
      <x:c r="N133" s="30" t="n">
        <x:f>F133*L133</x:f>
        <x:v>3910.975969488676</x:v>
      </x:c>
      <x:c r="O133" s="30" t="n">
        <x:f>G133*L133</x:f>
        <x:v>11803.020142127552</x:v>
      </x:c>
    </x:row>
    <x:row r="134" ht="21" customHeight="1">
      <x:c r="A134" s="28" t="n">
        <x:v>128</x:v>
      </x:c>
      <x:c r="B134" s="29" t="n">
        <x:v>48691</x:v>
      </x:c>
      <x:c r="C134" s="28" t="n">
        <x:f>B134-B133</x:f>
        <x:v>31</x:v>
      </x:c>
      <x:c r="D134" s="30" t="n">
        <x:f>H133</x:f>
        <x:v>3013400.35</x:v>
      </x:c>
      <x:c r="E134" s="30" t="n">
        <x:f>ROUND(D134*I134,2)</x:f>
        <x:v>19194.95</x:v>
      </x:c>
      <x:c r="F134" s="30" t="n">
        <x:f>IF(G134&gt;=E134,ROUND(G134-E134,2),NA())</x:f>
        <x:v>6808.25</x:v>
      </x:c>
      <x:c r="G134" s="30" t="n">
        <x:f>MIN('Параметры'!$C$14,ROUND(D134+E134,2))</x:f>
        <x:v>26003.2</x:v>
      </x:c>
      <x:c r="H134" s="30" t="n">
        <x:f>ROUND(D134-F134,2)</x:f>
        <x:v>3006592.1</x:v>
      </x:c>
      <x:c r="I134" s="33" t="n">
        <x:f>IF(AND(ISNUMBER('Параметры'!$C$7),'Параметры'!$C$7&gt;=0),'Параметры'!$C$7*C134/365,NA())</x:f>
        <x:v>0.00636986301369863</x:v>
      </x:c>
      <x:c r="J134" s="32" t="n">
        <x:f>J133/(1+I134)</x:f>
        <x:v>0.451033426607708</x:v>
      </x:c>
      <x:c r="K134" s="33" t="n">
        <x:f>IF(AND(ISNUMBER('Параметры'!$C$8),'Параметры'!$C$8&gt;=0),'Параметры'!$C$8*C134/365,NA())</x:f>
        <x:v>0.00636986301369863</x:v>
      </x:c>
      <x:c r="L134" s="32" t="n">
        <x:f>L133/(1+K134)</x:f>
        <x:v>0.451033426607708</x:v>
      </x:c>
      <x:c r="M134" s="30" t="n">
        <x:f>E134*L134</x:f>
        <x:v>8657.564072063626</x:v>
      </x:c>
      <x:c r="N134" s="30" t="n">
        <x:f>F134*L134</x:f>
        <x:v>3070.748326701928</x:v>
      </x:c>
      <x:c r="O134" s="30" t="n">
        <x:f>G134*L134</x:f>
        <x:v>11728.312398765553</x:v>
      </x:c>
    </x:row>
    <x:row r="135" ht="21" customHeight="1">
      <x:c r="A135" s="28" t="n">
        <x:v>129</x:v>
      </x:c>
      <x:c r="B135" s="29" t="n">
        <x:v>48721</x:v>
      </x:c>
      <x:c r="C135" s="28" t="n">
        <x:f>B135-B134</x:f>
        <x:v>30</x:v>
      </x:c>
      <x:c r="D135" s="30" t="n">
        <x:f>H134</x:f>
        <x:v>3006592.1</x:v>
      </x:c>
      <x:c r="E135" s="30" t="n">
        <x:f>ROUND(D135*I135,2)</x:f>
        <x:v>18533.79</x:v>
      </x:c>
      <x:c r="F135" s="30" t="n">
        <x:f>IF(G135&gt;=E135,ROUND(G135-E135,2),NA())</x:f>
        <x:v>7469.41</x:v>
      </x:c>
      <x:c r="G135" s="30" t="n">
        <x:f>MIN('Параметры'!$C$14,ROUND(D135+E135,2))</x:f>
        <x:v>26003.2</x:v>
      </x:c>
      <x:c r="H135" s="30" t="n">
        <x:f>ROUND(D135-F135,2)</x:f>
        <x:v>2999122.69</x:v>
      </x:c>
      <x:c r="I135" s="33" t="n">
        <x:f>IF(AND(ISNUMBER('Параметры'!$C$7),'Параметры'!$C$7&gt;=0),'Параметры'!$C$7*C135/365,NA())</x:f>
        <x:v>0.0061643835616438354</x:v>
      </x:c>
      <x:c r="J135" s="32" t="n">
        <x:f>J134/(1+I135)</x:f>
        <x:v>0.4482701176632088</x:v>
      </x:c>
      <x:c r="K135" s="33" t="n">
        <x:f>IF(AND(ISNUMBER('Параметры'!$C$8),'Параметры'!$C$8&gt;=0),'Параметры'!$C$8*C135/365,NA())</x:f>
        <x:v>0.0061643835616438354</x:v>
      </x:c>
      <x:c r="L135" s="32" t="n">
        <x:f>L134/(1+K135)</x:f>
        <x:v>0.4482701176632088</x:v>
      </x:c>
      <x:c r="M135" s="30" t="n">
        <x:f>E135*L135</x:f>
        <x:v>8308.144224045203</x:v>
      </x:c>
      <x:c r="N135" s="30" t="n">
        <x:f>F135*L135</x:f>
        <x:v>3348.3132995747483</x:v>
      </x:c>
      <x:c r="O135" s="30" t="n">
        <x:f>G135*L135</x:f>
        <x:v>11656.45752361995</x:v>
      </x:c>
    </x:row>
    <x:row r="136" ht="21" customHeight="1">
      <x:c r="A136" s="28" t="n">
        <x:v>130</x:v>
      </x:c>
      <x:c r="B136" s="29" t="n">
        <x:v>48752</x:v>
      </x:c>
      <x:c r="C136" s="28" t="n">
        <x:f>B136-B135</x:f>
        <x:v>31</x:v>
      </x:c>
      <x:c r="D136" s="30" t="n">
        <x:f>H135</x:f>
        <x:v>2999122.69</x:v>
      </x:c>
      <x:c r="E136" s="30" t="n">
        <x:f>ROUND(D136*I136,2)</x:f>
        <x:v>19104</x:v>
      </x:c>
      <x:c r="F136" s="30" t="n">
        <x:f>IF(G136&gt;=E136,ROUND(G136-E136,2),NA())</x:f>
        <x:v>6899.2</x:v>
      </x:c>
      <x:c r="G136" s="30" t="n">
        <x:f>MIN('Параметры'!$C$14,ROUND(D136+E136,2))</x:f>
        <x:v>26003.2</x:v>
      </x:c>
      <x:c r="H136" s="30" t="n">
        <x:f>ROUND(D136-F136,2)</x:f>
        <x:v>2992223.49</x:v>
      </x:c>
      <x:c r="I136" s="33" t="n">
        <x:f>IF(AND(ISNUMBER('Параметры'!$C$7),'Параметры'!$C$7&gt;=0),'Параметры'!$C$7*C136/365,NA())</x:f>
        <x:v>0.00636986301369863</x:v>
      </x:c>
      <x:c r="J136" s="32" t="n">
        <x:f>J135/(1+I136)</x:f>
        <x:v>0.44543277192423936</x:v>
      </x:c>
      <x:c r="K136" s="33" t="n">
        <x:f>IF(AND(ISNUMBER('Параметры'!$C$8),'Параметры'!$C$8&gt;=0),'Параметры'!$C$8*C136/365,NA())</x:f>
        <x:v>0.00636986301369863</x:v>
      </x:c>
      <x:c r="L136" s="32" t="n">
        <x:f>L135/(1+K136)</x:f>
        <x:v>0.44543277192423936</x:v>
      </x:c>
      <x:c r="M136" s="30" t="n">
        <x:f>E136*L136</x:f>
        <x:v>8509.547674840669</x:v>
      </x:c>
      <x:c r="N136" s="30" t="n">
        <x:f>F136*L136</x:f>
        <x:v>3073.129780059712</x:v>
      </x:c>
      <x:c r="O136" s="30" t="n">
        <x:f>G136*L136</x:f>
        <x:v>11582.67745490038</x:v>
      </x:c>
    </x:row>
    <x:row r="137" ht="21" customHeight="1">
      <x:c r="A137" s="28" t="n">
        <x:v>131</x:v>
      </x:c>
      <x:c r="B137" s="29" t="n">
        <x:v>48782</x:v>
      </x:c>
      <x:c r="C137" s="28" t="n">
        <x:f>B137-B136</x:f>
        <x:v>30</x:v>
      </x:c>
      <x:c r="D137" s="30" t="n">
        <x:f>H136</x:f>
        <x:v>2992223.49</x:v>
      </x:c>
      <x:c r="E137" s="30" t="n">
        <x:f>ROUND(D137*I137,2)</x:f>
        <x:v>18445.21</x:v>
      </x:c>
      <x:c r="F137" s="30" t="n">
        <x:f>IF(G137&gt;=E137,ROUND(G137-E137,2),NA())</x:f>
        <x:v>7557.99</x:v>
      </x:c>
      <x:c r="G137" s="30" t="n">
        <x:f>MIN('Параметры'!$C$14,ROUND(D137+E137,2))</x:f>
        <x:v>26003.2</x:v>
      </x:c>
      <x:c r="H137" s="30" t="n">
        <x:f>ROUND(D137-F137,2)</x:f>
        <x:v>2984665.5</x:v>
      </x:c>
      <x:c r="I137" s="33" t="n">
        <x:f>IF(AND(ISNUMBER('Параметры'!$C$7),'Параметры'!$C$7&gt;=0),'Параметры'!$C$7*C137/365,NA())</x:f>
        <x:v>0.0061643835616438354</x:v>
      </x:c>
      <x:c r="J137" s="32" t="n">
        <x:f>J136/(1+I137)</x:f>
        <x:v>0.4427037760445129</x:v>
      </x:c>
      <x:c r="K137" s="33" t="n">
        <x:f>IF(AND(ISNUMBER('Параметры'!$C$8),'Параметры'!$C$8&gt;=0),'Параметры'!$C$8*C137/365,NA())</x:f>
        <x:v>0.0061643835616438354</x:v>
      </x:c>
      <x:c r="L137" s="32" t="n">
        <x:f>L136/(1+K137)</x:f>
        <x:v>0.4427037760445129</x:v>
      </x:c>
      <x:c r="M137" s="30" t="n">
        <x:f>E137*L137</x:f>
        <x:v>8165.7641169340095</x:v>
      </x:c>
      <x:c r="N137" s="30" t="n">
        <x:f>F137*L137</x:f>
        <x:v>3345.950712306668</x:v>
      </x:c>
      <x:c r="O137" s="30" t="n">
        <x:f>G137*L137</x:f>
        <x:v>11511.714829240678</x:v>
      </x:c>
    </x:row>
    <x:row r="138" ht="21" customHeight="1">
      <x:c r="A138" s="28" t="n">
        <x:v>132</x:v>
      </x:c>
      <x:c r="B138" s="29" t="n">
        <x:v>48813</x:v>
      </x:c>
      <x:c r="C138" s="28" t="n">
        <x:f>B138-B137</x:f>
        <x:v>31</x:v>
      </x:c>
      <x:c r="D138" s="30" t="n">
        <x:f>H137</x:f>
        <x:v>2984665.5</x:v>
      </x:c>
      <x:c r="E138" s="30" t="n">
        <x:f>ROUND(D138*I138,2)</x:f>
        <x:v>19011.91</x:v>
      </x:c>
      <x:c r="F138" s="30" t="n">
        <x:f>IF(G138&gt;=E138,ROUND(G138-E138,2),NA())</x:f>
        <x:v>6991.29</x:v>
      </x:c>
      <x:c r="G138" s="30" t="n">
        <x:f>MIN('Параметры'!$C$14,ROUND(D138+E138,2))</x:f>
        <x:v>26003.2</x:v>
      </x:c>
      <x:c r="H138" s="30" t="n">
        <x:f>ROUND(D138-F138,2)</x:f>
        <x:v>2977674.21</x:v>
      </x:c>
      <x:c r="I138" s="33" t="n">
        <x:f>IF(AND(ISNUMBER('Параметры'!$C$7),'Параметры'!$C$7&gt;=0),'Параметры'!$C$7*C138/365,NA())</x:f>
        <x:v>0.00636986301369863</x:v>
      </x:c>
      <x:c r="J138" s="32" t="n">
        <x:f>J137/(1+I138)</x:f>
        <x:v>0.4399016627135295</x:v>
      </x:c>
      <x:c r="K138" s="33" t="n">
        <x:f>IF(AND(ISNUMBER('Параметры'!$C$8),'Параметры'!$C$8&gt;=0),'Параметры'!$C$8*C138/365,NA())</x:f>
        <x:v>0.00636986301369863</x:v>
      </x:c>
      <x:c r="L138" s="32" t="n">
        <x:f>L137/(1+K138)</x:f>
        <x:v>0.4399016627135295</x:v>
      </x:c>
      <x:c r="M138" s="30" t="n">
        <x:f>E138*L138</x:f>
        <x:v>8363.370820359978</x:v>
      </x:c>
      <x:c r="N138" s="30" t="n">
        <x:f>F138*L138</x:f>
        <x:v>3075.4800955124715</x:v>
      </x:c>
      <x:c r="O138" s="30" t="n">
        <x:f>G138*L138</x:f>
        <x:v>11438.85091587245</x:v>
      </x:c>
    </x:row>
    <x:row r="139" ht="21" customHeight="1">
      <x:c r="A139" s="28" t="n">
        <x:v>133</x:v>
      </x:c>
      <x:c r="B139" s="29" t="n">
        <x:v>48844</x:v>
      </x:c>
      <x:c r="C139" s="28" t="n">
        <x:f>B139-B138</x:f>
        <x:v>31</x:v>
      </x:c>
      <x:c r="D139" s="30" t="n">
        <x:f>H138</x:f>
        <x:v>2977674.21</x:v>
      </x:c>
      <x:c r="E139" s="30" t="n">
        <x:f>ROUND(D139*I139,2)</x:f>
        <x:v>18967.38</x:v>
      </x:c>
      <x:c r="F139" s="30" t="n">
        <x:f>IF(G139&gt;=E139,ROUND(G139-E139,2),NA())</x:f>
        <x:v>7035.82</x:v>
      </x:c>
      <x:c r="G139" s="30" t="n">
        <x:f>MIN('Параметры'!$C$14,ROUND(D139+E139,2))</x:f>
        <x:v>26003.2</x:v>
      </x:c>
      <x:c r="H139" s="30" t="n">
        <x:f>ROUND(D139-F139,2)</x:f>
        <x:v>2970638.39</x:v>
      </x:c>
      <x:c r="I139" s="33" t="n">
        <x:f>IF(AND(ISNUMBER('Параметры'!$C$7),'Параметры'!$C$7&gt;=0),'Параметры'!$C$7*C139/365,NA())</x:f>
        <x:v>0.00636986301369863</x:v>
      </x:c>
      <x:c r="J139" s="32" t="n">
        <x:f>J138/(1+I139)</x:f>
        <x:v>0.43711728548407613</x:v>
      </x:c>
      <x:c r="K139" s="33" t="n">
        <x:f>IF(AND(ISNUMBER('Параметры'!$C$8),'Параметры'!$C$8&gt;=0),'Параметры'!$C$8*C139/365,NA())</x:f>
        <x:v>0.00636986301369863</x:v>
      </x:c>
      <x:c r="L139" s="32" t="n">
        <x:f>L138/(1+K139)</x:f>
        <x:v>0.43711728548407613</x:v>
      </x:c>
      <x:c r="M139" s="30" t="n">
        <x:f>E139*L139</x:f>
        <x:v>8290.969658344957</x:v>
      </x:c>
      <x:c r="N139" s="30" t="n">
        <x:f>F139*L139</x:f>
        <x:v>3075.4785395545723</x:v>
      </x:c>
      <x:c r="O139" s="30" t="n">
        <x:f>G139*L139</x:f>
        <x:v>11366.448197899528</x:v>
      </x:c>
    </x:row>
    <x:row r="140" ht="21" customHeight="1">
      <x:c r="A140" s="28" t="n">
        <x:v>134</x:v>
      </x:c>
      <x:c r="B140" s="29" t="n">
        <x:v>48874</x:v>
      </x:c>
      <x:c r="C140" s="28" t="n">
        <x:f>B140-B139</x:f>
        <x:v>30</x:v>
      </x:c>
      <x:c r="D140" s="30" t="n">
        <x:f>H139</x:f>
        <x:v>2970638.39</x:v>
      </x:c>
      <x:c r="E140" s="30" t="n">
        <x:f>ROUND(D140*I140,2)</x:f>
        <x:v>18312.15</x:v>
      </x:c>
      <x:c r="F140" s="30" t="n">
        <x:f>IF(G140&gt;=E140,ROUND(G140-E140,2),NA())</x:f>
        <x:v>7691.05</x:v>
      </x:c>
      <x:c r="G140" s="30" t="n">
        <x:f>MIN('Параметры'!$C$14,ROUND(D140+E140,2))</x:f>
        <x:v>26003.2</x:v>
      </x:c>
      <x:c r="H140" s="30" t="n">
        <x:f>ROUND(D140-F140,2)</x:f>
        <x:v>2962947.34</x:v>
      </x:c>
      <x:c r="I140" s="33" t="n">
        <x:f>IF(AND(ISNUMBER('Параметры'!$C$7),'Параметры'!$C$7&gt;=0),'Параметры'!$C$7*C140/365,NA())</x:f>
        <x:v>0.0061643835616438354</x:v>
      </x:c>
      <x:c r="J140" s="32" t="n">
        <x:f>J139/(1+I140)</x:f>
        <x:v>0.43443923540282586</x:v>
      </x:c>
      <x:c r="K140" s="33" t="n">
        <x:f>IF(AND(ISNUMBER('Параметры'!$C$8),'Параметры'!$C$8&gt;=0),'Параметры'!$C$8*C140/365,NA())</x:f>
        <x:v>0.0061643835616438354</x:v>
      </x:c>
      <x:c r="L140" s="32" t="n">
        <x:f>L139/(1+K140)</x:f>
        <x:v>0.43443923540282586</x:v>
      </x:c>
      <x:c r="M140" s="30" t="n">
        <x:f>E140*L140</x:f>
        <x:v>7955.516444581858</x:v>
      </x:c>
      <x:c r="N140" s="30" t="n">
        <x:f>F140*L140</x:f>
        <x:v>3341.293881444904</x:v>
      </x:c>
      <x:c r="O140" s="30" t="n">
        <x:f>G140*L140</x:f>
        <x:v>11296.810326026762</x:v>
      </x:c>
    </x:row>
    <x:row r="141" ht="21" customHeight="1">
      <x:c r="A141" s="28" t="n">
        <x:v>135</x:v>
      </x:c>
      <x:c r="B141" s="29" t="n">
        <x:v>48905</x:v>
      </x:c>
      <x:c r="C141" s="28" t="n">
        <x:f>B141-B140</x:f>
        <x:v>31</x:v>
      </x:c>
      <x:c r="D141" s="30" t="n">
        <x:f>H140</x:f>
        <x:v>2962947.34</x:v>
      </x:c>
      <x:c r="E141" s="30" t="n">
        <x:f>ROUND(D141*I141,2)</x:f>
        <x:v>18873.57</x:v>
      </x:c>
      <x:c r="F141" s="30" t="n">
        <x:f>IF(G141&gt;=E141,ROUND(G141-E141,2),NA())</x:f>
        <x:v>7129.63</x:v>
      </x:c>
      <x:c r="G141" s="30" t="n">
        <x:f>MIN('Параметры'!$C$14,ROUND(D141+E141,2))</x:f>
        <x:v>26003.2</x:v>
      </x:c>
      <x:c r="H141" s="30" t="n">
        <x:f>ROUND(D141-F141,2)</x:f>
        <x:v>2955817.71</x:v>
      </x:c>
      <x:c r="I141" s="33" t="n">
        <x:f>IF(AND(ISNUMBER('Параметры'!$C$7),'Параметры'!$C$7&gt;=0),'Параметры'!$C$7*C141/365,NA())</x:f>
        <x:v>0.00636986301369863</x:v>
      </x:c>
      <x:c r="J141" s="32" t="n">
        <x:f>J140/(1+I141)</x:f>
        <x:v>0.4316894328511031</x:v>
      </x:c>
      <x:c r="K141" s="33" t="n">
        <x:f>IF(AND(ISNUMBER('Параметры'!$C$8),'Параметры'!$C$8&gt;=0),'Параметры'!$C$8*C141/365,NA())</x:f>
        <x:v>0.00636986301369863</x:v>
      </x:c>
      <x:c r="L141" s="32" t="n">
        <x:f>L140/(1+K141)</x:f>
        <x:v>0.4316894328511031</x:v>
      </x:c>
      <x:c r="M141" s="30" t="n">
        <x:f>E141*L141</x:f>
        <x:v>8147.520729175594</x:v>
      </x:c>
      <x:c r="N141" s="30" t="n">
        <x:f>F141*L141</x:f>
        <x:v>3077.7859311382103</x:v>
      </x:c>
      <x:c r="O141" s="30" t="n">
        <x:f>G141*L141</x:f>
        <x:v>11225.306660313805</x:v>
      </x:c>
    </x:row>
    <x:row r="142" ht="21" customHeight="1">
      <x:c r="A142" s="28" t="n">
        <x:v>136</x:v>
      </x:c>
      <x:c r="B142" s="29" t="n">
        <x:v>48935</x:v>
      </x:c>
      <x:c r="C142" s="28" t="n">
        <x:f>B142-B141</x:f>
        <x:v>30</x:v>
      </x:c>
      <x:c r="D142" s="30" t="n">
        <x:f>H141</x:f>
        <x:v>2955817.71</x:v>
      </x:c>
      <x:c r="E142" s="30" t="n">
        <x:f>ROUND(D142*I142,2)</x:f>
        <x:v>18220.79</x:v>
      </x:c>
      <x:c r="F142" s="30" t="n">
        <x:f>IF(G142&gt;=E142,ROUND(G142-E142,2),NA())</x:f>
        <x:v>7782.41</x:v>
      </x:c>
      <x:c r="G142" s="30" t="n">
        <x:f>MIN('Параметры'!$C$14,ROUND(D142+E142,2))</x:f>
        <x:v>26003.2</x:v>
      </x:c>
      <x:c r="H142" s="30" t="n">
        <x:f>ROUND(D142-F142,2)</x:f>
        <x:v>2948035.3</x:v>
      </x:c>
      <x:c r="I142" s="33" t="n">
        <x:f>IF(AND(ISNUMBER('Параметры'!$C$7),'Параметры'!$C$7&gt;=0),'Параметры'!$C$7*C142/365,NA())</x:f>
        <x:v>0.0061643835616438354</x:v>
      </x:c>
      <x:c r="J142" s="32" t="n">
        <x:f>J141/(1+I142)</x:f>
        <x:v>0.42904463714268926</x:v>
      </x:c>
      <x:c r="K142" s="33" t="n">
        <x:f>IF(AND(ISNUMBER('Параметры'!$C$8),'Параметры'!$C$8&gt;=0),'Параметры'!$C$8*C142/365,NA())</x:f>
        <x:v>0.0061643835616438354</x:v>
      </x:c>
      <x:c r="L142" s="32" t="n">
        <x:f>L141/(1+K142)</x:f>
        <x:v>0.42904463714268926</x:v>
      </x:c>
      <x:c r="M142" s="30" t="n">
        <x:f>E142*L142</x:f>
        <x:v>7817.532234003142</x:v>
      </x:c>
      <x:c r="N142" s="30" t="n">
        <x:f>F142*L142</x:f>
        <x:v>3339.001274545636</x:v>
      </x:c>
      <x:c r="O142" s="30" t="n">
        <x:f>G142*L142</x:f>
        <x:v>11156.533508548777</x:v>
      </x:c>
    </x:row>
    <x:row r="143" ht="21" customHeight="1">
      <x:c r="A143" s="28" t="n">
        <x:v>137</x:v>
      </x:c>
      <x:c r="B143" s="29" t="n">
        <x:v>48966</x:v>
      </x:c>
      <x:c r="C143" s="28" t="n">
        <x:f>B143-B142</x:f>
        <x:v>31</x:v>
      </x:c>
      <x:c r="D143" s="30" t="n">
        <x:f>H142</x:f>
        <x:v>2948035.3</x:v>
      </x:c>
      <x:c r="E143" s="30" t="n">
        <x:f>ROUND(D143*I143,2)</x:f>
        <x:v>18778.58</x:v>
      </x:c>
      <x:c r="F143" s="30" t="n">
        <x:f>IF(G143&gt;=E143,ROUND(G143-E143,2),NA())</x:f>
        <x:v>7224.62</x:v>
      </x:c>
      <x:c r="G143" s="30" t="n">
        <x:f>MIN('Параметры'!$C$14,ROUND(D143+E143,2))</x:f>
        <x:v>26003.2</x:v>
      </x:c>
      <x:c r="H143" s="30" t="n">
        <x:f>ROUND(D143-F143,2)</x:f>
        <x:v>2940810.68</x:v>
      </x:c>
      <x:c r="I143" s="33" t="n">
        <x:f>IF(AND(ISNUMBER('Параметры'!$C$7),'Параметры'!$C$7&gt;=0),'Параметры'!$C$7*C143/365,NA())</x:f>
        <x:v>0.00636986301369863</x:v>
      </x:c>
      <x:c r="J143" s="32" t="n">
        <x:f>J142/(1+I143)</x:f>
        <x:v>0.42632897994169083</x:v>
      </x:c>
      <x:c r="K143" s="33" t="n">
        <x:f>IF(AND(ISNUMBER('Параметры'!$C$8),'Параметры'!$C$8&gt;=0),'Параметры'!$C$8*C143/365,NA())</x:f>
        <x:v>0.00636986301369863</x:v>
      </x:c>
      <x:c r="L143" s="32" t="n">
        <x:f>L142/(1+K143)</x:f>
        <x:v>0.42632897994169083</x:v>
      </x:c>
      <x:c r="M143" s="30" t="n">
        <x:f>E143*L143</x:f>
        <x:v>8005.852856153438</x:v>
      </x:c>
      <x:c r="N143" s="30" t="n">
        <x:f>F143*L143</x:f>
        <x:v>3080.0648750663386</x:v>
      </x:c>
      <x:c r="O143" s="30" t="n">
        <x:f>G143*L143</x:f>
        <x:v>11085.917731219775</x:v>
      </x:c>
    </x:row>
    <x:row r="144" ht="21" customHeight="1">
      <x:c r="A144" s="28" t="n">
        <x:v>138</x:v>
      </x:c>
      <x:c r="B144" s="29" t="n">
        <x:v>48997</x:v>
      </x:c>
      <x:c r="C144" s="28" t="n">
        <x:f>B144-B143</x:f>
        <x:v>31</x:v>
      </x:c>
      <x:c r="D144" s="30" t="n">
        <x:f>H143</x:f>
        <x:v>2940810.68</x:v>
      </x:c>
      <x:c r="E144" s="30" t="n">
        <x:f>ROUND(D144*I144,2)</x:f>
        <x:v>18732.56</x:v>
      </x:c>
      <x:c r="F144" s="30" t="n">
        <x:f>IF(G144&gt;=E144,ROUND(G144-E144,2),NA())</x:f>
        <x:v>7270.64</x:v>
      </x:c>
      <x:c r="G144" s="30" t="n">
        <x:f>MIN('Параметры'!$C$14,ROUND(D144+E144,2))</x:f>
        <x:v>26003.2</x:v>
      </x:c>
      <x:c r="H144" s="30" t="n">
        <x:f>ROUND(D144-F144,2)</x:f>
        <x:v>2933540.04</x:v>
      </x:c>
      <x:c r="I144" s="33" t="n">
        <x:f>IF(AND(ISNUMBER('Параметры'!$C$7),'Параметры'!$C$7&gt;=0),'Параметры'!$C$7*C144/365,NA())</x:f>
        <x:v>0.00636986301369863</x:v>
      </x:c>
      <x:c r="J144" s="32" t="n">
        <x:f>J143/(1+I144)</x:f>
        <x:v>0.4236305116142848</x:v>
      </x:c>
      <x:c r="K144" s="33" t="n">
        <x:f>IF(AND(ISNUMBER('Параметры'!$C$8),'Параметры'!$C$8&gt;=0),'Параметры'!$C$8*C144/365,NA())</x:f>
        <x:v>0.00636986301369863</x:v>
      </x:c>
      <x:c r="L144" s="32" t="n">
        <x:f>L143/(1+K144)</x:f>
        <x:v>0.4236305116142848</x:v>
      </x:c>
      <x:c r="M144" s="30" t="n">
        <x:f>E144*L144</x:f>
        <x:v>7935.683976645287</x:v>
      </x:c>
      <x:c r="N144" s="30" t="n">
        <x:f>F144*L144</x:f>
        <x:v>3080.0649429632836</x:v>
      </x:c>
      <x:c r="O144" s="30" t="n">
        <x:f>G144*L144</x:f>
        <x:v>11015.74891960857</x:v>
      </x:c>
    </x:row>
    <x:row r="145" ht="21" customHeight="1">
      <x:c r="A145" s="28" t="n">
        <x:v>139</x:v>
      </x:c>
      <x:c r="B145" s="29" t="n">
        <x:v>49025</x:v>
      </x:c>
      <x:c r="C145" s="28" t="n">
        <x:f>B145-B144</x:f>
        <x:v>28</x:v>
      </x:c>
      <x:c r="D145" s="30" t="n">
        <x:f>H144</x:f>
        <x:v>2933540.04</x:v>
      </x:c>
      <x:c r="E145" s="30" t="n">
        <x:f>ROUND(D145*I145,2)</x:f>
        <x:v>16877.9</x:v>
      </x:c>
      <x:c r="F145" s="30" t="n">
        <x:f>IF(G145&gt;=E145,ROUND(G145-E145,2),NA())</x:f>
        <x:v>9125.3</x:v>
      </x:c>
      <x:c r="G145" s="30" t="n">
        <x:f>MIN('Параметры'!$C$14,ROUND(D145+E145,2))</x:f>
        <x:v>26003.2</x:v>
      </x:c>
      <x:c r="H145" s="30" t="n">
        <x:f>ROUND(D145-F145,2)</x:f>
        <x:v>2924414.74</x:v>
      </x:c>
      <x:c r="I145" s="33" t="n">
        <x:f>IF(AND(ISNUMBER('Параметры'!$C$7),'Параметры'!$C$7&gt;=0),'Параметры'!$C$7*C145/365,NA())</x:f>
        <x:v>0.005753424657534247</x:v>
      </x:c>
      <x:c r="J145" s="32" t="n">
        <x:f>J144/(1+I145)</x:f>
        <x:v>0.4212071281373303</x:v>
      </x:c>
      <x:c r="K145" s="33" t="n">
        <x:f>IF(AND(ISNUMBER('Параметры'!$C$8),'Параметры'!$C$8&gt;=0),'Параметры'!$C$8*C145/365,NA())</x:f>
        <x:v>0.005753424657534247</x:v>
      </x:c>
      <x:c r="L145" s="32" t="n">
        <x:f>L144/(1+K145)</x:f>
        <x:v>0.4212071281373303</x:v>
      </x:c>
      <x:c r="M145" s="30" t="n">
        <x:f>E145*L145</x:f>
        <x:v>7109.091787989048</x:v>
      </x:c>
      <x:c r="N145" s="30" t="n">
        <x:f>F145*L145</x:f>
        <x:v>3843.64140639158</x:v>
      </x:c>
      <x:c r="O145" s="30" t="n">
        <x:f>G145*L145</x:f>
        <x:v>10952.733194380628</x:v>
      </x:c>
    </x:row>
    <x:row r="146" ht="21" customHeight="1">
      <x:c r="A146" s="28" t="n">
        <x:v>140</x:v>
      </x:c>
      <x:c r="B146" s="29" t="n">
        <x:v>49056</x:v>
      </x:c>
      <x:c r="C146" s="28" t="n">
        <x:f>B146-B145</x:f>
        <x:v>31</x:v>
      </x:c>
      <x:c r="D146" s="30" t="n">
        <x:f>H145</x:f>
        <x:v>2924414.74</x:v>
      </x:c>
      <x:c r="E146" s="30" t="n">
        <x:f>ROUND(D146*I146,2)</x:f>
        <x:v>18628.12</x:v>
      </x:c>
      <x:c r="F146" s="30" t="n">
        <x:f>IF(G146&gt;=E146,ROUND(G146-E146,2),NA())</x:f>
        <x:v>7375.08</x:v>
      </x:c>
      <x:c r="G146" s="30" t="n">
        <x:f>MIN('Параметры'!$C$14,ROUND(D146+E146,2))</x:f>
        <x:v>26003.2</x:v>
      </x:c>
      <x:c r="H146" s="30" t="n">
        <x:f>ROUND(D146-F146,2)</x:f>
        <x:v>2917039.66</x:v>
      </x:c>
      <x:c r="I146" s="33" t="n">
        <x:f>IF(AND(ISNUMBER('Параметры'!$C$7),'Параметры'!$C$7&gt;=0),'Параметры'!$C$7*C146/365,NA())</x:f>
        <x:v>0.00636986301369863</x:v>
      </x:c>
      <x:c r="J146" s="32" t="n">
        <x:f>J145/(1+I146)</x:f>
        <x:v>0.41854107879977015</x:v>
      </x:c>
      <x:c r="K146" s="33" t="n">
        <x:f>IF(AND(ISNUMBER('Параметры'!$C$8),'Параметры'!$C$8&gt;=0),'Параметры'!$C$8*C146/365,NA())</x:f>
        <x:v>0.00636986301369863</x:v>
      </x:c>
      <x:c r="L146" s="32" t="n">
        <x:f>L145/(1+K146)</x:f>
        <x:v>0.41854107879977015</x:v>
      </x:c>
      <x:c r="M146" s="30" t="n">
        <x:f>E146*L146</x:f>
        <x:v>7796.633440811574</x:v>
      </x:c>
      <x:c r="N146" s="30" t="n">
        <x:f>F146*L146</x:f>
        <x:v>3086.773939434609</x:v>
      </x:c>
      <x:c r="O146" s="30" t="n">
        <x:f>G146*L146</x:f>
        <x:v>10883.407380246183</x:v>
      </x:c>
    </x:row>
    <x:row r="147" ht="21" customHeight="1">
      <x:c r="A147" s="28" t="n">
        <x:v>141</x:v>
      </x:c>
      <x:c r="B147" s="29" t="n">
        <x:v>49086</x:v>
      </x:c>
      <x:c r="C147" s="28" t="n">
        <x:f>B147-B146</x:f>
        <x:v>30</x:v>
      </x:c>
      <x:c r="D147" s="30" t="n">
        <x:f>H146</x:f>
        <x:v>2917039.66</x:v>
      </x:c>
      <x:c r="E147" s="30" t="n">
        <x:f>ROUND(D147*I147,2)</x:f>
        <x:v>17981.75</x:v>
      </x:c>
      <x:c r="F147" s="30" t="n">
        <x:f>IF(G147&gt;=E147,ROUND(G147-E147,2),NA())</x:f>
        <x:v>8021.45</x:v>
      </x:c>
      <x:c r="G147" s="30" t="n">
        <x:f>MIN('Параметры'!$C$14,ROUND(D147+E147,2))</x:f>
        <x:v>26003.2</x:v>
      </x:c>
      <x:c r="H147" s="30" t="n">
        <x:f>ROUND(D147-F147,2)</x:f>
        <x:v>2909018.21</x:v>
      </x:c>
      <x:c r="I147" s="33" t="n">
        <x:f>IF(AND(ISNUMBER('Параметры'!$C$7),'Параметры'!$C$7&gt;=0),'Параметры'!$C$7*C147/365,NA())</x:f>
        <x:v>0.0061643835616438354</x:v>
      </x:c>
      <x:c r="J147" s="32" t="n">
        <x:f>J146/(1+I147)</x:f>
        <x:v>0.41597683801747065</x:v>
      </x:c>
      <x:c r="K147" s="33" t="n">
        <x:f>IF(AND(ISNUMBER('Параметры'!$C$8),'Параметры'!$C$8&gt;=0),'Параметры'!$C$8*C147/365,NA())</x:f>
        <x:v>0.0061643835616438354</x:v>
      </x:c>
      <x:c r="L147" s="32" t="n">
        <x:f>L146/(1+K147)</x:f>
        <x:v>0.41597683801747065</x:v>
      </x:c>
      <x:c r="M147" s="30" t="n">
        <x:f>E147*L147</x:f>
        <x:v>7479.9915070206525</x:v>
      </x:c>
      <x:c r="N147" s="30" t="n">
        <x:f>F147*L147</x:f>
        <x:v>3336.73740731524</x:v>
      </x:c>
      <x:c r="O147" s="30" t="n">
        <x:f>G147*L147</x:f>
        <x:v>10816.728914335894</x:v>
      </x:c>
    </x:row>
    <x:row r="148" ht="21" customHeight="1">
      <x:c r="A148" s="28" t="n">
        <x:v>142</x:v>
      </x:c>
      <x:c r="B148" s="29" t="n">
        <x:v>49117</x:v>
      </x:c>
      <x:c r="C148" s="28" t="n">
        <x:f>B148-B147</x:f>
        <x:v>31</x:v>
      </x:c>
      <x:c r="D148" s="30" t="n">
        <x:f>H147</x:f>
        <x:v>2909018.21</x:v>
      </x:c>
      <x:c r="E148" s="30" t="n">
        <x:f>ROUND(D148*I148,2)</x:f>
        <x:v>18530.05</x:v>
      </x:c>
      <x:c r="F148" s="30" t="n">
        <x:f>IF(G148&gt;=E148,ROUND(G148-E148,2),NA())</x:f>
        <x:v>7473.15</x:v>
      </x:c>
      <x:c r="G148" s="30" t="n">
        <x:f>MIN('Параметры'!$C$14,ROUND(D148+E148,2))</x:f>
        <x:v>26003.2</x:v>
      </x:c>
      <x:c r="H148" s="30" t="n">
        <x:f>ROUND(D148-F148,2)</x:f>
        <x:v>2901545.06</x:v>
      </x:c>
      <x:c r="I148" s="33" t="n">
        <x:f>IF(AND(ISNUMBER('Параметры'!$C$7),'Параметры'!$C$7&gt;=0),'Параметры'!$C$7*C148/365,NA())</x:f>
        <x:v>0.00636986301369863</x:v>
      </x:c>
      <x:c r="J148" s="32" t="n">
        <x:f>J147/(1+I148)</x:f>
        <x:v>0.4133438940349195</x:v>
      </x:c>
      <x:c r="K148" s="33" t="n">
        <x:f>IF(AND(ISNUMBER('Параметры'!$C$8),'Параметры'!$C$8&gt;=0),'Параметры'!$C$8*C148/365,NA())</x:f>
        <x:v>0.00636986301369863</x:v>
      </x:c>
      <x:c r="L148" s="32" t="n">
        <x:f>L147/(1+K148)</x:f>
        <x:v>0.4133438940349195</x:v>
      </x:c>
      <x:c r="M148" s="30" t="n">
        <x:f>E148*L148</x:f>
        <x:v>7659.28302366176</x:v>
      </x:c>
      <x:c r="N148" s="30" t="n">
        <x:f>F148*L148</x:f>
        <x:v>3088.9809217070583</x:v>
      </x:c>
      <x:c r="O148" s="30" t="n">
        <x:f>G148*L148</x:f>
        <x:v>10748.263945368819</x:v>
      </x:c>
    </x:row>
    <x:row r="149" ht="21" customHeight="1">
      <x:c r="A149" s="28" t="n">
        <x:v>143</x:v>
      </x:c>
      <x:c r="B149" s="29" t="n">
        <x:v>49147</x:v>
      </x:c>
      <x:c r="C149" s="28" t="n">
        <x:f>B149-B148</x:f>
        <x:v>30</x:v>
      </x:c>
      <x:c r="D149" s="30" t="n">
        <x:f>H148</x:f>
        <x:v>2901545.06</x:v>
      </x:c>
      <x:c r="E149" s="30" t="n">
        <x:f>ROUND(D149*I149,2)</x:f>
        <x:v>17886.24</x:v>
      </x:c>
      <x:c r="F149" s="30" t="n">
        <x:f>IF(G149&gt;=E149,ROUND(G149-E149,2),NA())</x:f>
        <x:v>8116.96</x:v>
      </x:c>
      <x:c r="G149" s="30" t="n">
        <x:f>MIN('Параметры'!$C$14,ROUND(D149+E149,2))</x:f>
        <x:v>26003.2</x:v>
      </x:c>
      <x:c r="H149" s="30" t="n">
        <x:f>ROUND(D149-F149,2)</x:f>
        <x:v>2893428.1</x:v>
      </x:c>
      <x:c r="I149" s="33" t="n">
        <x:f>IF(AND(ISNUMBER('Параметры'!$C$7),'Параметры'!$C$7&gt;=0),'Параметры'!$C$7*C149/365,NA())</x:f>
        <x:v>0.0061643835616438354</x:v>
      </x:c>
      <x:c r="J149" s="32" t="n">
        <x:f>J148/(1+I149)</x:f>
        <x:v>0.41081149441183284</x:v>
      </x:c>
      <x:c r="K149" s="33" t="n">
        <x:f>IF(AND(ISNUMBER('Параметры'!$C$8),'Параметры'!$C$8&gt;=0),'Параметры'!$C$8*C149/365,NA())</x:f>
        <x:v>0.0061643835616438354</x:v>
      </x:c>
      <x:c r="L149" s="32" t="n">
        <x:f>L148/(1+K149)</x:f>
        <x:v>0.41081149441183284</x:v>
      </x:c>
      <x:c r="M149" s="30" t="n">
        <x:f>E149*L149</x:f>
        <x:v>7347.872983808702</x:v>
      </x:c>
      <x:c r="N149" s="30" t="n">
        <x:f>F149*L149</x:f>
        <x:v>3334.540467681071</x:v>
      </x:c>
      <x:c r="O149" s="30" t="n">
        <x:f>G149*L149</x:f>
        <x:v>10682.413451489772</x:v>
      </x:c>
    </x:row>
    <x:row r="150" ht="21" customHeight="1">
      <x:c r="A150" s="28" t="n">
        <x:v>144</x:v>
      </x:c>
      <x:c r="B150" s="29" t="n">
        <x:v>49178</x:v>
      </x:c>
      <x:c r="C150" s="28" t="n">
        <x:f>B150-B149</x:f>
        <x:v>31</x:v>
      </x:c>
      <x:c r="D150" s="30" t="n">
        <x:f>H149</x:f>
        <x:v>2893428.1</x:v>
      </x:c>
      <x:c r="E150" s="30" t="n">
        <x:f>ROUND(D150*I150,2)</x:f>
        <x:v>18430.74</x:v>
      </x:c>
      <x:c r="F150" s="30" t="n">
        <x:f>IF(G150&gt;=E150,ROUND(G150-E150,2),NA())</x:f>
        <x:v>7572.46</x:v>
      </x:c>
      <x:c r="G150" s="30" t="n">
        <x:f>MIN('Параметры'!$C$14,ROUND(D150+E150,2))</x:f>
        <x:v>26003.2</x:v>
      </x:c>
      <x:c r="H150" s="30" t="n">
        <x:f>ROUND(D150-F150,2)</x:f>
        <x:v>2885855.64</x:v>
      </x:c>
      <x:c r="I150" s="33" t="n">
        <x:f>IF(AND(ISNUMBER('Параметры'!$C$7),'Параметры'!$C$7&gt;=0),'Параметры'!$C$7*C150/365,NA())</x:f>
        <x:v>0.00636986301369863</x:v>
      </x:c>
      <x:c r="J150" s="32" t="n">
        <x:f>J149/(1+I150)</x:f>
        <x:v>0.408211244702427</x:v>
      </x:c>
      <x:c r="K150" s="33" t="n">
        <x:f>IF(AND(ISNUMBER('Параметры'!$C$8),'Параметры'!$C$8&gt;=0),'Параметры'!$C$8*C150/365,NA())</x:f>
        <x:v>0.00636986301369863</x:v>
      </x:c>
      <x:c r="L150" s="32" t="n">
        <x:f>L149/(1+K150)</x:f>
        <x:v>0.408211244702427</x:v>
      </x:c>
      <x:c r="M150" s="30" t="n">
        <x:f>E150*L150</x:f>
        <x:v>7523.63531618681</x:v>
      </x:c>
      <x:c r="N150" s="30" t="n">
        <x:f>F150*L150</x:f>
        <x:v>3091.1633220593403</x:v>
      </x:c>
      <x:c r="O150" s="30" t="n">
        <x:f>G150*L150</x:f>
        <x:v>10614.79863824615</x:v>
      </x:c>
    </x:row>
    <x:row r="151" ht="21" customHeight="1">
      <x:c r="A151" s="28" t="n">
        <x:v>145</x:v>
      </x:c>
      <x:c r="B151" s="29" t="n">
        <x:v>49209</x:v>
      </x:c>
      <x:c r="C151" s="28" t="n">
        <x:f>B151-B150</x:f>
        <x:v>31</x:v>
      </x:c>
      <x:c r="D151" s="30" t="n">
        <x:f>H150</x:f>
        <x:v>2885855.64</x:v>
      </x:c>
      <x:c r="E151" s="30" t="n">
        <x:f>ROUND(D151*I151,2)</x:f>
        <x:v>18382.51</x:v>
      </x:c>
      <x:c r="F151" s="30" t="n">
        <x:f>IF(G151&gt;=E151,ROUND(G151-E151,2),NA())</x:f>
        <x:v>7620.69</x:v>
      </x:c>
      <x:c r="G151" s="30" t="n">
        <x:f>MIN('Параметры'!$C$14,ROUND(D151+E151,2))</x:f>
        <x:v>26003.2</x:v>
      </x:c>
      <x:c r="H151" s="30" t="n">
        <x:f>ROUND(D151-F151,2)</x:f>
        <x:v>2878234.95</x:v>
      </x:c>
      <x:c r="I151" s="33" t="n">
        <x:f>IF(AND(ISNUMBER('Параметры'!$C$7),'Параметры'!$C$7&gt;=0),'Параметры'!$C$7*C151/365,NA())</x:f>
        <x:v>0.00636986301369863</x:v>
      </x:c>
      <x:c r="J151" s="32" t="n">
        <x:f>J150/(1+I151)</x:f>
        <x:v>0.40562745338973893</x:v>
      </x:c>
      <x:c r="K151" s="33" t="n">
        <x:f>IF(AND(ISNUMBER('Параметры'!$C$8),'Параметры'!$C$8&gt;=0),'Параметры'!$C$8*C151/365,NA())</x:f>
        <x:v>0.00636986301369863</x:v>
      </x:c>
      <x:c r="L151" s="32" t="n">
        <x:f>L150/(1+K151)</x:f>
        <x:v>0.40562745338973893</x:v>
      </x:c>
      <x:c r="M151" s="30" t="n">
        <x:f>E151*L151</x:f>
        <x:v>7456.450718211409</x:v>
      </x:c>
      <x:c r="N151" s="30" t="n">
        <x:f>F151*L151</x:f>
        <x:v>3091.1610777726496</x:v>
      </x:c>
      <x:c r="O151" s="30" t="n">
        <x:f>G151*L151</x:f>
        <x:v>10547.61179598406</x:v>
      </x:c>
    </x:row>
    <x:row r="152" ht="21" customHeight="1">
      <x:c r="A152" s="28" t="n">
        <x:v>146</x:v>
      </x:c>
      <x:c r="B152" s="29" t="n">
        <x:v>49239</x:v>
      </x:c>
      <x:c r="C152" s="28" t="n">
        <x:f>B152-B151</x:f>
        <x:v>30</x:v>
      </x:c>
      <x:c r="D152" s="30" t="n">
        <x:f>H151</x:f>
        <x:v>2878234.95</x:v>
      </x:c>
      <x:c r="E152" s="30" t="n">
        <x:f>ROUND(D152*I152,2)</x:f>
        <x:v>17742.54</x:v>
      </x:c>
      <x:c r="F152" s="30" t="n">
        <x:f>IF(G152&gt;=E152,ROUND(G152-E152,2),NA())</x:f>
        <x:v>8260.66</x:v>
      </x:c>
      <x:c r="G152" s="30" t="n">
        <x:f>MIN('Параметры'!$C$14,ROUND(D152+E152,2))</x:f>
        <x:v>26003.2</x:v>
      </x:c>
      <x:c r="H152" s="30" t="n">
        <x:f>ROUND(D152-F152,2)</x:f>
        <x:v>2869974.29</x:v>
      </x:c>
      <x:c r="I152" s="33" t="n">
        <x:f>IF(AND(ISNUMBER('Параметры'!$C$7),'Параметры'!$C$7&gt;=0),'Параметры'!$C$7*C152/365,NA())</x:f>
        <x:v>0.0061643835616438354</x:v>
      </x:c>
      <x:c r="J152" s="32" t="n">
        <x:f>J151/(1+I152)</x:f>
        <x:v>0.4031423294411292</x:v>
      </x:c>
      <x:c r="K152" s="33" t="n">
        <x:f>IF(AND(ISNUMBER('Параметры'!$C$8),'Параметры'!$C$8&gt;=0),'Параметры'!$C$8*C152/365,NA())</x:f>
        <x:v>0.0061643835616438354</x:v>
      </x:c>
      <x:c r="L152" s="32" t="n">
        <x:f>L151/(1+K152)</x:f>
        <x:v>0.4031423294411292</x:v>
      </x:c>
      <x:c r="M152" s="30" t="n">
        <x:f>E152*L152</x:f>
        <x:v>7152.768905802413</x:v>
      </x:c>
      <x:c r="N152" s="30" t="n">
        <x:f>F152*L152</x:f>
        <x:v>3330.2217151211585</x:v>
      </x:c>
      <x:c r="O152" s="30" t="n">
        <x:f>G152*L152</x:f>
        <x:v>10482.99062092357</x:v>
      </x:c>
    </x:row>
    <x:row r="153" ht="21" customHeight="1">
      <x:c r="A153" s="28" t="n">
        <x:v>147</x:v>
      </x:c>
      <x:c r="B153" s="29" t="n">
        <x:v>49270</x:v>
      </x:c>
      <x:c r="C153" s="28" t="n">
        <x:f>B153-B152</x:f>
        <x:v>31</x:v>
      </x:c>
      <x:c r="D153" s="30" t="n">
        <x:f>H152</x:f>
        <x:v>2869974.29</x:v>
      </x:c>
      <x:c r="E153" s="30" t="n">
        <x:f>ROUND(D153*I153,2)</x:f>
        <x:v>18281.34</x:v>
      </x:c>
      <x:c r="F153" s="30" t="n">
        <x:f>IF(G153&gt;=E153,ROUND(G153-E153,2),NA())</x:f>
        <x:v>7721.86</x:v>
      </x:c>
      <x:c r="G153" s="30" t="n">
        <x:f>MIN('Параметры'!$C$14,ROUND(D153+E153,2))</x:f>
        <x:v>26003.2</x:v>
      </x:c>
      <x:c r="H153" s="30" t="n">
        <x:f>ROUND(D153-F153,2)</x:f>
        <x:v>2862252.43</x:v>
      </x:c>
      <x:c r="I153" s="33" t="n">
        <x:f>IF(AND(ISNUMBER('Параметры'!$C$7),'Параметры'!$C$7&gt;=0),'Параметры'!$C$7*C153/365,NA())</x:f>
        <x:v>0.00636986301369863</x:v>
      </x:c>
      <x:c r="J153" s="32" t="n">
        <x:f>J152/(1+I153)</x:f>
        <x:v>0.4005906220540725</x:v>
      </x:c>
      <x:c r="K153" s="33" t="n">
        <x:f>IF(AND(ISNUMBER('Параметры'!$C$8),'Параметры'!$C$8&gt;=0),'Параметры'!$C$8*C153/365,NA())</x:f>
        <x:v>0.00636986301369863</x:v>
      </x:c>
      <x:c r="L153" s="32" t="n">
        <x:f>L152/(1+K153)</x:f>
        <x:v>0.4005906220540725</x:v>
      </x:c>
      <x:c r="M153" s="30" t="n">
        <x:f>E153*L153</x:f>
        <x:v>7323.333362581998</x:v>
      </x:c>
      <x:c r="N153" s="30" t="n">
        <x:f>F153*L153</x:f>
        <x:v>3093.30470081446</x:v>
      </x:c>
      <x:c r="O153" s="30" t="n">
        <x:f>G153*L153</x:f>
        <x:v>10416.638063396458</x:v>
      </x:c>
    </x:row>
    <x:row r="154" ht="21" customHeight="1">
      <x:c r="A154" s="28" t="n">
        <x:v>148</x:v>
      </x:c>
      <x:c r="B154" s="29" t="n">
        <x:v>49300</x:v>
      </x:c>
      <x:c r="C154" s="28" t="n">
        <x:f>B154-B153</x:f>
        <x:v>30</x:v>
      </x:c>
      <x:c r="D154" s="30" t="n">
        <x:f>H153</x:f>
        <x:v>2862252.43</x:v>
      </x:c>
      <x:c r="E154" s="30" t="n">
        <x:f>ROUND(D154*I154,2)</x:f>
        <x:v>17644.02</x:v>
      </x:c>
      <x:c r="F154" s="30" t="n">
        <x:f>IF(G154&gt;=E154,ROUND(G154-E154,2),NA())</x:f>
        <x:v>8359.18</x:v>
      </x:c>
      <x:c r="G154" s="30" t="n">
        <x:f>MIN('Параметры'!$C$14,ROUND(D154+E154,2))</x:f>
        <x:v>26003.2</x:v>
      </x:c>
      <x:c r="H154" s="30" t="n">
        <x:f>ROUND(D154-F154,2)</x:f>
        <x:v>2853893.25</x:v>
      </x:c>
      <x:c r="I154" s="33" t="n">
        <x:f>IF(AND(ISNUMBER('Параметры'!$C$7),'Параметры'!$C$7&gt;=0),'Параметры'!$C$7*C154/365,NA())</x:f>
        <x:v>0.0061643835616438354</x:v>
      </x:c>
      <x:c r="J154" s="32" t="n">
        <x:f>J153/(1+I154)</x:f>
        <x:v>0.39813635684067106</x:v>
      </x:c>
      <x:c r="K154" s="33" t="n">
        <x:f>IF(AND(ISNUMBER('Параметры'!$C$8),'Параметры'!$C$8&gt;=0),'Параметры'!$C$8*C154/365,NA())</x:f>
        <x:v>0.0061643835616438354</x:v>
      </x:c>
      <x:c r="L154" s="32" t="n">
        <x:f>L153/(1+K154)</x:f>
        <x:v>0.39813635684067106</x:v>
      </x:c>
      <x:c r="M154" s="30" t="n">
        <x:f>E154*L154</x:f>
        <x:v>7024.7258428239375</x:v>
      </x:c>
      <x:c r="N154" s="30" t="n">
        <x:f>F154*L154</x:f>
        <x:v>3328.093471375401</x:v>
      </x:c>
      <x:c r="O154" s="30" t="n">
        <x:f>G154*L154</x:f>
        <x:v>10352.819314199338</x:v>
      </x:c>
    </x:row>
    <x:row r="155" ht="21" customHeight="1">
      <x:c r="A155" s="28" t="n">
        <x:v>149</x:v>
      </x:c>
      <x:c r="B155" s="29" t="n">
        <x:v>49331</x:v>
      </x:c>
      <x:c r="C155" s="28" t="n">
        <x:f>B155-B154</x:f>
        <x:v>31</x:v>
      </x:c>
      <x:c r="D155" s="30" t="n">
        <x:f>H154</x:f>
        <x:v>2853893.25</x:v>
      </x:c>
      <x:c r="E155" s="30" t="n">
        <x:f>ROUND(D155*I155,2)</x:f>
        <x:v>18178.91</x:v>
      </x:c>
      <x:c r="F155" s="30" t="n">
        <x:f>IF(G155&gt;=E155,ROUND(G155-E155,2),NA())</x:f>
        <x:v>7824.29</x:v>
      </x:c>
      <x:c r="G155" s="30" t="n">
        <x:f>MIN('Параметры'!$C$14,ROUND(D155+E155,2))</x:f>
        <x:v>26003.2</x:v>
      </x:c>
      <x:c r="H155" s="30" t="n">
        <x:f>ROUND(D155-F155,2)</x:f>
        <x:v>2846068.96</x:v>
      </x:c>
      <x:c r="I155" s="33" t="n">
        <x:f>IF(AND(ISNUMBER('Параметры'!$C$7),'Параметры'!$C$7&gt;=0),'Параметры'!$C$7*C155/365,NA())</x:f>
        <x:v>0.00636986301369863</x:v>
      </x:c>
      <x:c r="J155" s="32" t="n">
        <x:f>J154/(1+I155)</x:f>
        <x:v>0.39561633498086146</x:v>
      </x:c>
      <x:c r="K155" s="33" t="n">
        <x:f>IF(AND(ISNUMBER('Параметры'!$C$8),'Параметры'!$C$8&gt;=0),'Параметры'!$C$8*C155/365,NA())</x:f>
        <x:v>0.00636986301369863</x:v>
      </x:c>
      <x:c r="L155" s="32" t="n">
        <x:f>L154/(1+K155)</x:f>
        <x:v>0.39561633498086146</x:v>
      </x:c>
      <x:c r="M155" s="30" t="n">
        <x:f>E155*L155</x:f>
        <x:v>7191.8737481469325</x:v>
      </x:c>
      <x:c r="N155" s="30" t="n">
        <x:f>F155*L155</x:f>
        <x:v>3095.4169336274044</x:v>
      </x:c>
      <x:c r="O155" s="30" t="n">
        <x:f>G155*L155</x:f>
        <x:v>10287.290681774337</x:v>
      </x:c>
    </x:row>
    <x:row r="156" ht="21" customHeight="1">
      <x:c r="A156" s="28" t="n">
        <x:v>150</x:v>
      </x:c>
      <x:c r="B156" s="29" t="n">
        <x:v>49362</x:v>
      </x:c>
      <x:c r="C156" s="28" t="n">
        <x:f>B156-B155</x:f>
        <x:v>31</x:v>
      </x:c>
      <x:c r="D156" s="30" t="n">
        <x:f>H155</x:f>
        <x:v>2846068.96</x:v>
      </x:c>
      <x:c r="E156" s="30" t="n">
        <x:f>ROUND(D156*I156,2)</x:f>
        <x:v>18129.07</x:v>
      </x:c>
      <x:c r="F156" s="30" t="n">
        <x:f>IF(G156&gt;=E156,ROUND(G156-E156,2),NA())</x:f>
        <x:v>7874.13</x:v>
      </x:c>
      <x:c r="G156" s="30" t="n">
        <x:f>MIN('Параметры'!$C$14,ROUND(D156+E156,2))</x:f>
        <x:v>26003.2</x:v>
      </x:c>
      <x:c r="H156" s="30" t="n">
        <x:f>ROUND(D156-F156,2)</x:f>
        <x:v>2838194.83</x:v>
      </x:c>
      <x:c r="I156" s="33" t="n">
        <x:f>IF(AND(ISNUMBER('Параметры'!$C$7),'Параметры'!$C$7&gt;=0),'Параметры'!$C$7*C156/365,NA())</x:f>
        <x:v>0.00636986301369863</x:v>
      </x:c>
      <x:c r="J156" s="32" t="n">
        <x:f>J155/(1+I156)</x:f>
        <x:v>0.393112263712011</x:v>
      </x:c>
      <x:c r="K156" s="33" t="n">
        <x:f>IF(AND(ISNUMBER('Параметры'!$C$8),'Параметры'!$C$8&gt;=0),'Параметры'!$C$8*C156/365,NA())</x:f>
        <x:v>0.00636986301369863</x:v>
      </x:c>
      <x:c r="L156" s="32" t="n">
        <x:f>L155/(1+K156)</x:f>
        <x:v>0.393112263712011</x:v>
      </x:c>
      <x:c r="M156" s="30" t="n">
        <x:f>E156*L156</x:f>
        <x:v>7126.759746693508</x:v>
      </x:c>
      <x:c r="N156" s="30" t="n">
        <x:f>F156*L156</x:f>
        <x:v>3095.4170690626574</x:v>
      </x:c>
      <x:c r="O156" s="30" t="n">
        <x:f>G156*L156</x:f>
        <x:v>10222.176815756166</x:v>
      </x:c>
    </x:row>
    <x:row r="157" ht="21" customHeight="1">
      <x:c r="A157" s="28" t="n">
        <x:v>151</x:v>
      </x:c>
      <x:c r="B157" s="29" t="n">
        <x:v>49390</x:v>
      </x:c>
      <x:c r="C157" s="28" t="n">
        <x:f>B157-B156</x:f>
        <x:v>28</x:v>
      </x:c>
      <x:c r="D157" s="30" t="n">
        <x:f>H156</x:f>
        <x:v>2838194.83</x:v>
      </x:c>
      <x:c r="E157" s="30" t="n">
        <x:f>ROUND(D157*I157,2)</x:f>
        <x:v>16329.34</x:v>
      </x:c>
      <x:c r="F157" s="30" t="n">
        <x:f>IF(G157&gt;=E157,ROUND(G157-E157,2),NA())</x:f>
        <x:v>9673.86</x:v>
      </x:c>
      <x:c r="G157" s="30" t="n">
        <x:f>MIN('Параметры'!$C$14,ROUND(D157+E157,2))</x:f>
        <x:v>26003.2</x:v>
      </x:c>
      <x:c r="H157" s="30" t="n">
        <x:f>ROUND(D157-F157,2)</x:f>
        <x:v>2828520.97</x:v>
      </x:c>
      <x:c r="I157" s="33" t="n">
        <x:f>IF(AND(ISNUMBER('Параметры'!$C$7),'Параметры'!$C$7&gt;=0),'Параметры'!$C$7*C157/365,NA())</x:f>
        <x:v>0.005753424657534247</x:v>
      </x:c>
      <x:c r="J157" s="32" t="n">
        <x:f>J156/(1+I157)</x:f>
        <x:v>0.39086346024212487</x:v>
      </x:c>
      <x:c r="K157" s="33" t="n">
        <x:f>IF(AND(ISNUMBER('Параметры'!$C$8),'Параметры'!$C$8&gt;=0),'Параметры'!$C$8*C157/365,NA())</x:f>
        <x:v>0.005753424657534247</x:v>
      </x:c>
      <x:c r="L157" s="32" t="n">
        <x:f>L156/(1+K157)</x:f>
        <x:v>0.39086346024212487</x:v>
      </x:c>
      <x:c r="M157" s="30" t="n">
        <x:f>E157*L157</x:f>
        <x:v>6382.542335870139</x:v>
      </x:c>
      <x:c r="N157" s="30" t="n">
        <x:f>F157*L157</x:f>
        <x:v>3781.158393497882</x:v>
      </x:c>
      <x:c r="O157" s="30" t="n">
        <x:f>G157*L157</x:f>
        <x:v>10163.700729368022</x:v>
      </x:c>
    </x:row>
    <x:row r="158" ht="21" customHeight="1">
      <x:c r="A158" s="28" t="n">
        <x:v>152</x:v>
      </x:c>
      <x:c r="B158" s="29" t="n">
        <x:v>49421</x:v>
      </x:c>
      <x:c r="C158" s="28" t="n">
        <x:f>B158-B157</x:f>
        <x:v>31</x:v>
      </x:c>
      <x:c r="D158" s="30" t="n">
        <x:f>H157</x:f>
        <x:v>2828520.97</x:v>
      </x:c>
      <x:c r="E158" s="30" t="n">
        <x:f>ROUND(D158*I158,2)</x:f>
        <x:v>18017.29</x:v>
      </x:c>
      <x:c r="F158" s="30" t="n">
        <x:f>IF(G158&gt;=E158,ROUND(G158-E158,2),NA())</x:f>
        <x:v>7985.91</x:v>
      </x:c>
      <x:c r="G158" s="30" t="n">
        <x:f>MIN('Параметры'!$C$14,ROUND(D158+E158,2))</x:f>
        <x:v>26003.2</x:v>
      </x:c>
      <x:c r="H158" s="30" t="n">
        <x:f>ROUND(D158-F158,2)</x:f>
        <x:v>2820535.06</x:v>
      </x:c>
      <x:c r="I158" s="33" t="n">
        <x:f>IF(AND(ISNUMBER('Параметры'!$C$7),'Параметры'!$C$7&gt;=0),'Параметры'!$C$7*C158/365,NA())</x:f>
        <x:v>0.00636986301369863</x:v>
      </x:c>
      <x:c r="J158" s="32" t="n">
        <x:f>J157/(1+I158)</x:f>
        <x:v>0.38838947250629713</x:v>
      </x:c>
      <x:c r="K158" s="33" t="n">
        <x:f>IF(AND(ISNUMBER('Параметры'!$C$8),'Параметры'!$C$8&gt;=0),'Параметры'!$C$8*C158/365,NA())</x:f>
        <x:v>0.00636986301369863</x:v>
      </x:c>
      <x:c r="L158" s="32" t="n">
        <x:f>L157/(1+K158)</x:f>
        <x:v>0.38838947250629713</x:v>
      </x:c>
      <x:c r="M158" s="30" t="n">
        <x:f>E158*L158</x:f>
        <x:v>6997.725759092982</x:v>
      </x:c>
      <x:c r="N158" s="30" t="n">
        <x:f>F158*L158</x:f>
        <x:v>3101.643372382763</x:v>
      </x:c>
      <x:c r="O158" s="30" t="n">
        <x:f>G158*L158</x:f>
        <x:v>10099.369131475745</x:v>
      </x:c>
    </x:row>
    <x:row r="159" ht="21" customHeight="1">
      <x:c r="A159" s="28" t="n">
        <x:v>153</x:v>
      </x:c>
      <x:c r="B159" s="29" t="n">
        <x:v>49451</x:v>
      </x:c>
      <x:c r="C159" s="28" t="n">
        <x:f>B159-B158</x:f>
        <x:v>30</x:v>
      </x:c>
      <x:c r="D159" s="30" t="n">
        <x:f>H158</x:f>
        <x:v>2820535.06</x:v>
      </x:c>
      <x:c r="E159" s="30" t="n">
        <x:f>ROUND(D159*I159,2)</x:f>
        <x:v>17386.86</x:v>
      </x:c>
      <x:c r="F159" s="30" t="n">
        <x:f>IF(G159&gt;=E159,ROUND(G159-E159,2),NA())</x:f>
        <x:v>8616.34</x:v>
      </x:c>
      <x:c r="G159" s="30" t="n">
        <x:f>MIN('Параметры'!$C$14,ROUND(D159+E159,2))</x:f>
        <x:v>26003.2</x:v>
      </x:c>
      <x:c r="H159" s="30" t="n">
        <x:f>ROUND(D159-F159,2)</x:f>
        <x:v>2811918.72</x:v>
      </x:c>
      <x:c r="I159" s="33" t="n">
        <x:f>IF(AND(ISNUMBER('Параметры'!$C$7),'Параметры'!$C$7&gt;=0),'Параметры'!$C$7*C159/365,NA())</x:f>
        <x:v>0.0061643835616438354</x:v>
      </x:c>
      <x:c r="J159" s="32" t="n">
        <x:f>J158/(1+I159)</x:f>
        <x:v>0.3860099590600366</x:v>
      </x:c>
      <x:c r="K159" s="33" t="n">
        <x:f>IF(AND(ISNUMBER('Параметры'!$C$8),'Параметры'!$C$8&gt;=0),'Параметры'!$C$8*C159/365,NA())</x:f>
        <x:v>0.0061643835616438354</x:v>
      </x:c>
      <x:c r="L159" s="32" t="n">
        <x:f>L158/(1+K159)</x:f>
        <x:v>0.3860099590600366</x:v>
      </x:c>
      <x:c r="M159" s="30" t="n">
        <x:f>E159*L159</x:f>
        <x:v>6711.501116782588</x:v>
      </x:c>
      <x:c r="N159" s="30" t="n">
        <x:f>F159*L159</x:f>
        <x:v>3325.9930506473556</x:v>
      </x:c>
      <x:c r="O159" s="30" t="n">
        <x:f>G159*L159</x:f>
        <x:v>10037.494167429944</x:v>
      </x:c>
    </x:row>
    <x:row r="160" ht="21" customHeight="1">
      <x:c r="A160" s="28" t="n">
        <x:v>154</x:v>
      </x:c>
      <x:c r="B160" s="29" t="n">
        <x:v>49482</x:v>
      </x:c>
      <x:c r="C160" s="28" t="n">
        <x:f>B160-B159</x:f>
        <x:v>31</x:v>
      </x:c>
      <x:c r="D160" s="30" t="n">
        <x:f>H159</x:f>
        <x:v>2811918.72</x:v>
      </x:c>
      <x:c r="E160" s="30" t="n">
        <x:f>ROUND(D160*I160,2)</x:f>
        <x:v>17911.54</x:v>
      </x:c>
      <x:c r="F160" s="30" t="n">
        <x:f>IF(G160&gt;=E160,ROUND(G160-E160,2),NA())</x:f>
        <x:v>8091.66</x:v>
      </x:c>
      <x:c r="G160" s="30" t="n">
        <x:f>MIN('Параметры'!$C$14,ROUND(D160+E160,2))</x:f>
        <x:v>26003.2</x:v>
      </x:c>
      <x:c r="H160" s="30" t="n">
        <x:f>ROUND(D160-F160,2)</x:f>
        <x:v>2803827.06</x:v>
      </x:c>
      <x:c r="I160" s="33" t="n">
        <x:f>IF(AND(ISNUMBER('Параметры'!$C$7),'Параметры'!$C$7&gt;=0),'Параметры'!$C$7*C160/365,NA())</x:f>
        <x:v>0.00636986301369863</x:v>
      </x:c>
      <x:c r="J160" s="32" t="n">
        <x:f>J159/(1+I160)</x:f>
        <x:v>0.38356669177680086</x:v>
      </x:c>
      <x:c r="K160" s="33" t="n">
        <x:f>IF(AND(ISNUMBER('Параметры'!$C$8),'Параметры'!$C$8&gt;=0),'Параметры'!$C$8*C160/365,NA())</x:f>
        <x:v>0.00636986301369863</x:v>
      </x:c>
      <x:c r="L160" s="32" t="n">
        <x:f>L159/(1+K160)</x:f>
        <x:v>0.38356669177680086</x:v>
      </x:c>
      <x:c r="M160" s="30" t="n">
        <x:f>E160*L160</x:f>
        <x:v>6870.27014242784</x:v>
      </x:c>
      <x:c r="N160" s="30" t="n">
        <x:f>F160*L160</x:f>
        <x:v>3103.6912571826683</x:v>
      </x:c>
      <x:c r="O160" s="30" t="n">
        <x:f>G160*L160</x:f>
        <x:v>9973.961399610509</x:v>
      </x:c>
    </x:row>
    <x:row r="161" ht="21" customHeight="1">
      <x:c r="A161" s="28" t="n">
        <x:v>155</x:v>
      </x:c>
      <x:c r="B161" s="29" t="n">
        <x:v>49512</x:v>
      </x:c>
      <x:c r="C161" s="28" t="n">
        <x:f>B161-B160</x:f>
        <x:v>30</x:v>
      </x:c>
      <x:c r="D161" s="30" t="n">
        <x:f>H160</x:f>
        <x:v>2803827.06</x:v>
      </x:c>
      <x:c r="E161" s="30" t="n">
        <x:f>ROUND(D161*I161,2)</x:f>
        <x:v>17283.87</x:v>
      </x:c>
      <x:c r="F161" s="30" t="n">
        <x:f>IF(G161&gt;=E161,ROUND(G161-E161,2),NA())</x:f>
        <x:v>8719.33</x:v>
      </x:c>
      <x:c r="G161" s="30" t="n">
        <x:f>MIN('Параметры'!$C$14,ROUND(D161+E161,2))</x:f>
        <x:v>26003.2</x:v>
      </x:c>
      <x:c r="H161" s="30" t="n">
        <x:f>ROUND(D161-F161,2)</x:f>
        <x:v>2795107.73</x:v>
      </x:c>
      <x:c r="I161" s="33" t="n">
        <x:f>IF(AND(ISNUMBER('Параметры'!$C$7),'Параметры'!$C$7&gt;=0),'Параметры'!$C$7*C161/365,NA())</x:f>
        <x:v>0.0061643835616438354</x:v>
      </x:c>
      <x:c r="J161" s="32" t="n">
        <x:f>J160/(1+I161)</x:f>
        <x:v>0.38121672565972037</x:v>
      </x:c>
      <x:c r="K161" s="33" t="n">
        <x:f>IF(AND(ISNUMBER('Параметры'!$C$8),'Параметры'!$C$8&gt;=0),'Параметры'!$C$8*C161/365,NA())</x:f>
        <x:v>0.0061643835616438354</x:v>
      </x:c>
      <x:c r="L161" s="32" t="n">
        <x:f>L160/(1+K161)</x:f>
        <x:v>0.38121672565972037</x:v>
      </x:c>
      <x:c r="M161" s="30" t="n">
        <x:f>E161*L161</x:f>
        <x:v>6588.90032812827</x:v>
      </x:c>
      <x:c r="N161" s="30" t="n">
        <x:f>F161*L161</x:f>
        <x:v>3323.9544325465695</x:v>
      </x:c>
      <x:c r="O161" s="30" t="n">
        <x:f>G161*L161</x:f>
        <x:v>9912.854760674842</x:v>
      </x:c>
    </x:row>
    <x:row r="162" ht="21" customHeight="1">
      <x:c r="A162" s="28" t="n">
        <x:v>156</x:v>
      </x:c>
      <x:c r="B162" s="29" t="n">
        <x:v>49543</x:v>
      </x:c>
      <x:c r="C162" s="28" t="n">
        <x:f>B162-B161</x:f>
        <x:v>31</x:v>
      </x:c>
      <x:c r="D162" s="30" t="n">
        <x:f>H161</x:f>
        <x:v>2795107.73</x:v>
      </x:c>
      <x:c r="E162" s="30" t="n">
        <x:f>ROUND(D162*I162,2)</x:f>
        <x:v>17804.45</x:v>
      </x:c>
      <x:c r="F162" s="30" t="n">
        <x:f>IF(G162&gt;=E162,ROUND(G162-E162,2),NA())</x:f>
        <x:v>8198.75</x:v>
      </x:c>
      <x:c r="G162" s="30" t="n">
        <x:f>MIN('Параметры'!$C$14,ROUND(D162+E162,2))</x:f>
        <x:v>26003.2</x:v>
      </x:c>
      <x:c r="H162" s="30" t="n">
        <x:f>ROUND(D162-F162,2)</x:f>
        <x:v>2786908.98</x:v>
      </x:c>
      <x:c r="I162" s="33" t="n">
        <x:f>IF(AND(ISNUMBER('Параметры'!$C$7),'Параметры'!$C$7&gt;=0),'Параметры'!$C$7*C162/365,NA())</x:f>
        <x:v>0.00636986301369863</x:v>
      </x:c>
      <x:c r="J162" s="32" t="n">
        <x:f>J161/(1+I162)</x:f>
        <x:v>0.378803797361459</x:v>
      </x:c>
      <x:c r="K162" s="33" t="n">
        <x:f>IF(AND(ISNUMBER('Параметры'!$C$8),'Параметры'!$C$8&gt;=0),'Параметры'!$C$8*C162/365,NA())</x:f>
        <x:v>0.00636986301369863</x:v>
      </x:c>
      <x:c r="L162" s="32" t="n">
        <x:f>L161/(1+K162)</x:f>
        <x:v>0.378803797361459</x:v>
      </x:c>
      <x:c r="M162" s="30" t="n">
        <x:f>E162*L162</x:f>
        <x:v>6744.3932699322295</x:v>
      </x:c>
      <x:c r="N162" s="30" t="n">
        <x:f>F162*L162</x:f>
        <x:v>3105.717633617262</x:v>
      </x:c>
      <x:c r="O162" s="30" t="n">
        <x:f>G162*L162</x:f>
        <x:v>9850.110903549492</x:v>
      </x:c>
    </x:row>
    <x:row r="163" ht="21" customHeight="1">
      <x:c r="A163" s="28" t="n">
        <x:v>157</x:v>
      </x:c>
      <x:c r="B163" s="29" t="n">
        <x:v>49574</x:v>
      </x:c>
      <x:c r="C163" s="28" t="n">
        <x:f>B163-B162</x:f>
        <x:v>31</x:v>
      </x:c>
      <x:c r="D163" s="30" t="n">
        <x:f>H162</x:f>
        <x:v>2786908.98</x:v>
      </x:c>
      <x:c r="E163" s="30" t="n">
        <x:f>ROUND(D163*I163,2)</x:f>
        <x:v>17752.23</x:v>
      </x:c>
      <x:c r="F163" s="30" t="n">
        <x:f>IF(G163&gt;=E163,ROUND(G163-E163,2),NA())</x:f>
        <x:v>8250.97</x:v>
      </x:c>
      <x:c r="G163" s="30" t="n">
        <x:f>MIN('Параметры'!$C$14,ROUND(D163+E163,2))</x:f>
        <x:v>26003.2</x:v>
      </x:c>
      <x:c r="H163" s="30" t="n">
        <x:f>ROUND(D163-F163,2)</x:f>
        <x:v>2778658.01</x:v>
      </x:c>
      <x:c r="I163" s="33" t="n">
        <x:f>IF(AND(ISNUMBER('Параметры'!$C$7),'Параметры'!$C$7&gt;=0),'Параметры'!$C$7*C163/365,NA())</x:f>
        <x:v>0.00636986301369863</x:v>
      </x:c>
      <x:c r="J163" s="32" t="n">
        <x:f>J162/(1+I163)</x:f>
        <x:v>0.37640614180067394</x:v>
      </x:c>
      <x:c r="K163" s="33" t="n">
        <x:f>IF(AND(ISNUMBER('Параметры'!$C$8),'Параметры'!$C$8&gt;=0),'Параметры'!$C$8*C163/365,NA())</x:f>
        <x:v>0.00636986301369863</x:v>
      </x:c>
      <x:c r="L163" s="32" t="n">
        <x:f>L162/(1+K163)</x:f>
        <x:v>0.37640614180067394</x:v>
      </x:c>
      <x:c r="M163" s="30" t="n">
        <x:f>E163*L163</x:f>
        <x:v>6682.048402658178</x:v>
      </x:c>
      <x:c r="N163" s="30" t="n">
        <x:f>F163*L163</x:f>
        <x:v>3105.7157838131066</x:v>
      </x:c>
      <x:c r="O163" s="30" t="n">
        <x:f>G163*L163</x:f>
        <x:v>9787.764186471284</x:v>
      </x:c>
    </x:row>
    <x:row r="164" ht="21" customHeight="1">
      <x:c r="A164" s="28" t="n">
        <x:v>158</x:v>
      </x:c>
      <x:c r="B164" s="29" t="n">
        <x:v>49604</x:v>
      </x:c>
      <x:c r="C164" s="28" t="n">
        <x:f>B164-B163</x:f>
        <x:v>30</x:v>
      </x:c>
      <x:c r="D164" s="30" t="n">
        <x:f>H163</x:f>
        <x:v>2778658.01</x:v>
      </x:c>
      <x:c r="E164" s="30" t="n">
        <x:f>ROUND(D164*I164,2)</x:f>
        <x:v>17128.71</x:v>
      </x:c>
      <x:c r="F164" s="30" t="n">
        <x:f>IF(G164&gt;=E164,ROUND(G164-E164,2),NA())</x:f>
        <x:v>8874.49</x:v>
      </x:c>
      <x:c r="G164" s="30" t="n">
        <x:f>MIN('Параметры'!$C$14,ROUND(D164+E164,2))</x:f>
        <x:v>26003.2</x:v>
      </x:c>
      <x:c r="H164" s="30" t="n">
        <x:f>ROUND(D164-F164,2)</x:f>
        <x:v>2769783.52</x:v>
      </x:c>
      <x:c r="I164" s="33" t="n">
        <x:f>IF(AND(ISNUMBER('Параметры'!$C$7),'Параметры'!$C$7&gt;=0),'Параметры'!$C$7*C164/365,NA())</x:f>
        <x:v>0.0061643835616438354</x:v>
      </x:c>
      <x:c r="J164" s="32" t="n">
        <x:f>J163/(1+I164)</x:f>
        <x:v>0.3741000456289884</x:v>
      </x:c>
      <x:c r="K164" s="33" t="n">
        <x:f>IF(AND(ISNUMBER('Параметры'!$C$8),'Параметры'!$C$8&gt;=0),'Параметры'!$C$8*C164/365,NA())</x:f>
        <x:v>0.0061643835616438354</x:v>
      </x:c>
      <x:c r="L164" s="32" t="n">
        <x:f>L163/(1+K164)</x:f>
        <x:v>0.3741000456289884</x:v>
      </x:c>
      <x:c r="M164" s="30" t="n">
        <x:f>E164*L164</x:f>
        <x:v>6407.851192565709</x:v>
      </x:c>
      <x:c r="N164" s="30" t="n">
        <x:f>F164*L164</x:f>
        <x:v>3319.947113934001</x:v>
      </x:c>
      <x:c r="O164" s="30" t="n">
        <x:f>G164*L164</x:f>
        <x:v>9727.798306499712</x:v>
      </x:c>
    </x:row>
    <x:row r="165" ht="21" customHeight="1">
      <x:c r="A165" s="28" t="n">
        <x:v>159</x:v>
      </x:c>
      <x:c r="B165" s="29" t="n">
        <x:v>49635</x:v>
      </x:c>
      <x:c r="C165" s="28" t="n">
        <x:f>B165-B164</x:f>
        <x:v>31</x:v>
      </x:c>
      <x:c r="D165" s="30" t="n">
        <x:f>H164</x:f>
        <x:v>2769783.52</x:v>
      </x:c>
      <x:c r="E165" s="30" t="n">
        <x:f>ROUND(D165*I165,2)</x:f>
        <x:v>17643.14</x:v>
      </x:c>
      <x:c r="F165" s="30" t="n">
        <x:f>IF(G165&gt;=E165,ROUND(G165-E165,2),NA())</x:f>
        <x:v>8360.06</x:v>
      </x:c>
      <x:c r="G165" s="30" t="n">
        <x:f>MIN('Параметры'!$C$14,ROUND(D165+E165,2))</x:f>
        <x:v>26003.2</x:v>
      </x:c>
      <x:c r="H165" s="30" t="n">
        <x:f>ROUND(D165-F165,2)</x:f>
        <x:v>2761423.46</x:v>
      </x:c>
      <x:c r="I165" s="33" t="n">
        <x:f>IF(AND(ISNUMBER('Параметры'!$C$7),'Параметры'!$C$7&gt;=0),'Параметры'!$C$7*C165/365,NA())</x:f>
        <x:v>0.00636986301369863</x:v>
      </x:c>
      <x:c r="J165" s="32" t="n">
        <x:f>J164/(1+I165)</x:f>
        <x:v>0.371732162674963</x:v>
      </x:c>
      <x:c r="K165" s="33" t="n">
        <x:f>IF(AND(ISNUMBER('Параметры'!$C$8),'Параметры'!$C$8&gt;=0),'Параметры'!$C$8*C165/365,NA())</x:f>
        <x:v>0.00636986301369863</x:v>
      </x:c>
      <x:c r="L165" s="32" t="n">
        <x:f>L164/(1+K165)</x:f>
        <x:v>0.371732162674963</x:v>
      </x:c>
      <x:c r="M165" s="30" t="n">
        <x:f>E165*L165</x:f>
        <x:v>6558.522588577147</x:v>
      </x:c>
      <x:c r="N165" s="30" t="n">
        <x:f>F165*L165</x:f>
        <x:v>3107.703183892451</x:v>
      </x:c>
      <x:c r="O165" s="30" t="n">
        <x:f>G165*L165</x:f>
        <x:v>9666.2257724696</x:v>
      </x:c>
    </x:row>
    <x:row r="166" ht="21" customHeight="1">
      <x:c r="A166" s="28" t="n">
        <x:v>160</x:v>
      </x:c>
      <x:c r="B166" s="29" t="n">
        <x:v>49665</x:v>
      </x:c>
      <x:c r="C166" s="28" t="n">
        <x:f>B166-B165</x:f>
        <x:v>30</x:v>
      </x:c>
      <x:c r="D166" s="30" t="n">
        <x:f>H165</x:f>
        <x:v>2761423.46</x:v>
      </x:c>
      <x:c r="E166" s="30" t="n">
        <x:f>ROUND(D166*I166,2)</x:f>
        <x:v>17022.47</x:v>
      </x:c>
      <x:c r="F166" s="30" t="n">
        <x:f>IF(G166&gt;=E166,ROUND(G166-E166,2),NA())</x:f>
        <x:v>8980.73</x:v>
      </x:c>
      <x:c r="G166" s="30" t="n">
        <x:f>MIN('Параметры'!$C$14,ROUND(D166+E166,2))</x:f>
        <x:v>26003.2</x:v>
      </x:c>
      <x:c r="H166" s="30" t="n">
        <x:f>ROUND(D166-F166,2)</x:f>
        <x:v>2752442.73</x:v>
      </x:c>
      <x:c r="I166" s="33" t="n">
        <x:f>IF(AND(ISNUMBER('Параметры'!$C$7),'Параметры'!$C$7&gt;=0),'Параметры'!$C$7*C166/365,NA())</x:f>
        <x:v>0.0061643835616438354</x:v>
      </x:c>
      <x:c r="J166" s="32" t="n">
        <x:f>J165/(1+I166)</x:f>
        <x:v>0.3694547021820599</x:v>
      </x:c>
      <x:c r="K166" s="33" t="n">
        <x:f>IF(AND(ISNUMBER('Параметры'!$C$8),'Параметры'!$C$8&gt;=0),'Параметры'!$C$8*C166/365,NA())</x:f>
        <x:v>0.0061643835616438354</x:v>
      </x:c>
      <x:c r="L166" s="32" t="n">
        <x:f>L165/(1+K166)</x:f>
        <x:v>0.3694547021820599</x:v>
      </x:c>
      <x:c r="M166" s="30" t="n">
        <x:f>E166*L166</x:f>
        <x:v>6289.03158425305</x:v>
      </x:c>
      <x:c r="N166" s="30" t="n">
        <x:f>F166*L166</x:f>
        <x:v>3317.9729275274904</x:v>
      </x:c>
      <x:c r="O166" s="30" t="n">
        <x:f>G166*L166</x:f>
        <x:v>9607.00451178054</x:v>
      </x:c>
    </x:row>
    <x:row r="167" ht="21" customHeight="1">
      <x:c r="A167" s="28" t="n">
        <x:v>161</x:v>
      </x:c>
      <x:c r="B167" s="29" t="n">
        <x:v>49696</x:v>
      </x:c>
      <x:c r="C167" s="28" t="n">
        <x:f>B167-B166</x:f>
        <x:v>31</x:v>
      </x:c>
      <x:c r="D167" s="30" t="n">
        <x:f>H166</x:f>
        <x:v>2752442.73</x:v>
      </x:c>
      <x:c r="E167" s="30" t="n">
        <x:f>ROUND(D167*I167,2)</x:f>
        <x:v>17532.68</x:v>
      </x:c>
      <x:c r="F167" s="30" t="n">
        <x:f>IF(G167&gt;=E167,ROUND(G167-E167,2),NA())</x:f>
        <x:v>8470.52</x:v>
      </x:c>
      <x:c r="G167" s="30" t="n">
        <x:f>MIN('Параметры'!$C$14,ROUND(D167+E167,2))</x:f>
        <x:v>26003.2</x:v>
      </x:c>
      <x:c r="H167" s="30" t="n">
        <x:f>ROUND(D167-F167,2)</x:f>
        <x:v>2743972.21</x:v>
      </x:c>
      <x:c r="I167" s="33" t="n">
        <x:f>IF(AND(ISNUMBER('Параметры'!$C$7),'Параметры'!$C$7&gt;=0),'Параметры'!$C$7*C167/365,NA())</x:f>
        <x:v>0.00636986301369863</x:v>
      </x:c>
      <x:c r="J167" s="32" t="n">
        <x:f>J166/(1+I167)</x:f>
        <x:v>0.36711622213694106</x:v>
      </x:c>
      <x:c r="K167" s="33" t="n">
        <x:f>IF(AND(ISNUMBER('Параметры'!$C$8),'Параметры'!$C$8&gt;=0),'Параметры'!$C$8*C167/365,NA())</x:f>
        <x:v>0.00636986301369863</x:v>
      </x:c>
      <x:c r="L167" s="32" t="n">
        <x:f>L166/(1+K167)</x:f>
        <x:v>0.36711622213694106</x:v>
      </x:c>
      <x:c r="M167" s="30" t="n">
        <x:f>E167*L167</x:f>
        <x:v>6436.5312455359035</x:v>
      </x:c>
      <x:c r="N167" s="30" t="n">
        <x:f>F167*L167</x:f>
        <x:v>3109.665301935402</x:v>
      </x:c>
      <x:c r="O167" s="30" t="n">
        <x:f>G167*L167</x:f>
        <x:v>9546.196547471307</x:v>
      </x:c>
    </x:row>
    <x:row r="168" ht="21" customHeight="1">
      <x:c r="A168" s="28" t="n">
        <x:v>162</x:v>
      </x:c>
      <x:c r="B168" s="29" t="n">
        <x:v>49727</x:v>
      </x:c>
      <x:c r="C168" s="28" t="n">
        <x:f>B168-B167</x:f>
        <x:v>31</x:v>
      </x:c>
      <x:c r="D168" s="30" t="n">
        <x:f>H167</x:f>
        <x:v>2743972.21</x:v>
      </x:c>
      <x:c r="E168" s="30" t="n">
        <x:f>ROUND(D168*I168,2)</x:f>
        <x:v>17478.73</x:v>
      </x:c>
      <x:c r="F168" s="30" t="n">
        <x:f>IF(G168&gt;=E168,ROUND(G168-E168,2),NA())</x:f>
        <x:v>8524.47</x:v>
      </x:c>
      <x:c r="G168" s="30" t="n">
        <x:f>MIN('Параметры'!$C$14,ROUND(D168+E168,2))</x:f>
        <x:v>26003.2</x:v>
      </x:c>
      <x:c r="H168" s="30" t="n">
        <x:f>ROUND(D168-F168,2)</x:f>
        <x:v>2735447.74</x:v>
      </x:c>
      <x:c r="I168" s="33" t="n">
        <x:f>IF(AND(ISNUMBER('Параметры'!$C$7),'Параметры'!$C$7&gt;=0),'Параметры'!$C$7*C168/365,NA())</x:f>
        <x:v>0.00636986301369863</x:v>
      </x:c>
      <x:c r="J168" s="32" t="n">
        <x:f>J167/(1+I168)</x:f>
        <x:v>0.36479254360575375</x:v>
      </x:c>
      <x:c r="K168" s="33" t="n">
        <x:f>IF(AND(ISNUMBER('Параметры'!$C$8),'Параметры'!$C$8&gt;=0),'Параметры'!$C$8*C168/365,NA())</x:f>
        <x:v>0.00636986301369863</x:v>
      </x:c>
      <x:c r="L168" s="32" t="n">
        <x:f>L167/(1+K168)</x:f>
        <x:v>0.36479254360575375</x:v>
      </x:c>
      <x:c r="M168" s="30" t="n">
        <x:f>E168*L168</x:f>
        <x:v>6376.110375698196</x:v>
      </x:c>
      <x:c r="N168" s="30" t="n">
        <x:f>F168*L168</x:f>
        <x:v>3109.6630941909393</x:v>
      </x:c>
      <x:c r="O168" s="30" t="n">
        <x:f>G168*L168</x:f>
        <x:v>9485.773469889136</x:v>
      </x:c>
    </x:row>
    <x:row r="169" ht="21" customHeight="1">
      <x:c r="A169" s="28" t="n">
        <x:v>163</x:v>
      </x:c>
      <x:c r="B169" s="29" t="n">
        <x:v>49756</x:v>
      </x:c>
      <x:c r="C169" s="28" t="n">
        <x:f>B169-B168</x:f>
        <x:v>29</x:v>
      </x:c>
      <x:c r="D169" s="30" t="n">
        <x:f>H168</x:f>
        <x:v>2735447.74</x:v>
      </x:c>
      <x:c r="E169" s="30" t="n">
        <x:f>ROUND(D169*I169,2)</x:f>
        <x:v>16300.27</x:v>
      </x:c>
      <x:c r="F169" s="30" t="n">
        <x:f>IF(G169&gt;=E169,ROUND(G169-E169,2),NA())</x:f>
        <x:v>9702.93</x:v>
      </x:c>
      <x:c r="G169" s="30" t="n">
        <x:f>MIN('Параметры'!$C$14,ROUND(D169+E169,2))</x:f>
        <x:v>26003.2</x:v>
      </x:c>
      <x:c r="H169" s="30" t="n">
        <x:f>ROUND(D169-F169,2)</x:f>
        <x:v>2725744.81</x:v>
      </x:c>
      <x:c r="I169" s="33" t="n">
        <x:f>IF(AND(ISNUMBER('Параметры'!$C$7),'Параметры'!$C$7&gt;=0),'Параметры'!$C$7*C169/365,NA())</x:f>
        <x:v>0.00595890410958904</x:v>
      </x:c>
      <x:c r="J169" s="32" t="n">
        <x:f>J168/(1+I169)</x:f>
        <x:v>0.36263165633853095</x:v>
      </x:c>
      <x:c r="K169" s="33" t="n">
        <x:f>IF(AND(ISNUMBER('Параметры'!$C$8),'Параметры'!$C$8&gt;=0),'Параметры'!$C$8*C169/365,NA())</x:f>
        <x:v>0.00595890410958904</x:v>
      </x:c>
      <x:c r="L169" s="32" t="n">
        <x:f>L168/(1+K169)</x:f>
        <x:v>0.36263165633853095</x:v>
      </x:c>
      <x:c r="M169" s="30" t="n">
        <x:f>E169*L169</x:f>
        <x:v>5910.993908865266</x:v>
      </x:c>
      <x:c r="N169" s="30" t="n">
        <x:f>F169*L169</x:f>
        <x:v>3518.589577236822</x:v>
      </x:c>
      <x:c r="O169" s="30" t="n">
        <x:f>G169*L169</x:f>
        <x:v>9429.583486102089</x:v>
      </x:c>
    </x:row>
    <x:row r="170" ht="21" customHeight="1">
      <x:c r="A170" s="28" t="n">
        <x:v>164</x:v>
      </x:c>
      <x:c r="B170" s="29" t="n">
        <x:v>49787</x:v>
      </x:c>
      <x:c r="C170" s="28" t="n">
        <x:f>B170-B169</x:f>
        <x:v>31</x:v>
      </x:c>
      <x:c r="D170" s="30" t="n">
        <x:f>H169</x:f>
        <x:v>2725744.81</x:v>
      </x:c>
      <x:c r="E170" s="30" t="n">
        <x:f>ROUND(D170*I170,2)</x:f>
        <x:v>17362.62</x:v>
      </x:c>
      <x:c r="F170" s="30" t="n">
        <x:f>IF(G170&gt;=E170,ROUND(G170-E170,2),NA())</x:f>
        <x:v>8640.58</x:v>
      </x:c>
      <x:c r="G170" s="30" t="n">
        <x:f>MIN('Параметры'!$C$14,ROUND(D170+E170,2))</x:f>
        <x:v>26003.2</x:v>
      </x:c>
      <x:c r="H170" s="30" t="n">
        <x:f>ROUND(D170-F170,2)</x:f>
        <x:v>2717104.23</x:v>
      </x:c>
      <x:c r="I170" s="33" t="n">
        <x:f>IF(AND(ISNUMBER('Параметры'!$C$7),'Параметры'!$C$7&gt;=0),'Параметры'!$C$7*C170/365,NA())</x:f>
        <x:v>0.00636986301369863</x:v>
      </x:c>
      <x:c r="J170" s="32" t="n">
        <x:f>J169/(1+I170)</x:f>
        <x:v>0.36033636306694017</x:v>
      </x:c>
      <x:c r="K170" s="33" t="n">
        <x:f>IF(AND(ISNUMBER('Параметры'!$C$8),'Параметры'!$C$8&gt;=0),'Параметры'!$C$8*C170/365,NA())</x:f>
        <x:v>0.00636986301369863</x:v>
      </x:c>
      <x:c r="L170" s="32" t="n">
        <x:f>L169/(1+K170)</x:f>
        <x:v>0.36033636306694017</x:v>
      </x:c>
      <x:c r="M170" s="30" t="n">
        <x:f>E170*L170</x:f>
        <x:v>6256.3833441133165</x:v>
      </x:c>
      <x:c r="N170" s="30" t="n">
        <x:f>F170*L170</x:f>
        <x:v>3113.515171988942</x:v>
      </x:c>
      <x:c r="O170" s="30" t="n">
        <x:f>G170*L170</x:f>
        <x:v>9369.89851610226</x:v>
      </x:c>
    </x:row>
    <x:row r="171" ht="21" customHeight="1">
      <x:c r="A171" s="28" t="n">
        <x:v>165</x:v>
      </x:c>
      <x:c r="B171" s="29" t="n">
        <x:v>49817</x:v>
      </x:c>
      <x:c r="C171" s="28" t="n">
        <x:f>B171-B170</x:f>
        <x:v>30</x:v>
      </x:c>
      <x:c r="D171" s="30" t="n">
        <x:f>H170</x:f>
        <x:v>2717104.23</x:v>
      </x:c>
      <x:c r="E171" s="30" t="n">
        <x:f>ROUND(D171*I171,2)</x:f>
        <x:v>16749.27</x:v>
      </x:c>
      <x:c r="F171" s="30" t="n">
        <x:f>IF(G171&gt;=E171,ROUND(G171-E171,2),NA())</x:f>
        <x:v>9253.93</x:v>
      </x:c>
      <x:c r="G171" s="30" t="n">
        <x:f>MIN('Параметры'!$C$14,ROUND(D171+E171,2))</x:f>
        <x:v>26003.2</x:v>
      </x:c>
      <x:c r="H171" s="30" t="n">
        <x:f>ROUND(D171-F171,2)</x:f>
        <x:v>2707850.3</x:v>
      </x:c>
      <x:c r="I171" s="33" t="n">
        <x:f>IF(AND(ISNUMBER('Параметры'!$C$7),'Параметры'!$C$7&gt;=0),'Параметры'!$C$7*C171/365,NA())</x:f>
        <x:v>0.0061643835616438354</x:v>
      </x:c>
      <x:c r="J171" s="32" t="n">
        <x:f>J170/(1+I171)</x:f>
        <x:v>0.3581287202707506</x:v>
      </x:c>
      <x:c r="K171" s="33" t="n">
        <x:f>IF(AND(ISNUMBER('Параметры'!$C$8),'Параметры'!$C$8&gt;=0),'Параметры'!$C$8*C171/365,NA())</x:f>
        <x:v>0.0061643835616438354</x:v>
      </x:c>
      <x:c r="L171" s="32" t="n">
        <x:f>L170/(1+K171)</x:f>
        <x:v>0.3581287202707506</x:v>
      </x:c>
      <x:c r="M171" s="30" t="n">
        <x:f>E171*L171</x:f>
        <x:v>5998.394630569275</x:v>
      </x:c>
      <x:c r="N171" s="30" t="n">
        <x:f>F171*L171</x:f>
        <x:v>3314.098108375107</x:v>
      </x:c>
      <x:c r="O171" s="30" t="n">
        <x:f>G171*L171</x:f>
        <x:v>9312.492738944382</x:v>
      </x:c>
    </x:row>
    <x:row r="172" ht="21" customHeight="1">
      <x:c r="A172" s="28" t="n">
        <x:v>166</x:v>
      </x:c>
      <x:c r="B172" s="29" t="n">
        <x:v>49848</x:v>
      </x:c>
      <x:c r="C172" s="28" t="n">
        <x:f>B172-B171</x:f>
        <x:v>31</x:v>
      </x:c>
      <x:c r="D172" s="30" t="n">
        <x:f>H171</x:f>
        <x:v>2707850.3</x:v>
      </x:c>
      <x:c r="E172" s="30" t="n">
        <x:f>ROUND(D172*I172,2)</x:f>
        <x:v>17248.64</x:v>
      </x:c>
      <x:c r="F172" s="30" t="n">
        <x:f>IF(G172&gt;=E172,ROUND(G172-E172,2),NA())</x:f>
        <x:v>8754.56</x:v>
      </x:c>
      <x:c r="G172" s="30" t="n">
        <x:f>MIN('Параметры'!$C$14,ROUND(D172+E172,2))</x:f>
        <x:v>26003.2</x:v>
      </x:c>
      <x:c r="H172" s="30" t="n">
        <x:f>ROUND(D172-F172,2)</x:f>
        <x:v>2699095.74</x:v>
      </x:c>
      <x:c r="I172" s="33" t="n">
        <x:f>IF(AND(ISNUMBER('Параметры'!$C$7),'Параметры'!$C$7&gt;=0),'Параметры'!$C$7*C172/365,NA())</x:f>
        <x:v>0.00636986301369863</x:v>
      </x:c>
      <x:c r="J172" s="32" t="n">
        <x:f>J171/(1+I172)</x:f>
        <x:v>0.3558619285341972</x:v>
      </x:c>
      <x:c r="K172" s="33" t="n">
        <x:f>IF(AND(ISNUMBER('Параметры'!$C$8),'Параметры'!$C$8&gt;=0),'Параметры'!$C$8*C172/365,NA())</x:f>
        <x:v>0.00636986301369863</x:v>
      </x:c>
      <x:c r="L172" s="32" t="n">
        <x:f>L171/(1+K172)</x:f>
        <x:v>0.3558619285341972</x:v>
      </x:c>
      <x:c r="M172" s="30" t="n">
        <x:f>E172*L172</x:f>
        <x:v>6138.1342949920945</x:v>
      </x:c>
      <x:c r="N172" s="30" t="n">
        <x:f>F172*L172</x:f>
        <x:v>3115.414605068341</x:v>
      </x:c>
      <x:c r="O172" s="30" t="n">
        <x:f>G172*L172</x:f>
        <x:v>9253.548900060436</x:v>
      </x:c>
    </x:row>
    <x:row r="173" ht="21" customHeight="1">
      <x:c r="A173" s="28" t="n">
        <x:v>167</x:v>
      </x:c>
      <x:c r="B173" s="29" t="n">
        <x:v>49878</x:v>
      </x:c>
      <x:c r="C173" s="28" t="n">
        <x:f>B173-B172</x:f>
        <x:v>30</x:v>
      </x:c>
      <x:c r="D173" s="30" t="n">
        <x:f>H172</x:f>
        <x:v>2699095.74</x:v>
      </x:c>
      <x:c r="E173" s="30" t="n">
        <x:f>ROUND(D173*I173,2)</x:f>
        <x:v>16638.26</x:v>
      </x:c>
      <x:c r="F173" s="30" t="n">
        <x:f>IF(G173&gt;=E173,ROUND(G173-E173,2),NA())</x:f>
        <x:v>9364.94</x:v>
      </x:c>
      <x:c r="G173" s="30" t="n">
        <x:f>MIN('Параметры'!$C$14,ROUND(D173+E173,2))</x:f>
        <x:v>26003.2</x:v>
      </x:c>
      <x:c r="H173" s="30" t="n">
        <x:f>ROUND(D173-F173,2)</x:f>
        <x:v>2689730.8</x:v>
      </x:c>
      <x:c r="I173" s="33" t="n">
        <x:f>IF(AND(ISNUMBER('Параметры'!$C$7),'Параметры'!$C$7&gt;=0),'Параметры'!$C$7*C173/365,NA())</x:f>
        <x:v>0.0061643835616438354</x:v>
      </x:c>
      <x:c r="J173" s="32" t="n">
        <x:f>J172/(1+I173)</x:f>
        <x:v>0.35368169888354517</x:v>
      </x:c>
      <x:c r="K173" s="33" t="n">
        <x:f>IF(AND(ISNUMBER('Параметры'!$C$8),'Параметры'!$C$8&gt;=0),'Параметры'!$C$8*C173/365,NA())</x:f>
        <x:v>0.0061643835616438354</x:v>
      </x:c>
      <x:c r="L173" s="32" t="n">
        <x:f>L172/(1+K173)</x:f>
        <x:v>0.35368169888354517</x:v>
      </x:c>
      <x:c r="M173" s="30" t="n">
        <x:f>E173*L173</x:f>
        <x:v>5884.648063266133</x:v>
      </x:c>
      <x:c r="N173" s="30" t="n">
        <x:f>F173*L173</x:f>
        <x:v>3312.2078891424676</x:v>
      </x:c>
      <x:c r="O173" s="30" t="n">
        <x:f>G173*L173</x:f>
        <x:v>9196.855952408601</x:v>
      </x:c>
    </x:row>
    <x:row r="174" ht="21" customHeight="1">
      <x:c r="A174" s="28" t="n">
        <x:v>168</x:v>
      </x:c>
      <x:c r="B174" s="29" t="n">
        <x:v>49909</x:v>
      </x:c>
      <x:c r="C174" s="28" t="n">
        <x:f>B174-B173</x:f>
        <x:v>31</x:v>
      </x:c>
      <x:c r="D174" s="30" t="n">
        <x:f>H173</x:f>
        <x:v>2689730.8</x:v>
      </x:c>
      <x:c r="E174" s="30" t="n">
        <x:f>ROUND(D174*I174,2)</x:f>
        <x:v>17133.22</x:v>
      </x:c>
      <x:c r="F174" s="30" t="n">
        <x:f>IF(G174&gt;=E174,ROUND(G174-E174,2),NA())</x:f>
        <x:v>8869.98</x:v>
      </x:c>
      <x:c r="G174" s="30" t="n">
        <x:f>MIN('Параметры'!$C$14,ROUND(D174+E174,2))</x:f>
        <x:v>26003.2</x:v>
      </x:c>
      <x:c r="H174" s="30" t="n">
        <x:f>ROUND(D174-F174,2)</x:f>
        <x:v>2680860.82</x:v>
      </x:c>
      <x:c r="I174" s="33" t="n">
        <x:f>IF(AND(ISNUMBER('Параметры'!$C$7),'Параметры'!$C$7&gt;=0),'Параметры'!$C$7*C174/365,NA())</x:f>
        <x:v>0.00636986301369863</x:v>
      </x:c>
      <x:c r="J174" s="32" t="n">
        <x:f>J173/(1+I174)</x:f>
        <x:v>0.35144305476756005</x:v>
      </x:c>
      <x:c r="K174" s="33" t="n">
        <x:f>IF(AND(ISNUMBER('Параметры'!$C$8),'Параметры'!$C$8&gt;=0),'Параметры'!$C$8*C174/365,NA())</x:f>
        <x:v>0.00636986301369863</x:v>
      </x:c>
      <x:c r="L174" s="32" t="n">
        <x:f>L173/(1+K174)</x:f>
        <x:v>0.35144305476756005</x:v>
      </x:c>
      <x:c r="M174" s="30" t="n">
        <x:f>E174*L174</x:f>
        <x:v>6021.351174804656</x:v>
      </x:c>
      <x:c r="N174" s="30" t="n">
        <x:f>F174*L174</x:f>
        <x:v>3117.2928669271623</x:v>
      </x:c>
      <x:c r="O174" s="30" t="n">
        <x:f>G174*L174</x:f>
        <x:v>9138.644041731817</x:v>
      </x:c>
    </x:row>
    <x:row r="175" ht="21" customHeight="1">
      <x:c r="A175" s="28" t="n">
        <x:v>169</x:v>
      </x:c>
      <x:c r="B175" s="29" t="n">
        <x:v>49940</x:v>
      </x:c>
      <x:c r="C175" s="28" t="n">
        <x:f>B175-B174</x:f>
        <x:v>31</x:v>
      </x:c>
      <x:c r="D175" s="30" t="n">
        <x:f>H174</x:f>
        <x:v>2680860.82</x:v>
      </x:c>
      <x:c r="E175" s="30" t="n">
        <x:f>ROUND(D175*I175,2)</x:f>
        <x:v>17076.72</x:v>
      </x:c>
      <x:c r="F175" s="30" t="n">
        <x:f>IF(G175&gt;=E175,ROUND(G175-E175,2),NA())</x:f>
        <x:v>8926.48</x:v>
      </x:c>
      <x:c r="G175" s="30" t="n">
        <x:f>MIN('Параметры'!$C$14,ROUND(D175+E175,2))</x:f>
        <x:v>26003.2</x:v>
      </x:c>
      <x:c r="H175" s="30" t="n">
        <x:f>ROUND(D175-F175,2)</x:f>
        <x:v>2671934.34</x:v>
      </x:c>
      <x:c r="I175" s="33" t="n">
        <x:f>IF(AND(ISNUMBER('Параметры'!$C$7),'Параметры'!$C$7&gt;=0),'Параметры'!$C$7*C175/365,NA())</x:f>
        <x:v>0.00636986301369863</x:v>
      </x:c>
      <x:c r="J175" s="32" t="n">
        <x:f>J174/(1+I175)</x:f>
        <x:v>0.34921858024953223</x:v>
      </x:c>
      <x:c r="K175" s="33" t="n">
        <x:f>IF(AND(ISNUMBER('Параметры'!$C$8),'Параметры'!$C$8&gt;=0),'Параметры'!$C$8*C175/365,NA())</x:f>
        <x:v>0.00636986301369863</x:v>
      </x:c>
      <x:c r="L175" s="32" t="n">
        <x:f>L174/(1+K175)</x:f>
        <x:v>0.34921858024953223</x:v>
      </x:c>
      <x:c r="M175" s="30" t="n">
        <x:f>E175*L175</x:f>
        <x:v>5963.507913718792</x:v>
      </x:c>
      <x:c r="N175" s="30" t="n">
        <x:f>F175*L175</x:f>
        <x:v>3117.2926722258444</x:v>
      </x:c>
      <x:c r="O175" s="30" t="n">
        <x:f>G175*L175</x:f>
        <x:v>9080.800585944637</x:v>
      </x:c>
    </x:row>
    <x:row r="176" ht="21" customHeight="1">
      <x:c r="A176" s="28" t="n">
        <x:v>170</x:v>
      </x:c>
      <x:c r="B176" s="29" t="n">
        <x:v>49970</x:v>
      </x:c>
      <x:c r="C176" s="28" t="n">
        <x:f>B176-B175</x:f>
        <x:v>30</x:v>
      </x:c>
      <x:c r="D176" s="30" t="n">
        <x:f>H175</x:f>
        <x:v>2671934.34</x:v>
      </x:c>
      <x:c r="E176" s="30" t="n">
        <x:f>ROUND(D176*I176,2)</x:f>
        <x:v>16470.83</x:v>
      </x:c>
      <x:c r="F176" s="30" t="n">
        <x:f>IF(G176&gt;=E176,ROUND(G176-E176,2),NA())</x:f>
        <x:v>9532.37</x:v>
      </x:c>
      <x:c r="G176" s="30" t="n">
        <x:f>MIN('Параметры'!$C$14,ROUND(D176+E176,2))</x:f>
        <x:v>26003.2</x:v>
      </x:c>
      <x:c r="H176" s="30" t="n">
        <x:f>ROUND(D176-F176,2)</x:f>
        <x:v>2662401.97</x:v>
      </x:c>
      <x:c r="I176" s="33" t="n">
        <x:f>IF(AND(ISNUMBER('Параметры'!$C$7),'Параметры'!$C$7&gt;=0),'Параметры'!$C$7*C176/365,NA())</x:f>
        <x:v>0.0061643835616438354</x:v>
      </x:c>
      <x:c r="J176" s="32" t="n">
        <x:f>J175/(1+I176)</x:f>
        <x:v>0.34707905184773113</x:v>
      </x:c>
      <x:c r="K176" s="33" t="n">
        <x:f>IF(AND(ISNUMBER('Параметры'!$C$8),'Параметры'!$C$8&gt;=0),'Параметры'!$C$8*C176/365,NA())</x:f>
        <x:v>0.0061643835616438354</x:v>
      </x:c>
      <x:c r="L176" s="32" t="n">
        <x:f>L175/(1+K176)</x:f>
        <x:v>0.34707905184773113</x:v>
      </x:c>
      <x:c r="M176" s="30" t="n">
        <x:f>E176*L176</x:f>
        <x:v>5716.680059545166</x:v>
      </x:c>
      <x:c r="N176" s="30" t="n">
        <x:f>F176*L176</x:f>
        <x:v>3308.485941461757</x:v>
      </x:c>
      <x:c r="O176" s="30" t="n">
        <x:f>G176*L176</x:f>
        <x:v>9025.166001006923</x:v>
      </x:c>
    </x:row>
    <x:row r="177" ht="21" customHeight="1">
      <x:c r="A177" s="28" t="n">
        <x:v>171</x:v>
      </x:c>
      <x:c r="B177" s="29" t="n">
        <x:v>50001</x:v>
      </x:c>
      <x:c r="C177" s="28" t="n">
        <x:f>B177-B176</x:f>
        <x:v>31</x:v>
      </x:c>
      <x:c r="D177" s="30" t="n">
        <x:f>H176</x:f>
        <x:v>2662401.97</x:v>
      </x:c>
      <x:c r="E177" s="30" t="n">
        <x:f>ROUND(D177*I177,2)</x:f>
        <x:v>16959.14</x:v>
      </x:c>
      <x:c r="F177" s="30" t="n">
        <x:f>IF(G177&gt;=E177,ROUND(G177-E177,2),NA())</x:f>
        <x:v>9044.06</x:v>
      </x:c>
      <x:c r="G177" s="30" t="n">
        <x:f>MIN('Параметры'!$C$14,ROUND(D177+E177,2))</x:f>
        <x:v>26003.2</x:v>
      </x:c>
      <x:c r="H177" s="30" t="n">
        <x:f>ROUND(D177-F177,2)</x:f>
        <x:v>2653357.91</x:v>
      </x:c>
      <x:c r="I177" s="33" t="n">
        <x:f>IF(AND(ISNUMBER('Параметры'!$C$7),'Параметры'!$C$7&gt;=0),'Параметры'!$C$7*C177/365,NA())</x:f>
        <x:v>0.00636986301369863</x:v>
      </x:c>
      <x:c r="J177" s="32" t="n">
        <x:f>J176/(1+I177)</x:f>
        <x:v>0.344882199481173</x:v>
      </x:c>
      <x:c r="K177" s="33" t="n">
        <x:f>IF(AND(ISNUMBER('Параметры'!$C$8),'Параметры'!$C$8&gt;=0),'Параметры'!$C$8*C177/365,NA())</x:f>
        <x:v>0.00636986301369863</x:v>
      </x:c>
      <x:c r="L177" s="32" t="n">
        <x:f>L176/(1+K177)</x:f>
        <x:v>0.344882199481173</x:v>
      </x:c>
      <x:c r="M177" s="30" t="n">
        <x:f>E177*L177</x:f>
        <x:v>5848.90550450914</x:v>
      </x:c>
      <x:c r="N177" s="30" t="n">
        <x:f>F177*L177</x:f>
        <x:v>3119.1353050396974</x:v>
      </x:c>
      <x:c r="O177" s="30" t="n">
        <x:f>G177*L177</x:f>
        <x:v>8968.040809548838</x:v>
      </x:c>
    </x:row>
    <x:row r="178" ht="21" customHeight="1">
      <x:c r="A178" s="28" t="n">
        <x:v>172</x:v>
      </x:c>
      <x:c r="B178" s="29" t="n">
        <x:v>50031</x:v>
      </x:c>
      <x:c r="C178" s="28" t="n">
        <x:f>B178-B177</x:f>
        <x:v>30</x:v>
      </x:c>
      <x:c r="D178" s="30" t="n">
        <x:f>H177</x:f>
        <x:v>2653357.91</x:v>
      </x:c>
      <x:c r="E178" s="30" t="n">
        <x:f>ROUND(D178*I178,2)</x:f>
        <x:v>16356.32</x:v>
      </x:c>
      <x:c r="F178" s="30" t="n">
        <x:f>IF(G178&gt;=E178,ROUND(G178-E178,2),NA())</x:f>
        <x:v>9646.88</x:v>
      </x:c>
      <x:c r="G178" s="30" t="n">
        <x:f>MIN('Параметры'!$C$14,ROUND(D178+E178,2))</x:f>
        <x:v>26003.2</x:v>
      </x:c>
      <x:c r="H178" s="30" t="n">
        <x:f>ROUND(D178-F178,2)</x:f>
        <x:v>2643711.03</x:v>
      </x:c>
      <x:c r="I178" s="33" t="n">
        <x:f>IF(AND(ISNUMBER('Параметры'!$C$7),'Параметры'!$C$7&gt;=0),'Параметры'!$C$7*C178/365,NA())</x:f>
        <x:v>0.0061643835616438354</x:v>
      </x:c>
      <x:c r="J178" s="32" t="n">
        <x:f>J177/(1+I178)</x:f>
        <x:v>0.34276923842240475</x:v>
      </x:c>
      <x:c r="K178" s="33" t="n">
        <x:f>IF(AND(ISNUMBER('Параметры'!$C$8),'Параметры'!$C$8&gt;=0),'Параметры'!$C$8*C178/365,NA())</x:f>
        <x:v>0.0061643835616438354</x:v>
      </x:c>
      <x:c r="L178" s="32" t="n">
        <x:f>L177/(1+K178)</x:f>
        <x:v>0.34276923842240475</x:v>
      </x:c>
      <x:c r="M178" s="30" t="n">
        <x:f>E178*L178</x:f>
        <x:v>5606.443349793147</x:v>
      </x:c>
      <x:c r="N178" s="30" t="n">
        <x:f>F178*L178</x:f>
        <x:v>3306.6537107523277</x:v>
      </x:c>
      <x:c r="O178" s="30" t="n">
        <x:f>G178*L178</x:f>
        <x:v>8913.097060545475</x:v>
      </x:c>
    </x:row>
    <x:row r="179" ht="21" customHeight="1">
      <x:c r="A179" s="28" t="n">
        <x:v>173</x:v>
      </x:c>
      <x:c r="B179" s="29" t="n">
        <x:v>50062</x:v>
      </x:c>
      <x:c r="C179" s="28" t="n">
        <x:f>B179-B178</x:f>
        <x:v>31</x:v>
      </x:c>
      <x:c r="D179" s="30" t="n">
        <x:f>H178</x:f>
        <x:v>2643711.03</x:v>
      </x:c>
      <x:c r="E179" s="30" t="n">
        <x:f>ROUND(D179*I179,2)</x:f>
        <x:v>16840.08</x:v>
      </x:c>
      <x:c r="F179" s="30" t="n">
        <x:f>IF(G179&gt;=E179,ROUND(G179-E179,2),NA())</x:f>
        <x:v>9163.12</x:v>
      </x:c>
      <x:c r="G179" s="30" t="n">
        <x:f>MIN('Параметры'!$C$14,ROUND(D179+E179,2))</x:f>
        <x:v>26003.2</x:v>
      </x:c>
      <x:c r="H179" s="30" t="n">
        <x:f>ROUND(D179-F179,2)</x:f>
        <x:v>2634547.91</x:v>
      </x:c>
      <x:c r="I179" s="33" t="n">
        <x:f>IF(AND(ISNUMBER('Параметры'!$C$7),'Параметры'!$C$7&gt;=0),'Параметры'!$C$7*C179/365,NA())</x:f>
        <x:v>0.00636986301369863</x:v>
      </x:c>
      <x:c r="J179" s="32" t="n">
        <x:f>J178/(1+I179)</x:f>
        <x:v>0.3405996652124896</x:v>
      </x:c>
      <x:c r="K179" s="33" t="n">
        <x:f>IF(AND(ISNUMBER('Параметры'!$C$8),'Параметры'!$C$8&gt;=0),'Параметры'!$C$8*C179/365,NA())</x:f>
        <x:v>0.00636986301369863</x:v>
      </x:c>
      <x:c r="L179" s="32" t="n">
        <x:f>L178/(1+K179)</x:f>
        <x:v>0.3405996652124896</x:v>
      </x:c>
      <x:c r="M179" s="30" t="n">
        <x:f>E179*L179</x:f>
        <x:v>5735.725610151542</x:v>
      </x:c>
      <x:c r="N179" s="30" t="n">
        <x:f>F179*L179</x:f>
        <x:v>3120.955604301868</x:v>
      </x:c>
      <x:c r="O179" s="30" t="n">
        <x:f>G179*L179</x:f>
        <x:v>8856.681214453409</x:v>
      </x:c>
    </x:row>
    <x:row r="180" ht="21" customHeight="1">
      <x:c r="A180" s="28" t="n">
        <x:v>174</x:v>
      </x:c>
      <x:c r="B180" s="29" t="n">
        <x:v>50093</x:v>
      </x:c>
      <x:c r="C180" s="28" t="n">
        <x:f>B180-B179</x:f>
        <x:v>31</x:v>
      </x:c>
      <x:c r="D180" s="30" t="n">
        <x:f>H179</x:f>
        <x:v>2634547.91</x:v>
      </x:c>
      <x:c r="E180" s="30" t="n">
        <x:f>ROUND(D180*I180,2)</x:f>
        <x:v>16781.71</x:v>
      </x:c>
      <x:c r="F180" s="30" t="n">
        <x:f>IF(G180&gt;=E180,ROUND(G180-E180,2),NA())</x:f>
        <x:v>9221.49</x:v>
      </x:c>
      <x:c r="G180" s="30" t="n">
        <x:f>MIN('Параметры'!$C$14,ROUND(D180+E180,2))</x:f>
        <x:v>26003.2</x:v>
      </x:c>
      <x:c r="H180" s="30" t="n">
        <x:f>ROUND(D180-F180,2)</x:f>
        <x:v>2625326.42</x:v>
      </x:c>
      <x:c r="I180" s="33" t="n">
        <x:f>IF(AND(ISNUMBER('Параметры'!$C$7),'Параметры'!$C$7&gt;=0),'Параметры'!$C$7*C180/365,NA())</x:f>
        <x:v>0.00636986301369863</x:v>
      </x:c>
      <x:c r="J180" s="32" t="n">
        <x:f>J179/(1+I180)</x:f>
        <x:v>0.3384438244131456</x:v>
      </x:c>
      <x:c r="K180" s="33" t="n">
        <x:f>IF(AND(ISNUMBER('Параметры'!$C$8),'Параметры'!$C$8&gt;=0),'Параметры'!$C$8*C180/365,NA())</x:f>
        <x:v>0.00636986301369863</x:v>
      </x:c>
      <x:c r="L180" s="32" t="n">
        <x:f>L179/(1+K180)</x:f>
        <x:v>0.3384438244131456</x:v>
      </x:c>
      <x:c r="M180" s="30" t="n">
        <x:f>E180*L180</x:f>
        <x:v>5679.666112592329</x:v>
      </x:c>
      <x:c r="N180" s="30" t="n">
        <x:f>F180*L180</x:f>
        <x:v>3120.956342387578</x:v>
      </x:c>
      <x:c r="O180" s="30" t="n">
        <x:f>G180*L180</x:f>
        <x:v>8800.622454979908</x:v>
      </x:c>
    </x:row>
    <x:row r="181" ht="21" customHeight="1">
      <x:c r="A181" s="28" t="n">
        <x:v>175</x:v>
      </x:c>
      <x:c r="B181" s="29" t="n">
        <x:v>50121</x:v>
      </x:c>
      <x:c r="C181" s="28" t="n">
        <x:f>B181-B180</x:f>
        <x:v>28</x:v>
      </x:c>
      <x:c r="D181" s="30" t="n">
        <x:f>H180</x:f>
        <x:v>2625326.42</x:v>
      </x:c>
      <x:c r="E181" s="30" t="n">
        <x:f>ROUND(D181*I181,2)</x:f>
        <x:v>15104.62</x:v>
      </x:c>
      <x:c r="F181" s="30" t="n">
        <x:f>IF(G181&gt;=E181,ROUND(G181-E181,2),NA())</x:f>
        <x:v>10898.58</x:v>
      </x:c>
      <x:c r="G181" s="30" t="n">
        <x:f>MIN('Параметры'!$C$14,ROUND(D181+E181,2))</x:f>
        <x:v>26003.2</x:v>
      </x:c>
      <x:c r="H181" s="30" t="n">
        <x:f>ROUND(D181-F181,2)</x:f>
        <x:v>2614427.84</x:v>
      </x:c>
      <x:c r="I181" s="33" t="n">
        <x:f>IF(AND(ISNUMBER('Параметры'!$C$7),'Параметры'!$C$7&gt;=0),'Параметры'!$C$7*C181/365,NA())</x:f>
        <x:v>0.005753424657534247</x:v>
      </x:c>
      <x:c r="J181" s="32" t="n">
        <x:f>J180/(1+I181)</x:f>
        <x:v>0.33650775241296144</x:v>
      </x:c>
      <x:c r="K181" s="33" t="n">
        <x:f>IF(AND(ISNUMBER('Параметры'!$C$8),'Параметры'!$C$8&gt;=0),'Параметры'!$C$8*C181/365,NA())</x:f>
        <x:v>0.005753424657534247</x:v>
      </x:c>
      <x:c r="L181" s="32" t="n">
        <x:f>L180/(1+K181)</x:f>
        <x:v>0.33650775241296144</x:v>
      </x:c>
      <x:c r="M181" s="30" t="n">
        <x:f>E181*L181</x:f>
        <x:v>5082.821727251866</x:v>
      </x:c>
      <x:c r="N181" s="30" t="n">
        <x:f>F181*L181</x:f>
        <x:v>3667.456660292853</x:v>
      </x:c>
      <x:c r="O181" s="30" t="n">
        <x:f>G181*L181</x:f>
        <x:v>8750.278387544718</x:v>
      </x:c>
    </x:row>
    <x:row r="182" ht="21" customHeight="1">
      <x:c r="A182" s="28" t="n">
        <x:v>176</x:v>
      </x:c>
      <x:c r="B182" s="29" t="n">
        <x:v>50152</x:v>
      </x:c>
      <x:c r="C182" s="28" t="n">
        <x:f>B182-B181</x:f>
        <x:v>31</x:v>
      </x:c>
      <x:c r="D182" s="30" t="n">
        <x:f>H181</x:f>
        <x:v>2614427.84</x:v>
      </x:c>
      <x:c r="E182" s="30" t="n">
        <x:f>ROUND(D182*I182,2)</x:f>
        <x:v>16653.55</x:v>
      </x:c>
      <x:c r="F182" s="30" t="n">
        <x:f>IF(G182&gt;=E182,ROUND(G182-E182,2),NA())</x:f>
        <x:v>9349.65</x:v>
      </x:c>
      <x:c r="G182" s="30" t="n">
        <x:f>MIN('Параметры'!$C$14,ROUND(D182+E182,2))</x:f>
        <x:v>26003.2</x:v>
      </x:c>
      <x:c r="H182" s="30" t="n">
        <x:f>ROUND(D182-F182,2)</x:f>
        <x:v>2605078.19</x:v>
      </x:c>
      <x:c r="I182" s="33" t="n">
        <x:f>IF(AND(ISNUMBER('Параметры'!$C$7),'Параметры'!$C$7&gt;=0),'Параметры'!$C$7*C182/365,NA())</x:f>
        <x:v>0.00636986301369863</x:v>
      </x:c>
      <x:c r="J182" s="32" t="n">
        <x:f>J181/(1+I182)</x:f>
        <x:v>0.33437781155851337</x:v>
      </x:c>
      <x:c r="K182" s="33" t="n">
        <x:f>IF(AND(ISNUMBER('Параметры'!$C$8),'Параметры'!$C$8&gt;=0),'Параметры'!$C$8*C182/365,NA())</x:f>
        <x:v>0.00636986301369863</x:v>
      </x:c>
      <x:c r="L182" s="32" t="n">
        <x:f>L181/(1+K182)</x:f>
        <x:v>0.33437781155851337</x:v>
      </x:c>
      <x:c r="M182" s="30" t="n">
        <x:f>E182*L182</x:f>
        <x:v>5568.57760368028</x:v>
      </x:c>
      <x:c r="N182" s="30" t="n">
        <x:f>F182*L182</x:f>
        <x:v>3126.3155058380544</x:v>
      </x:c>
      <x:c r="O182" s="30" t="n">
        <x:f>G182*L182</x:f>
        <x:v>8694.893109518334</x:v>
      </x:c>
    </x:row>
    <x:row r="183" ht="21" customHeight="1">
      <x:c r="A183" s="28" t="n">
        <x:v>177</x:v>
      </x:c>
      <x:c r="B183" s="29" t="n">
        <x:v>50182</x:v>
      </x:c>
      <x:c r="C183" s="28" t="n">
        <x:f>B183-B182</x:f>
        <x:v>30</x:v>
      </x:c>
      <x:c r="D183" s="30" t="n">
        <x:f>H182</x:f>
        <x:v>2605078.19</x:v>
      </x:c>
      <x:c r="E183" s="30" t="n">
        <x:f>ROUND(D183*I183,2)</x:f>
        <x:v>16058.7</x:v>
      </x:c>
      <x:c r="F183" s="30" t="n">
        <x:f>IF(G183&gt;=E183,ROUND(G183-E183,2),NA())</x:f>
        <x:v>9944.5</x:v>
      </x:c>
      <x:c r="G183" s="30" t="n">
        <x:f>MIN('Параметры'!$C$14,ROUND(D183+E183,2))</x:f>
        <x:v>26003.2</x:v>
      </x:c>
      <x:c r="H183" s="30" t="n">
        <x:f>ROUND(D183-F183,2)</x:f>
        <x:v>2595133.69</x:v>
      </x:c>
      <x:c r="I183" s="33" t="n">
        <x:f>IF(AND(ISNUMBER('Параметры'!$C$7),'Параметры'!$C$7&gt;=0),'Параметры'!$C$7*C183/365,NA())</x:f>
        <x:v>0.0061643835616438354</x:v>
      </x:c>
      <x:c r="J183" s="32" t="n">
        <x:f>J182/(1+I183)</x:f>
        <x:v>0.3323292068586995</x:v>
      </x:c>
      <x:c r="K183" s="33" t="n">
        <x:f>IF(AND(ISNUMBER('Параметры'!$C$8),'Параметры'!$C$8&gt;=0),'Параметры'!$C$8*C183/365,NA())</x:f>
        <x:v>0.0061643835616438354</x:v>
      </x:c>
      <x:c r="L183" s="32" t="n">
        <x:f>L182/(1+K183)</x:f>
        <x:v>0.3323292068586995</x:v>
      </x:c>
      <x:c r="M183" s="30" t="n">
        <x:f>E183*L183</x:f>
        <x:v>5336.775034181797</x:v>
      </x:c>
      <x:c r="N183" s="30" t="n">
        <x:f>F183*L183</x:f>
        <x:v>3304.8477976063373</x:v>
      </x:c>
      <x:c r="O183" s="30" t="n">
        <x:f>G183*L183</x:f>
        <x:v>8641.622831788134</x:v>
      </x:c>
    </x:row>
    <x:row r="184" ht="21" customHeight="1">
      <x:c r="A184" s="28" t="n">
        <x:v>178</x:v>
      </x:c>
      <x:c r="B184" s="29" t="n">
        <x:v>50213</x:v>
      </x:c>
      <x:c r="C184" s="28" t="n">
        <x:f>B184-B183</x:f>
        <x:v>31</x:v>
      </x:c>
      <x:c r="D184" s="30" t="n">
        <x:f>H183</x:f>
        <x:v>2595133.69</x:v>
      </x:c>
      <x:c r="E184" s="30" t="n">
        <x:f>ROUND(D184*I184,2)</x:f>
        <x:v>16530.65</x:v>
      </x:c>
      <x:c r="F184" s="30" t="n">
        <x:f>IF(G184&gt;=E184,ROUND(G184-E184,2),NA())</x:f>
        <x:v>9472.55</x:v>
      </x:c>
      <x:c r="G184" s="30" t="n">
        <x:f>MIN('Параметры'!$C$14,ROUND(D184+E184,2))</x:f>
        <x:v>26003.2</x:v>
      </x:c>
      <x:c r="H184" s="30" t="n">
        <x:f>ROUND(D184-F184,2)</x:f>
        <x:v>2585661.14</x:v>
      </x:c>
      <x:c r="I184" s="33" t="n">
        <x:f>IF(AND(ISNUMBER('Параметры'!$C$7),'Параметры'!$C$7&gt;=0),'Параметры'!$C$7*C184/365,NA())</x:f>
        <x:v>0.00636986301369863</x:v>
      </x:c>
      <x:c r="J184" s="32" t="n">
        <x:f>J183/(1+I184)</x:f>
        <x:v>0.33022571429503933</x:v>
      </x:c>
      <x:c r="K184" s="33" t="n">
        <x:f>IF(AND(ISNUMBER('Параметры'!$C$8),'Параметры'!$C$8&gt;=0),'Параметры'!$C$8*C184/365,NA())</x:f>
        <x:v>0.00636986301369863</x:v>
      </x:c>
      <x:c r="L184" s="32" t="n">
        <x:f>L183/(1+K184)</x:f>
        <x:v>0.33022571429503933</x:v>
      </x:c>
      <x:c r="M184" s="30" t="n">
        <x:f>E184*L184</x:f>
        <x:v>5458.845704011293</x:v>
      </x:c>
      <x:c r="N184" s="30" t="n">
        <x:f>F184*L184</x:f>
        <x:v>3128.0795899454747</x:v>
      </x:c>
      <x:c r="O184" s="30" t="n">
        <x:f>G184*L184</x:f>
        <x:v>8586.925293956767</x:v>
      </x:c>
    </x:row>
    <x:row r="185" ht="21" customHeight="1">
      <x:c r="A185" s="28" t="n">
        <x:v>179</x:v>
      </x:c>
      <x:c r="B185" s="29" t="n">
        <x:v>50243</x:v>
      </x:c>
      <x:c r="C185" s="28" t="n">
        <x:f>B185-B184</x:f>
        <x:v>30</x:v>
      </x:c>
      <x:c r="D185" s="30" t="n">
        <x:f>H184</x:f>
        <x:v>2585661.14</x:v>
      </x:c>
      <x:c r="E185" s="30" t="n">
        <x:f>ROUND(D185*I185,2)</x:f>
        <x:v>15939.01</x:v>
      </x:c>
      <x:c r="F185" s="30" t="n">
        <x:f>IF(G185&gt;=E185,ROUND(G185-E185,2),NA())</x:f>
        <x:v>10064.19</x:v>
      </x:c>
      <x:c r="G185" s="30" t="n">
        <x:f>MIN('Параметры'!$C$14,ROUND(D185+E185,2))</x:f>
        <x:v>26003.2</x:v>
      </x:c>
      <x:c r="H185" s="30" t="n">
        <x:f>ROUND(D185-F185,2)</x:f>
        <x:v>2575596.95</x:v>
      </x:c>
      <x:c r="I185" s="33" t="n">
        <x:f>IF(AND(ISNUMBER('Параметры'!$C$7),'Параметры'!$C$7&gt;=0),'Параметры'!$C$7*C185/365,NA())</x:f>
        <x:v>0.0061643835616438354</x:v>
      </x:c>
      <x:c r="J185" s="32" t="n">
        <x:f>J184/(1+I185)</x:f>
        <x:v>0.3282025479038512</x:v>
      </x:c>
      <x:c r="K185" s="33" t="n">
        <x:f>IF(AND(ISNUMBER('Параметры'!$C$8),'Параметры'!$C$8&gt;=0),'Параметры'!$C$8*C185/365,NA())</x:f>
        <x:v>0.0061643835616438354</x:v>
      </x:c>
      <x:c r="L185" s="32" t="n">
        <x:f>L184/(1+K185)</x:f>
        <x:v>0.3282025479038512</x:v>
      </x:c>
      <x:c r="M185" s="30" t="n">
        <x:f>E185*L185</x:f>
        <x:v>5231.223693064964</x:v>
      </x:c>
      <x:c r="N185" s="30" t="n">
        <x:f>F185*L185</x:f>
        <x:v>3303.0928005884607</x:v>
      </x:c>
      <x:c r="O185" s="30" t="n">
        <x:f>G185*L185</x:f>
        <x:v>8534.316493653425</x:v>
      </x:c>
    </x:row>
    <x:row r="186" ht="21" customHeight="1">
      <x:c r="A186" s="28" t="n">
        <x:v>180</x:v>
      </x:c>
      <x:c r="B186" s="29" t="n">
        <x:v>50274</x:v>
      </x:c>
      <x:c r="C186" s="28" t="n">
        <x:f>B186-B185</x:f>
        <x:v>31</x:v>
      </x:c>
      <x:c r="D186" s="30" t="n">
        <x:f>H185</x:f>
        <x:v>2575596.95</x:v>
      </x:c>
      <x:c r="E186" s="30" t="n">
        <x:f>ROUND(D186*I186,2)</x:f>
        <x:v>16406.2</x:v>
      </x:c>
      <x:c r="F186" s="30" t="n">
        <x:f>IF(G186&gt;=E186,ROUND(G186-E186,2),NA())</x:f>
        <x:v>9597</x:v>
      </x:c>
      <x:c r="G186" s="30" t="n">
        <x:f>MIN('Параметры'!$C$14,ROUND(D186+E186,2))</x:f>
        <x:v>26003.2</x:v>
      </x:c>
      <x:c r="H186" s="30" t="n">
        <x:f>ROUND(D186-F186,2)</x:f>
        <x:v>2565999.95</x:v>
      </x:c>
      <x:c r="I186" s="33" t="n">
        <x:f>IF(AND(ISNUMBER('Параметры'!$C$7),'Параметры'!$C$7&gt;=0),'Параметры'!$C$7*C186/365,NA())</x:f>
        <x:v>0.00636986301369863</x:v>
      </x:c>
      <x:c r="J186" s="32" t="n">
        <x:f>J185/(1+I186)</x:f>
        <x:v>0.3261251752124296</x:v>
      </x:c>
      <x:c r="K186" s="33" t="n">
        <x:f>IF(AND(ISNUMBER('Параметры'!$C$8),'Параметры'!$C$8&gt;=0),'Параметры'!$C$8*C186/365,NA())</x:f>
        <x:v>0.00636986301369863</x:v>
      </x:c>
      <x:c r="L186" s="32" t="n">
        <x:f>L185/(1+K186)</x:f>
        <x:v>0.3261251752124296</x:v>
      </x:c>
      <x:c r="M186" s="30" t="n">
        <x:f>E186*L186</x:f>
        <x:v>5350.474849570163</x:v>
      </x:c>
      <x:c r="N186" s="30" t="n">
        <x:f>F186*L186</x:f>
        <x:v>3129.823306513687</x:v>
      </x:c>
      <x:c r="O186" s="30" t="n">
        <x:f>G186*L186</x:f>
        <x:v>8480.29815608385</x:v>
      </x:c>
    </x:row>
    <x:row r="187" ht="21" customHeight="1">
      <x:c r="A187" s="28" t="n">
        <x:v>181</x:v>
      </x:c>
      <x:c r="B187" s="29" t="n">
        <x:v>50305</x:v>
      </x:c>
      <x:c r="C187" s="28" t="n">
        <x:f>B187-B186</x:f>
        <x:v>31</x:v>
      </x:c>
      <x:c r="D187" s="30" t="n">
        <x:f>H186</x:f>
        <x:v>2565999.95</x:v>
      </x:c>
      <x:c r="E187" s="30" t="n">
        <x:f>ROUND(D187*I187,2)</x:f>
        <x:v>16345.07</x:v>
      </x:c>
      <x:c r="F187" s="30" t="n">
        <x:f>IF(G187&gt;=E187,ROUND(G187-E187,2),NA())</x:f>
        <x:v>9658.13</x:v>
      </x:c>
      <x:c r="G187" s="30" t="n">
        <x:f>MIN('Параметры'!$C$14,ROUND(D187+E187,2))</x:f>
        <x:v>26003.2</x:v>
      </x:c>
      <x:c r="H187" s="30" t="n">
        <x:f>ROUND(D187-F187,2)</x:f>
        <x:v>2556341.82</x:v>
      </x:c>
      <x:c r="I187" s="33" t="n">
        <x:f>IF(AND(ISNUMBER('Параметры'!$C$7),'Параметры'!$C$7&gt;=0),'Параметры'!$C$7*C187/365,NA())</x:f>
        <x:v>0.00636986301369863</x:v>
      </x:c>
      <x:c r="J187" s="32" t="n">
        <x:f>J186/(1+I187)</x:f>
        <x:v>0.3240609513442777</x:v>
      </x:c>
      <x:c r="K187" s="33" t="n">
        <x:f>IF(AND(ISNUMBER('Параметры'!$C$8),'Параметры'!$C$8&gt;=0),'Параметры'!$C$8*C187/365,NA())</x:f>
        <x:v>0.00636986301369863</x:v>
      </x:c>
      <x:c r="L187" s="32" t="n">
        <x:f>L186/(1+K187)</x:f>
        <x:v>0.3240609513442777</x:v>
      </x:c>
      <x:c r="M187" s="30" t="n">
        <x:f>E187*L187</x:f>
        <x:v>5296.798933988813</x:v>
      </x:c>
      <x:c r="N187" s="30" t="n">
        <x:f>F187*L187</x:f>
        <x:v>3129.8227960067084</x:v>
      </x:c>
      <x:c r="O187" s="30" t="n">
        <x:f>G187*L187</x:f>
        <x:v>8426.621729995522</x:v>
      </x:c>
    </x:row>
    <x:row r="188" ht="21" customHeight="1">
      <x:c r="A188" s="28" t="n">
        <x:v>182</x:v>
      </x:c>
      <x:c r="B188" s="29" t="n">
        <x:v>50335</x:v>
      </x:c>
      <x:c r="C188" s="28" t="n">
        <x:f>B188-B187</x:f>
        <x:v>30</x:v>
      </x:c>
      <x:c r="D188" s="30" t="n">
        <x:f>H187</x:f>
        <x:v>2556341.82</x:v>
      </x:c>
      <x:c r="E188" s="30" t="n">
        <x:f>ROUND(D188*I188,2)</x:f>
        <x:v>15758.27</x:v>
      </x:c>
      <x:c r="F188" s="30" t="n">
        <x:f>IF(G188&gt;=E188,ROUND(G188-E188,2),NA())</x:f>
        <x:v>10244.93</x:v>
      </x:c>
      <x:c r="G188" s="30" t="n">
        <x:f>MIN('Параметры'!$C$14,ROUND(D188+E188,2))</x:f>
        <x:v>26003.2</x:v>
      </x:c>
      <x:c r="H188" s="30" t="n">
        <x:f>ROUND(D188-F188,2)</x:f>
        <x:v>2546096.89</x:v>
      </x:c>
      <x:c r="I188" s="33" t="n">
        <x:f>IF(AND(ISNUMBER('Параметры'!$C$7),'Параметры'!$C$7&gt;=0),'Параметры'!$C$7*C188/365,NA())</x:f>
        <x:v>0.0061643835616438354</x:v>
      </x:c>
      <x:c r="J188" s="32" t="n">
        <x:f>J187/(1+I188)</x:f>
        <x:v>0.32207555409301936</x:v>
      </x:c>
      <x:c r="K188" s="33" t="n">
        <x:f>IF(AND(ISNUMBER('Параметры'!$C$8),'Параметры'!$C$8&gt;=0),'Параметры'!$C$8*C188/365,NA())</x:f>
        <x:v>0.0061643835616438354</x:v>
      </x:c>
      <x:c r="L188" s="32" t="n">
        <x:f>L187/(1+K188)</x:f>
        <x:v>0.32207555409301936</x:v>
      </x:c>
      <x:c r="M188" s="30" t="n">
        <x:f>E188*L188</x:f>
        <x:v>5075.353541797404</x:v>
      </x:c>
      <x:c r="N188" s="30" t="n">
        <x:f>F188*L188</x:f>
        <x:v>3299.6415063941968</x:v>
      </x:c>
      <x:c r="O188" s="30" t="n">
        <x:f>G188*L188</x:f>
        <x:v>8374.9950481916</x:v>
      </x:c>
    </x:row>
    <x:row r="189" ht="21" customHeight="1">
      <x:c r="A189" s="28" t="n">
        <x:v>183</x:v>
      </x:c>
      <x:c r="B189" s="29" t="n">
        <x:v>50366</x:v>
      </x:c>
      <x:c r="C189" s="28" t="n">
        <x:f>B189-B188</x:f>
        <x:v>31</x:v>
      </x:c>
      <x:c r="D189" s="30" t="n">
        <x:f>H188</x:f>
        <x:v>2546096.89</x:v>
      </x:c>
      <x:c r="E189" s="30" t="n">
        <x:f>ROUND(D189*I189,2)</x:f>
        <x:v>16218.29</x:v>
      </x:c>
      <x:c r="F189" s="30" t="n">
        <x:f>IF(G189&gt;=E189,ROUND(G189-E189,2),NA())</x:f>
        <x:v>9784.91</x:v>
      </x:c>
      <x:c r="G189" s="30" t="n">
        <x:f>MIN('Параметры'!$C$14,ROUND(D189+E189,2))</x:f>
        <x:v>26003.2</x:v>
      </x:c>
      <x:c r="H189" s="30" t="n">
        <x:f>ROUND(D189-F189,2)</x:f>
        <x:v>2536311.98</x:v>
      </x:c>
      <x:c r="I189" s="33" t="n">
        <x:f>IF(AND(ISNUMBER('Параметры'!$C$7),'Параметры'!$C$7&gt;=0),'Параметры'!$C$7*C189/365,NA())</x:f>
        <x:v>0.00636986301369863</x:v>
      </x:c>
      <x:c r="J189" s="32" t="n">
        <x:f>J188/(1+I189)</x:f>
        <x:v>0.3200369624826845</x:v>
      </x:c>
      <x:c r="K189" s="33" t="n">
        <x:f>IF(AND(ISNUMBER('Параметры'!$C$8),'Параметры'!$C$8&gt;=0),'Параметры'!$C$8*C189/365,NA())</x:f>
        <x:v>0.00636986301369863</x:v>
      </x:c>
      <x:c r="L189" s="32" t="n">
        <x:f>L188/(1+K189)</x:f>
        <x:v>0.3200369624826845</x:v>
      </x:c>
      <x:c r="M189" s="30" t="n">
        <x:f>E189*L189</x:f>
        <x:v>5190.452268263297</x:v>
      </x:c>
      <x:c r="N189" s="30" t="n">
        <x:f>F189*L189</x:f>
        <x:v>3131.532874566444</x:v>
      </x:c>
      <x:c r="O189" s="30" t="n">
        <x:f>G189*L189</x:f>
        <x:v>8321.98514282974</x:v>
      </x:c>
    </x:row>
    <x:row r="190" ht="21" customHeight="1">
      <x:c r="A190" s="28" t="n">
        <x:v>184</x:v>
      </x:c>
      <x:c r="B190" s="29" t="n">
        <x:v>50396</x:v>
      </x:c>
      <x:c r="C190" s="28" t="n">
        <x:f>B190-B189</x:f>
        <x:v>30</x:v>
      </x:c>
      <x:c r="D190" s="30" t="n">
        <x:f>H189</x:f>
        <x:v>2536311.98</x:v>
      </x:c>
      <x:c r="E190" s="30" t="n">
        <x:f>ROUND(D190*I190,2)</x:f>
        <x:v>15634.8</x:v>
      </x:c>
      <x:c r="F190" s="30" t="n">
        <x:f>IF(G190&gt;=E190,ROUND(G190-E190,2),NA())</x:f>
        <x:v>10368.4</x:v>
      </x:c>
      <x:c r="G190" s="30" t="n">
        <x:f>MIN('Параметры'!$C$14,ROUND(D190+E190,2))</x:f>
        <x:v>26003.2</x:v>
      </x:c>
      <x:c r="H190" s="30" t="n">
        <x:f>ROUND(D190-F190,2)</x:f>
        <x:v>2525943.58</x:v>
      </x:c>
      <x:c r="I190" s="33" t="n">
        <x:f>IF(AND(ISNUMBER('Параметры'!$C$7),'Параметры'!$C$7&gt;=0),'Параметры'!$C$7*C190/365,NA())</x:f>
        <x:v>0.0061643835616438354</x:v>
      </x:c>
      <x:c r="J190" s="32" t="n">
        <x:f>J189/(1+I190)</x:f>
        <x:v>0.3180762186689716</x:v>
      </x:c>
      <x:c r="K190" s="33" t="n">
        <x:f>IF(AND(ISNUMBER('Параметры'!$C$8),'Параметры'!$C$8&gt;=0),'Параметры'!$C$8*C190/365,NA())</x:f>
        <x:v>0.0061643835616438354</x:v>
      </x:c>
      <x:c r="L190" s="32" t="n">
        <x:f>L189/(1+K190)</x:f>
        <x:v>0.3180762186689716</x:v>
      </x:c>
      <x:c r="M190" s="30" t="n">
        <x:f>E190*L190</x:f>
        <x:v>4973.058063645637</x:v>
      </x:c>
      <x:c r="N190" s="30" t="n">
        <x:f>F190*L190</x:f>
        <x:v>3297.9414656473655</x:v>
      </x:c>
      <x:c r="O190" s="30" t="n">
        <x:f>G190*L190</x:f>
        <x:v>8270.999529293003</x:v>
      </x:c>
    </x:row>
    <x:row r="191" ht="21" customHeight="1">
      <x:c r="A191" s="28" t="n">
        <x:v>185</x:v>
      </x:c>
      <x:c r="B191" s="29" t="n">
        <x:v>50427</x:v>
      </x:c>
      <x:c r="C191" s="28" t="n">
        <x:f>B191-B190</x:f>
        <x:v>31</x:v>
      </x:c>
      <x:c r="D191" s="30" t="n">
        <x:f>H190</x:f>
        <x:v>2525943.58</x:v>
      </x:c>
      <x:c r="E191" s="30" t="n">
        <x:f>ROUND(D191*I191,2)</x:f>
        <x:v>16089.91</x:v>
      </x:c>
      <x:c r="F191" s="30" t="n">
        <x:f>IF(G191&gt;=E191,ROUND(G191-E191,2),NA())</x:f>
        <x:v>9913.29</x:v>
      </x:c>
      <x:c r="G191" s="30" t="n">
        <x:f>MIN('Параметры'!$C$14,ROUND(D191+E191,2))</x:f>
        <x:v>26003.2</x:v>
      </x:c>
      <x:c r="H191" s="30" t="n">
        <x:f>ROUND(D191-F191,2)</x:f>
        <x:v>2516030.29</x:v>
      </x:c>
      <x:c r="I191" s="33" t="n">
        <x:f>IF(AND(ISNUMBER('Параметры'!$C$7),'Параметры'!$C$7&gt;=0),'Параметры'!$C$7*C191/365,NA())</x:f>
        <x:v>0.00636986301369863</x:v>
      </x:c>
      <x:c r="J191" s="32" t="n">
        <x:f>J190/(1+I191)</x:f>
        <x:v>0.3160629410308981</x:v>
      </x:c>
      <x:c r="K191" s="33" t="n">
        <x:f>IF(AND(ISNUMBER('Параметры'!$C$8),'Параметры'!$C$8&gt;=0),'Параметры'!$C$8*C191/365,NA())</x:f>
        <x:v>0.00636986301369863</x:v>
      </x:c>
      <x:c r="L191" s="32" t="n">
        <x:f>L190/(1+K191)</x:f>
        <x:v>0.3160629410308981</x:v>
      </x:c>
      <x:c r="M191" s="30" t="n">
        <x:f>E191*L191</x:f>
        <x:v>5085.424275522458</x:v>
      </x:c>
      <x:c r="N191" s="30" t="n">
        <x:f>F191*L191</x:f>
        <x:v>3133.223592692192</x:v>
      </x:c>
      <x:c r="O191" s="30" t="n">
        <x:f>G191*L191</x:f>
        <x:v>8218.64786821465</x:v>
      </x:c>
    </x:row>
    <x:row r="192" ht="21" customHeight="1">
      <x:c r="A192" s="28" t="n">
        <x:v>186</x:v>
      </x:c>
      <x:c r="B192" s="29" t="n">
        <x:v>50458</x:v>
      </x:c>
      <x:c r="C192" s="28" t="n">
        <x:f>B192-B191</x:f>
        <x:v>31</x:v>
      </x:c>
      <x:c r="D192" s="30" t="n">
        <x:f>H191</x:f>
        <x:v>2516030.29</x:v>
      </x:c>
      <x:c r="E192" s="30" t="n">
        <x:f>ROUND(D192*I192,2)</x:f>
        <x:v>16026.77</x:v>
      </x:c>
      <x:c r="F192" s="30" t="n">
        <x:f>IF(G192&gt;=E192,ROUND(G192-E192,2),NA())</x:f>
        <x:v>9976.43</x:v>
      </x:c>
      <x:c r="G192" s="30" t="n">
        <x:f>MIN('Параметры'!$C$14,ROUND(D192+E192,2))</x:f>
        <x:v>26003.2</x:v>
      </x:c>
      <x:c r="H192" s="30" t="n">
        <x:f>ROUND(D192-F192,2)</x:f>
        <x:v>2506053.86</x:v>
      </x:c>
      <x:c r="I192" s="33" t="n">
        <x:f>IF(AND(ISNUMBER('Параметры'!$C$7),'Параметры'!$C$7&gt;=0),'Параметры'!$C$7*C192/365,NA())</x:f>
        <x:v>0.00636986301369863</x:v>
      </x:c>
      <x:c r="J192" s="32" t="n">
        <x:f>J191/(1+I192)</x:f>
        <x:v>0.3140624065235903</x:v>
      </x:c>
      <x:c r="K192" s="33" t="n">
        <x:f>IF(AND(ISNUMBER('Параметры'!$C$8),'Параметры'!$C$8&gt;=0),'Параметры'!$C$8*C192/365,NA())</x:f>
        <x:v>0.00636986301369863</x:v>
      </x:c>
      <x:c r="L192" s="32" t="n">
        <x:f>L191/(1+K192)</x:f>
        <x:v>0.3140624065235903</x:v>
      </x:c>
      <x:c r="M192" s="30" t="n">
        <x:f>E192*L192</x:f>
        <x:v>5033.405955000081</x:v>
      </x:c>
      <x:c r="N192" s="30" t="n">
        <x:f>F192*L192</x:f>
        <x:v>3133.2216143141422</x:v>
      </x:c>
      <x:c r="O192" s="30" t="n">
        <x:f>G192*L192</x:f>
        <x:v>8166.627569314223</x:v>
      </x:c>
    </x:row>
    <x:row r="193" ht="21" customHeight="1">
      <x:c r="A193" s="28" t="n">
        <x:v>187</x:v>
      </x:c>
      <x:c r="B193" s="29" t="n">
        <x:v>50486</x:v>
      </x:c>
      <x:c r="C193" s="28" t="n">
        <x:f>B193-B192</x:f>
        <x:v>28</x:v>
      </x:c>
      <x:c r="D193" s="30" t="n">
        <x:f>H192</x:f>
        <x:v>2506053.86</x:v>
      </x:c>
      <x:c r="E193" s="30" t="n">
        <x:f>ROUND(D193*I193,2)</x:f>
        <x:v>14418.39</x:v>
      </x:c>
      <x:c r="F193" s="30" t="n">
        <x:f>IF(G193&gt;=E193,ROUND(G193-E193,2),NA())</x:f>
        <x:v>11584.81</x:v>
      </x:c>
      <x:c r="G193" s="30" t="n">
        <x:f>MIN('Параметры'!$C$14,ROUND(D193+E193,2))</x:f>
        <x:v>26003.2</x:v>
      </x:c>
      <x:c r="H193" s="30" t="n">
        <x:f>ROUND(D193-F193,2)</x:f>
        <x:v>2494469.05</x:v>
      </x:c>
      <x:c r="I193" s="33" t="n">
        <x:f>IF(AND(ISNUMBER('Параметры'!$C$7),'Параметры'!$C$7&gt;=0),'Параметры'!$C$7*C193/365,NA())</x:f>
        <x:v>0.005753424657534247</x:v>
      </x:c>
      <x:c r="J193" s="32" t="n">
        <x:f>J192/(1+I193)</x:f>
        <x:v>0.3122658087199958</x:v>
      </x:c>
      <x:c r="K193" s="33" t="n">
        <x:f>IF(AND(ISNUMBER('Параметры'!$C$8),'Параметры'!$C$8&gt;=0),'Параметры'!$C$8*C193/365,NA())</x:f>
        <x:v>0.005753424657534247</x:v>
      </x:c>
      <x:c r="L193" s="32" t="n">
        <x:f>L192/(1+K193)</x:f>
        <x:v>0.3122658087199958</x:v>
      </x:c>
      <x:c r="M193" s="30" t="n">
        <x:f>E193*L193</x:f>
        <x:v>4502.3702137903</x:v>
      </x:c>
      <x:c r="N193" s="30" t="n">
        <x:f>F193*L193</x:f>
        <x:v>3617.5400635174947</x:v>
      </x:c>
      <x:c r="O193" s="30" t="n">
        <x:f>G193*L193</x:f>
        <x:v>8119.910277307796</x:v>
      </x:c>
    </x:row>
    <x:row r="194" ht="21" customHeight="1">
      <x:c r="A194" s="28" t="n">
        <x:v>188</x:v>
      </x:c>
      <x:c r="B194" s="29" t="n">
        <x:v>50517</x:v>
      </x:c>
      <x:c r="C194" s="28" t="n">
        <x:f>B194-B193</x:f>
        <x:v>31</x:v>
      </x:c>
      <x:c r="D194" s="30" t="n">
        <x:f>H193</x:f>
        <x:v>2494469.05</x:v>
      </x:c>
      <x:c r="E194" s="30" t="n">
        <x:f>ROUND(D194*I194,2)</x:f>
        <x:v>15889.43</x:v>
      </x:c>
      <x:c r="F194" s="30" t="n">
        <x:f>IF(G194&gt;=E194,ROUND(G194-E194,2),NA())</x:f>
        <x:v>10113.77</x:v>
      </x:c>
      <x:c r="G194" s="30" t="n">
        <x:f>MIN('Параметры'!$C$14,ROUND(D194+E194,2))</x:f>
        <x:v>26003.2</x:v>
      </x:c>
      <x:c r="H194" s="30" t="n">
        <x:f>ROUND(D194-F194,2)</x:f>
        <x:v>2484355.28</x:v>
      </x:c>
      <x:c r="I194" s="33" t="n">
        <x:f>IF(AND(ISNUMBER('Параметры'!$C$7),'Параметры'!$C$7&gt;=0),'Параметры'!$C$7*C194/365,NA())</x:f>
        <x:v>0.00636986301369863</x:v>
      </x:c>
      <x:c r="J194" s="32" t="n">
        <x:f>J193/(1+I194)</x:f>
        <x:v>0.3102893083313101</x:v>
      </x:c>
      <x:c r="K194" s="33" t="n">
        <x:f>IF(AND(ISNUMBER('Параметры'!$C$8),'Параметры'!$C$8&gt;=0),'Параметры'!$C$8*C194/365,NA())</x:f>
        <x:v>0.00636986301369863</x:v>
      </x:c>
      <x:c r="L194" s="32" t="n">
        <x:f>L193/(1+K194)</x:f>
        <x:v>0.3102893083313101</x:v>
      </x:c>
      <x:c r="M194" s="30" t="n">
        <x:f>E194*L194</x:f>
        <x:v>4930.3202444787685</x:v>
      </x:c>
      <x:c r="N194" s="30" t="n">
        <x:f>F194*L194</x:f>
        <x:v>3138.1946979219542</x:v>
      </x:c>
      <x:c r="O194" s="30" t="n">
        <x:f>G194*L194</x:f>
        <x:v>8068.514942400722</x:v>
      </x:c>
    </x:row>
    <x:row r="195" ht="21" customHeight="1">
      <x:c r="A195" s="28" t="n">
        <x:v>189</x:v>
      </x:c>
      <x:c r="B195" s="29" t="n">
        <x:v>50547</x:v>
      </x:c>
      <x:c r="C195" s="28" t="n">
        <x:f>B195-B194</x:f>
        <x:v>30</x:v>
      </x:c>
      <x:c r="D195" s="30" t="n">
        <x:f>H194</x:f>
        <x:v>2484355.28</x:v>
      </x:c>
      <x:c r="E195" s="30" t="n">
        <x:f>ROUND(D195*I195,2)</x:f>
        <x:v>15314.52</x:v>
      </x:c>
      <x:c r="F195" s="30" t="n">
        <x:f>IF(G195&gt;=E195,ROUND(G195-E195,2),NA())</x:f>
        <x:v>10688.68</x:v>
      </x:c>
      <x:c r="G195" s="30" t="n">
        <x:f>MIN('Параметры'!$C$14,ROUND(D195+E195,2))</x:f>
        <x:v>26003.2</x:v>
      </x:c>
      <x:c r="H195" s="30" t="n">
        <x:f>ROUND(D195-F195,2)</x:f>
        <x:v>2473666.6</x:v>
      </x:c>
      <x:c r="I195" s="33" t="n">
        <x:f>IF(AND(ISNUMBER('Параметры'!$C$7),'Параметры'!$C$7&gt;=0),'Параметры'!$C$7*C195/365,NA())</x:f>
        <x:v>0.0061643835616438354</x:v>
      </x:c>
      <x:c r="J195" s="32" t="n">
        <x:f>J194/(1+I195)</x:f>
        <x:v>0.3083882846587561</x:v>
      </x:c>
      <x:c r="K195" s="33" t="n">
        <x:f>IF(AND(ISNUMBER('Параметры'!$C$8),'Параметры'!$C$8&gt;=0),'Параметры'!$C$8*C195/365,NA())</x:f>
        <x:v>0.0061643835616438354</x:v>
      </x:c>
      <x:c r="L195" s="32" t="n">
        <x:f>L194/(1+K195)</x:f>
        <x:v>0.3083882846587561</x:v>
      </x:c>
      <x:c r="M195" s="30" t="n">
        <x:f>E195*L195</x:f>
        <x:v>4722.818553172214</x:v>
      </x:c>
      <x:c r="N195" s="30" t="n">
        <x:f>F195*L195</x:f>
        <x:v>3296.2636904663536</x:v>
      </x:c>
      <x:c r="O195" s="30" t="n">
        <x:f>G195*L195</x:f>
        <x:v>8019.082243638567</x:v>
      </x:c>
    </x:row>
    <x:row r="196" ht="21" customHeight="1">
      <x:c r="A196" s="28" t="n">
        <x:v>190</x:v>
      </x:c>
      <x:c r="B196" s="29" t="n">
        <x:v>50578</x:v>
      </x:c>
      <x:c r="C196" s="28" t="n">
        <x:f>B196-B195</x:f>
        <x:v>31</x:v>
      </x:c>
      <x:c r="D196" s="30" t="n">
        <x:f>H195</x:f>
        <x:v>2473666.6</x:v>
      </x:c>
      <x:c r="E196" s="30" t="n">
        <x:f>ROUND(D196*I196,2)</x:f>
        <x:v>15756.92</x:v>
      </x:c>
      <x:c r="F196" s="30" t="n">
        <x:f>IF(G196&gt;=E196,ROUND(G196-E196,2),NA())</x:f>
        <x:v>10246.28</x:v>
      </x:c>
      <x:c r="G196" s="30" t="n">
        <x:f>MIN('Параметры'!$C$14,ROUND(D196+E196,2))</x:f>
        <x:v>26003.2</x:v>
      </x:c>
      <x:c r="H196" s="30" t="n">
        <x:f>ROUND(D196-F196,2)</x:f>
        <x:v>2463420.32</x:v>
      </x:c>
      <x:c r="I196" s="33" t="n">
        <x:f>IF(AND(ISNUMBER('Параметры'!$C$7),'Параметры'!$C$7&gt;=0),'Параметры'!$C$7*C196/365,NA())</x:f>
        <x:v>0.00636986301369863</x:v>
      </x:c>
      <x:c r="J196" s="32" t="n">
        <x:f>J195/(1+I196)</x:f>
        <x:v>0.3064363272318682</x:v>
      </x:c>
      <x:c r="K196" s="33" t="n">
        <x:f>IF(AND(ISNUMBER('Параметры'!$C$8),'Параметры'!$C$8&gt;=0),'Параметры'!$C$8*C196/365,NA())</x:f>
        <x:v>0.00636986301369863</x:v>
      </x:c>
      <x:c r="L196" s="32" t="n">
        <x:f>L195/(1+K196)</x:f>
        <x:v>0.3064363272318682</x:v>
      </x:c>
      <x:c r="M196" s="30" t="n">
        <x:f>E196*L196</x:f>
        <x:v>4828.492693286369</x:v>
      </x:c>
      <x:c r="N196" s="30" t="n">
        <x:f>F196*L196</x:f>
        <x:v>3139.8324109893465</x:v>
      </x:c>
      <x:c r="O196" s="30" t="n">
        <x:f>G196*L196</x:f>
        <x:v>7968.325104275716</x:v>
      </x:c>
    </x:row>
    <x:row r="197" ht="21" customHeight="1">
      <x:c r="A197" s="28" t="n">
        <x:v>191</x:v>
      </x:c>
      <x:c r="B197" s="29" t="n">
        <x:v>50608</x:v>
      </x:c>
      <x:c r="C197" s="28" t="n">
        <x:f>B197-B196</x:f>
        <x:v>30</x:v>
      </x:c>
      <x:c r="D197" s="30" t="n">
        <x:f>H196</x:f>
        <x:v>2463420.32</x:v>
      </x:c>
      <x:c r="E197" s="30" t="n">
        <x:f>ROUND(D197*I197,2)</x:f>
        <x:v>15185.47</x:v>
      </x:c>
      <x:c r="F197" s="30" t="n">
        <x:f>IF(G197&gt;=E197,ROUND(G197-E197,2),NA())</x:f>
        <x:v>10817.73</x:v>
      </x:c>
      <x:c r="G197" s="30" t="n">
        <x:f>MIN('Параметры'!$C$14,ROUND(D197+E197,2))</x:f>
        <x:v>26003.2</x:v>
      </x:c>
      <x:c r="H197" s="30" t="n">
        <x:f>ROUND(D197-F197,2)</x:f>
        <x:v>2452602.59</x:v>
      </x:c>
      <x:c r="I197" s="33" t="n">
        <x:f>IF(AND(ISNUMBER('Параметры'!$C$7),'Параметры'!$C$7&gt;=0),'Параметры'!$C$7*C197/365,NA())</x:f>
        <x:v>0.0061643835616438354</x:v>
      </x:c>
      <x:c r="J197" s="32" t="n">
        <x:f>J196/(1+I197)</x:f>
        <x:v>0.3045589092978404</x:v>
      </x:c>
      <x:c r="K197" s="33" t="n">
        <x:f>IF(AND(ISNUMBER('Параметры'!$C$8),'Параметры'!$C$8&gt;=0),'Параметры'!$C$8*C197/365,NA())</x:f>
        <x:v>0.0061643835616438354</x:v>
      </x:c>
      <x:c r="L197" s="32" t="n">
        <x:f>L196/(1+K197)</x:f>
        <x:v>0.3045589092978404</x:v>
      </x:c>
      <x:c r="M197" s="30" t="n">
        <x:f>E197*L197</x:f>
        <x:v>4624.870180375076</x:v>
      </x:c>
      <x:c r="N197" s="30" t="n">
        <x:f>F197*L197</x:f>
        <x:v>3294.636049878527</x:v>
      </x:c>
      <x:c r="O197" s="30" t="n">
        <x:f>G197*L197</x:f>
        <x:v>7919.5062302536035</x:v>
      </x:c>
    </x:row>
    <x:row r="198" ht="21" customHeight="1">
      <x:c r="A198" s="28" t="n">
        <x:v>192</x:v>
      </x:c>
      <x:c r="B198" s="29" t="n">
        <x:v>50639</x:v>
      </x:c>
      <x:c r="C198" s="28" t="n">
        <x:f>B198-B197</x:f>
        <x:v>31</x:v>
      </x:c>
      <x:c r="D198" s="30" t="n">
        <x:f>H197</x:f>
        <x:v>2452602.59</x:v>
      </x:c>
      <x:c r="E198" s="30" t="n">
        <x:f>ROUND(D198*I198,2)</x:f>
        <x:v>15622.74</x:v>
      </x:c>
      <x:c r="F198" s="30" t="n">
        <x:f>IF(G198&gt;=E198,ROUND(G198-E198,2),NA())</x:f>
        <x:v>10380.46</x:v>
      </x:c>
      <x:c r="G198" s="30" t="n">
        <x:f>MIN('Параметры'!$C$14,ROUND(D198+E198,2))</x:f>
        <x:v>26003.2</x:v>
      </x:c>
      <x:c r="H198" s="30" t="n">
        <x:f>ROUND(D198-F198,2)</x:f>
        <x:v>2442222.13</x:v>
      </x:c>
      <x:c r="I198" s="33" t="n">
        <x:f>IF(AND(ISNUMBER('Параметры'!$C$7),'Параметры'!$C$7&gt;=0),'Параметры'!$C$7*C198/365,NA())</x:f>
        <x:v>0.00636986301369863</x:v>
      </x:c>
      <x:c r="J198" s="32" t="n">
        <x:f>J197/(1+I198)</x:f>
        <x:v>0.3026311900734003</x:v>
      </x:c>
      <x:c r="K198" s="33" t="n">
        <x:f>IF(AND(ISNUMBER('Параметры'!$C$8),'Параметры'!$C$8&gt;=0),'Параметры'!$C$8*C198/365,NA())</x:f>
        <x:v>0.00636986301369863</x:v>
      </x:c>
      <x:c r="L198" s="32" t="n">
        <x:f>L197/(1+K198)</x:f>
        <x:v>0.3026311900734003</x:v>
      </x:c>
      <x:c r="M198" s="30" t="n">
        <x:f>E198*L198</x:f>
        <x:v>4727.928398407314</x:v>
      </x:c>
      <x:c r="N198" s="30" t="n">
        <x:f>F198*L198</x:f>
        <x:v>3141.4509633093285</x:v>
      </x:c>
      <x:c r="O198" s="30" t="n">
        <x:f>G198*L198</x:f>
        <x:v>7869.379361716642</x:v>
      </x:c>
    </x:row>
    <x:row r="199" ht="21" customHeight="1">
      <x:c r="A199" s="28" t="n">
        <x:v>193</x:v>
      </x:c>
      <x:c r="B199" s="29" t="n">
        <x:v>50670</x:v>
      </x:c>
      <x:c r="C199" s="28" t="n">
        <x:f>B199-B198</x:f>
        <x:v>31</x:v>
      </x:c>
      <x:c r="D199" s="30" t="n">
        <x:f>H198</x:f>
        <x:v>2442222.13</x:v>
      </x:c>
      <x:c r="E199" s="30" t="n">
        <x:f>ROUND(D199*I199,2)</x:f>
        <x:v>15556.62</x:v>
      </x:c>
      <x:c r="F199" s="30" t="n">
        <x:f>IF(G199&gt;=E199,ROUND(G199-E199,2),NA())</x:f>
        <x:v>10446.58</x:v>
      </x:c>
      <x:c r="G199" s="30" t="n">
        <x:f>MIN('Параметры'!$C$14,ROUND(D199+E199,2))</x:f>
        <x:v>26003.2</x:v>
      </x:c>
      <x:c r="H199" s="30" t="n">
        <x:f>ROUND(D199-F199,2)</x:f>
        <x:v>2431775.55</x:v>
      </x:c>
      <x:c r="I199" s="33" t="n">
        <x:f>IF(AND(ISNUMBER('Параметры'!$C$7),'Параметры'!$C$7&gt;=0),'Параметры'!$C$7*C199/365,NA())</x:f>
        <x:v>0.00636986301369863</x:v>
      </x:c>
      <x:c r="J199" s="32" t="n">
        <x:f>J198/(1+I199)</x:f>
        <x:v>0.30071567243392394</x:v>
      </x:c>
      <x:c r="K199" s="33" t="n">
        <x:f>IF(AND(ISNUMBER('Параметры'!$C$8),'Параметры'!$C$8&gt;=0),'Параметры'!$C$8*C199/365,NA())</x:f>
        <x:v>0.00636986301369863</x:v>
      </x:c>
      <x:c r="L199" s="32" t="n">
        <x:f>L198/(1+K199)</x:f>
        <x:v>0.30071567243392394</x:v>
      </x:c>
      <x:c r="M199" s="30" t="n">
        <x:f>E199*L199</x:f>
        <x:v>4678.11944409903</x:v>
      </x:c>
      <x:c r="N199" s="30" t="n">
        <x:f>F199*L199</x:f>
        <x:v>3141.450329334781</x:v>
      </x:c>
      <x:c r="O199" s="30" t="n">
        <x:f>G199*L199</x:f>
        <x:v>7819.569773433811</x:v>
      </x:c>
    </x:row>
    <x:row r="200" ht="21" customHeight="1">
      <x:c r="A200" s="28" t="n">
        <x:v>194</x:v>
      </x:c>
      <x:c r="B200" s="29" t="n">
        <x:v>50700</x:v>
      </x:c>
      <x:c r="C200" s="28" t="n">
        <x:f>B200-B199</x:f>
        <x:v>30</x:v>
      </x:c>
      <x:c r="D200" s="30" t="n">
        <x:f>H199</x:f>
        <x:v>2431775.55</x:v>
      </x:c>
      <x:c r="E200" s="30" t="n">
        <x:f>ROUND(D200*I200,2)</x:f>
        <x:v>14990.4</x:v>
      </x:c>
      <x:c r="F200" s="30" t="n">
        <x:f>IF(G200&gt;=E200,ROUND(G200-E200,2),NA())</x:f>
        <x:v>11012.8</x:v>
      </x:c>
      <x:c r="G200" s="30" t="n">
        <x:f>MIN('Параметры'!$C$14,ROUND(D200+E200,2))</x:f>
        <x:v>26003.2</x:v>
      </x:c>
      <x:c r="H200" s="30" t="n">
        <x:f>ROUND(D200-F200,2)</x:f>
        <x:v>2420762.75</x:v>
      </x:c>
      <x:c r="I200" s="33" t="n">
        <x:f>IF(AND(ISNUMBER('Параметры'!$C$7),'Параметры'!$C$7&gt;=0),'Параметры'!$C$7*C200/365,NA())</x:f>
        <x:v>0.0061643835616438354</x:v>
      </x:c>
      <x:c r="J200" s="32" t="n">
        <x:f>J199/(1+I200)</x:f>
        <x:v>0.29887330275937984</x:v>
      </x:c>
      <x:c r="K200" s="33" t="n">
        <x:f>IF(AND(ISNUMBER('Параметры'!$C$8),'Параметры'!$C$8&gt;=0),'Параметры'!$C$8*C200/365,NA())</x:f>
        <x:v>0.0061643835616438354</x:v>
      </x:c>
      <x:c r="L200" s="32" t="n">
        <x:f>L199/(1+K200)</x:f>
        <x:v>0.29887330275937984</x:v>
      </x:c>
      <x:c r="M200" s="30" t="n">
        <x:f>E200*L200</x:f>
        <x:v>4480.230357684208</x:v>
      </x:c>
      <x:c r="N200" s="30" t="n">
        <x:f>F200*L200</x:f>
        <x:v>3291.431908628498</x:v>
      </x:c>
      <x:c r="O200" s="30" t="n">
        <x:f>G200*L200</x:f>
        <x:v>7771.662266312706</x:v>
      </x:c>
    </x:row>
    <x:row r="201" ht="21" customHeight="1">
      <x:c r="A201" s="28" t="n">
        <x:v>195</x:v>
      </x:c>
      <x:c r="B201" s="29" t="n">
        <x:v>50731</x:v>
      </x:c>
      <x:c r="C201" s="28" t="n">
        <x:f>B201-B200</x:f>
        <x:v>31</x:v>
      </x:c>
      <x:c r="D201" s="30" t="n">
        <x:f>H200</x:f>
        <x:v>2420762.75</x:v>
      </x:c>
      <x:c r="E201" s="30" t="n">
        <x:f>ROUND(D201*I201,2)</x:f>
        <x:v>15419.93</x:v>
      </x:c>
      <x:c r="F201" s="30" t="n">
        <x:f>IF(G201&gt;=E201,ROUND(G201-E201,2),NA())</x:f>
        <x:v>10583.27</x:v>
      </x:c>
      <x:c r="G201" s="30" t="n">
        <x:f>MIN('Параметры'!$C$14,ROUND(D201+E201,2))</x:f>
        <x:v>26003.2</x:v>
      </x:c>
      <x:c r="H201" s="30" t="n">
        <x:f>ROUND(D201-F201,2)</x:f>
        <x:v>2410179.48</x:v>
      </x:c>
      <x:c r="I201" s="33" t="n">
        <x:f>IF(AND(ISNUMBER('Параметры'!$C$7),'Параметры'!$C$7&gt;=0),'Параметры'!$C$7*C201/365,NA())</x:f>
        <x:v>0.00636986301369863</x:v>
      </x:c>
      <x:c r="J201" s="32" t="n">
        <x:f>J200/(1+I201)</x:f>
        <x:v>0.29698157083556426</x:v>
      </x:c>
      <x:c r="K201" s="33" t="n">
        <x:f>IF(AND(ISNUMBER('Параметры'!$C$8),'Параметры'!$C$8&gt;=0),'Параметры'!$C$8*C201/365,NA())</x:f>
        <x:v>0.00636986301369863</x:v>
      </x:c>
      <x:c r="L201" s="32" t="n">
        <x:f>L200/(1+K201)</x:f>
        <x:v>0.29698157083556426</x:v>
      </x:c>
      <x:c r="M201" s="30" t="n">
        <x:f>E201*L201</x:f>
        <x:v>4579.435033574442</x:v>
      </x:c>
      <x:c r="N201" s="30" t="n">
        <x:f>F201*L201</x:f>
        <x:v>3143.036149176902</x:v>
      </x:c>
      <x:c r="O201" s="30" t="n">
        <x:f>G201*L201</x:f>
        <x:v>7722.471182751345</x:v>
      </x:c>
    </x:row>
    <x:row r="202" ht="21" customHeight="1">
      <x:c r="A202" s="28" t="n">
        <x:v>196</x:v>
      </x:c>
      <x:c r="B202" s="29" t="n">
        <x:v>50761</x:v>
      </x:c>
      <x:c r="C202" s="28" t="n">
        <x:f>B202-B201</x:f>
        <x:v>30</x:v>
      </x:c>
      <x:c r="D202" s="30" t="n">
        <x:f>H201</x:f>
        <x:v>2410179.48</x:v>
      </x:c>
      <x:c r="E202" s="30" t="n">
        <x:f>ROUND(D202*I202,2)</x:f>
        <x:v>14857.27</x:v>
      </x:c>
      <x:c r="F202" s="30" t="n">
        <x:f>IF(G202&gt;=E202,ROUND(G202-E202,2),NA())</x:f>
        <x:v>11145.93</x:v>
      </x:c>
      <x:c r="G202" s="30" t="n">
        <x:f>MIN('Параметры'!$C$14,ROUND(D202+E202,2))</x:f>
        <x:v>26003.2</x:v>
      </x:c>
      <x:c r="H202" s="30" t="n">
        <x:f>ROUND(D202-F202,2)</x:f>
        <x:v>2399033.55</x:v>
      </x:c>
      <x:c r="I202" s="33" t="n">
        <x:f>IF(AND(ISNUMBER('Параметры'!$C$7),'Параметры'!$C$7&gt;=0),'Параметры'!$C$7*C202/365,NA())</x:f>
        <x:v>0.0061643835616438354</x:v>
      </x:c>
      <x:c r="J202" s="32" t="n">
        <x:f>J201/(1+I202)</x:f>
        <x:v>0.2951620785704042</x:v>
      </x:c>
      <x:c r="K202" s="33" t="n">
        <x:f>IF(AND(ISNUMBER('Параметры'!$C$8),'Параметры'!$C$8&gt;=0),'Параметры'!$C$8*C202/365,NA())</x:f>
        <x:v>0.0061643835616438354</x:v>
      </x:c>
      <x:c r="L202" s="32" t="n">
        <x:f>L201/(1+K202)</x:f>
        <x:v>0.2951620785704042</x:v>
      </x:c>
      <x:c r="M202" s="30" t="n">
        <x:f>E202*L202</x:f>
        <x:v>4385.302695081709</x:v>
      </x:c>
      <x:c r="N202" s="30" t="n">
        <x:f>F202*L202</x:f>
        <x:v>3289.8558664002258</x:v>
      </x:c>
      <x:c r="O202" s="30" t="n">
        <x:f>G202*L202</x:f>
        <x:v>7675.158561481935</x:v>
      </x:c>
    </x:row>
    <x:row r="203" ht="21" customHeight="1">
      <x:c r="A203" s="28" t="n">
        <x:v>197</x:v>
      </x:c>
      <x:c r="B203" s="29" t="n">
        <x:v>50792</x:v>
      </x:c>
      <x:c r="C203" s="28" t="n">
        <x:f>B203-B202</x:f>
        <x:v>31</x:v>
      </x:c>
      <x:c r="D203" s="30" t="n">
        <x:f>H202</x:f>
        <x:v>2399033.55</x:v>
      </x:c>
      <x:c r="E203" s="30" t="n">
        <x:f>ROUND(D203*I203,2)</x:f>
        <x:v>15281.52</x:v>
      </x:c>
      <x:c r="F203" s="30" t="n">
        <x:f>IF(G203&gt;=E203,ROUND(G203-E203,2),NA())</x:f>
        <x:v>10721.68</x:v>
      </x:c>
      <x:c r="G203" s="30" t="n">
        <x:f>MIN('Параметры'!$C$14,ROUND(D203+E203,2))</x:f>
        <x:v>26003.2</x:v>
      </x:c>
      <x:c r="H203" s="30" t="n">
        <x:f>ROUND(D203-F203,2)</x:f>
        <x:v>2388311.87</x:v>
      </x:c>
      <x:c r="I203" s="33" t="n">
        <x:f>IF(AND(ISNUMBER('Параметры'!$C$7),'Параметры'!$C$7&gt;=0),'Параметры'!$C$7*C203/365,NA())</x:f>
        <x:v>0.00636986301369863</x:v>
      </x:c>
      <x:c r="J203" s="32" t="n">
        <x:f>J202/(1+I203)</x:f>
        <x:v>0.2932938370059145</x:v>
      </x:c>
      <x:c r="K203" s="33" t="n">
        <x:f>IF(AND(ISNUMBER('Параметры'!$C$8),'Параметры'!$C$8&gt;=0),'Параметры'!$C$8*C203/365,NA())</x:f>
        <x:v>0.00636986301369863</x:v>
      </x:c>
      <x:c r="L203" s="32" t="n">
        <x:f>L202/(1+K203)</x:f>
        <x:v>0.2932938370059145</x:v>
      </x:c>
      <x:c r="M203" s="30" t="n">
        <x:f>E203*L203</x:f>
        <x:v>4481.975636082622</x:v>
      </x:c>
      <x:c r="N203" s="30" t="n">
        <x:f>F203*L203</x:f>
        <x:v>3144.6026663495736</x:v>
      </x:c>
      <x:c r="O203" s="30" t="n">
        <x:f>G203*L203</x:f>
        <x:v>7626.578302432196</x:v>
      </x:c>
    </x:row>
    <x:row r="204" ht="21" customHeight="1">
      <x:c r="A204" s="28" t="n">
        <x:v>198</x:v>
      </x:c>
      <x:c r="B204" s="29" t="n">
        <x:v>50823</x:v>
      </x:c>
      <x:c r="C204" s="28" t="n">
        <x:f>B204-B203</x:f>
        <x:v>31</x:v>
      </x:c>
      <x:c r="D204" s="30" t="n">
        <x:f>H203</x:f>
        <x:v>2388311.87</x:v>
      </x:c>
      <x:c r="E204" s="30" t="n">
        <x:f>ROUND(D204*I204,2)</x:f>
        <x:v>15213.22</x:v>
      </x:c>
      <x:c r="F204" s="30" t="n">
        <x:f>IF(G204&gt;=E204,ROUND(G204-E204,2),NA())</x:f>
        <x:v>10789.98</x:v>
      </x:c>
      <x:c r="G204" s="30" t="n">
        <x:f>MIN('Параметры'!$C$14,ROUND(D204+E204,2))</x:f>
        <x:v>26003.2</x:v>
      </x:c>
      <x:c r="H204" s="30" t="n">
        <x:f>ROUND(D204-F204,2)</x:f>
        <x:v>2377521.89</x:v>
      </x:c>
      <x:c r="I204" s="33" t="n">
        <x:f>IF(AND(ISNUMBER('Параметры'!$C$7),'Параметры'!$C$7&gt;=0),'Параметры'!$C$7*C204/365,NA())</x:f>
        <x:v>0.00636986301369863</x:v>
      </x:c>
      <x:c r="J204" s="32" t="n">
        <x:f>J203/(1+I204)</x:f>
        <x:v>0.29143742055988237</x:v>
      </x:c>
      <x:c r="K204" s="33" t="n">
        <x:f>IF(AND(ISNUMBER('Параметры'!$C$8),'Параметры'!$C$8&gt;=0),'Параметры'!$C$8*C204/365,NA())</x:f>
        <x:v>0.00636986301369863</x:v>
      </x:c>
      <x:c r="L204" s="32" t="n">
        <x:f>L203/(1+K204)</x:f>
        <x:v>0.29143742055988237</x:v>
      </x:c>
      <x:c r="M204" s="30" t="n">
        <x:f>E204*L204</x:f>
        <x:v>4433.701595210014</x:v>
      </x:c>
      <x:c r="N204" s="30" t="n">
        <x:f>F204*L204</x:f>
        <x:v>3144.6039390927194</x:v>
      </x:c>
      <x:c r="O204" s="30" t="n">
        <x:f>G204*L204</x:f>
        <x:v>7578.305534302734</x:v>
      </x:c>
    </x:row>
    <x:row r="205" ht="21" customHeight="1">
      <x:c r="A205" s="28" t="n">
        <x:v>199</x:v>
      </x:c>
      <x:c r="B205" s="29" t="n">
        <x:v>50851</x:v>
      </x:c>
      <x:c r="C205" s="28" t="n">
        <x:f>B205-B204</x:f>
        <x:v>28</x:v>
      </x:c>
      <x:c r="D205" s="30" t="n">
        <x:f>H204</x:f>
        <x:v>2377521.89</x:v>
      </x:c>
      <x:c r="E205" s="30" t="n">
        <x:f>ROUND(D205*I205,2)</x:f>
        <x:v>13678.89</x:v>
      </x:c>
      <x:c r="F205" s="30" t="n">
        <x:f>IF(G205&gt;=E205,ROUND(G205-E205,2),NA())</x:f>
        <x:v>12324.31</x:v>
      </x:c>
      <x:c r="G205" s="30" t="n">
        <x:f>MIN('Параметры'!$C$14,ROUND(D205+E205,2))</x:f>
        <x:v>26003.2</x:v>
      </x:c>
      <x:c r="H205" s="30" t="n">
        <x:f>ROUND(D205-F205,2)</x:f>
        <x:v>2365197.58</x:v>
      </x:c>
      <x:c r="I205" s="33" t="n">
        <x:f>IF(AND(ISNUMBER('Параметры'!$C$7),'Параметры'!$C$7&gt;=0),'Параметры'!$C$7*C205/365,NA())</x:f>
        <x:v>0.005753424657534247</x:v>
      </x:c>
      <x:c r="J205" s="32" t="n">
        <x:f>J204/(1+I205)</x:f>
        <x:v>0.28977024926275424</x:v>
      </x:c>
      <x:c r="K205" s="33" t="n">
        <x:f>IF(AND(ISNUMBER('Параметры'!$C$8),'Параметры'!$C$8&gt;=0),'Параметры'!$C$8*C205/365,NA())</x:f>
        <x:v>0.005753424657534247</x:v>
      </x:c>
      <x:c r="L205" s="32" t="n">
        <x:f>L204/(1+K205)</x:f>
        <x:v>0.28977024926275424</x:v>
      </x:c>
      <x:c r="M205" s="30" t="n">
        <x:f>E205*L205</x:f>
        <x:v>3963.735364937796</x:v>
      </x:c>
      <x:c r="N205" s="30" t="n">
        <x:f>F205*L205</x:f>
        <x:v>3571.2183806914545</x:v>
      </x:c>
      <x:c r="O205" s="30" t="n">
        <x:f>G205*L205</x:f>
        <x:v>7534.953745629251</x:v>
      </x:c>
    </x:row>
    <x:row r="206" ht="21" customHeight="1">
      <x:c r="A206" s="28" t="n">
        <x:v>200</x:v>
      </x:c>
      <x:c r="B206" s="29" t="n">
        <x:v>50882</x:v>
      </x:c>
      <x:c r="C206" s="28" t="n">
        <x:f>B206-B205</x:f>
        <x:v>31</x:v>
      </x:c>
      <x:c r="D206" s="30" t="n">
        <x:f>H205</x:f>
        <x:v>2365197.58</x:v>
      </x:c>
      <x:c r="E206" s="30" t="n">
        <x:f>ROUND(D206*I206,2)</x:f>
        <x:v>15065.98</x:v>
      </x:c>
      <x:c r="F206" s="30" t="n">
        <x:f>IF(G206&gt;=E206,ROUND(G206-E206,2),NA())</x:f>
        <x:v>10937.22</x:v>
      </x:c>
      <x:c r="G206" s="30" t="n">
        <x:f>MIN('Параметры'!$C$14,ROUND(D206+E206,2))</x:f>
        <x:v>26003.2</x:v>
      </x:c>
      <x:c r="H206" s="30" t="n">
        <x:f>ROUND(D206-F206,2)</x:f>
        <x:v>2354260.36</x:v>
      </x:c>
      <x:c r="I206" s="33" t="n">
        <x:f>IF(AND(ISNUMBER('Параметры'!$C$7),'Параметры'!$C$7&gt;=0),'Параметры'!$C$7*C206/365,NA())</x:f>
        <x:v>0.00636986301369863</x:v>
      </x:c>
      <x:c r="J206" s="32" t="n">
        <x:f>J205/(1+I206)</x:f>
        <x:v>0.28793613552278036</x:v>
      </x:c>
      <x:c r="K206" s="33" t="n">
        <x:f>IF(AND(ISNUMBER('Параметры'!$C$8),'Параметры'!$C$8&gt;=0),'Параметры'!$C$8*C206/365,NA())</x:f>
        <x:v>0.00636986301369863</x:v>
      </x:c>
      <x:c r="L206" s="32" t="n">
        <x:f>L205/(1+K206)</x:f>
        <x:v>0.28793613552278036</x:v>
      </x:c>
      <x:c r="M206" s="30" t="n">
        <x:f>E206*L206</x:f>
        <x:v>4338.040059063498</x:v>
      </x:c>
      <x:c r="N206" s="30" t="n">
        <x:f>F206*L206</x:f>
        <x:v>3149.2208601624634</x:v>
      </x:c>
      <x:c r="O206" s="30" t="n">
        <x:f>G206*L206</x:f>
        <x:v>7487.260919225962</x:v>
      </x:c>
    </x:row>
    <x:row r="207" ht="21" customHeight="1">
      <x:c r="A207" s="28" t="n">
        <x:v>201</x:v>
      </x:c>
      <x:c r="B207" s="29" t="n">
        <x:v>50912</x:v>
      </x:c>
      <x:c r="C207" s="28" t="n">
        <x:f>B207-B206</x:f>
        <x:v>30</x:v>
      </x:c>
      <x:c r="D207" s="30" t="n">
        <x:f>H206</x:f>
        <x:v>2354260.36</x:v>
      </x:c>
      <x:c r="E207" s="30" t="n">
        <x:f>ROUND(D207*I207,2)</x:f>
        <x:v>14512.56</x:v>
      </x:c>
      <x:c r="F207" s="30" t="n">
        <x:f>IF(G207&gt;=E207,ROUND(G207-E207,2),NA())</x:f>
        <x:v>11490.64</x:v>
      </x:c>
      <x:c r="G207" s="30" t="n">
        <x:f>MIN('Параметры'!$C$14,ROUND(D207+E207,2))</x:f>
        <x:v>26003.2</x:v>
      </x:c>
      <x:c r="H207" s="30" t="n">
        <x:f>ROUND(D207-F207,2)</x:f>
        <x:v>2342769.72</x:v>
      </x:c>
      <x:c r="I207" s="33" t="n">
        <x:f>IF(AND(ISNUMBER('Параметры'!$C$7),'Параметры'!$C$7&gt;=0),'Параметры'!$C$7*C207/365,NA())</x:f>
        <x:v>0.0061643835616438354</x:v>
      </x:c>
      <x:c r="J207" s="32" t="n">
        <x:f>J206/(1+I207)</x:f>
        <x:v>0.28617206117308325</x:v>
      </x:c>
      <x:c r="K207" s="33" t="n">
        <x:f>IF(AND(ISNUMBER('Параметры'!$C$8),'Параметры'!$C$8&gt;=0),'Параметры'!$C$8*C207/365,NA())</x:f>
        <x:v>0.0061643835616438354</x:v>
      </x:c>
      <x:c r="L207" s="32" t="n">
        <x:f>L206/(1+K207)</x:f>
        <x:v>0.28617206117308325</x:v>
      </x:c>
      <x:c r="M207" s="30" t="n">
        <x:f>E207*L207</x:f>
        <x:v>4153.089208098041</x:v>
      </x:c>
      <x:c r="N207" s="30" t="n">
        <x:f>F207*L207</x:f>
        <x:v>3288.300132997877</x:v>
      </x:c>
      <x:c r="O207" s="30" t="n">
        <x:f>G207*L207</x:f>
        <x:v>7441.389341095918</x:v>
      </x:c>
    </x:row>
    <x:row r="208" ht="21" customHeight="1">
      <x:c r="A208" s="28" t="n">
        <x:v>202</x:v>
      </x:c>
      <x:c r="B208" s="29" t="n">
        <x:v>50943</x:v>
      </x:c>
      <x:c r="C208" s="28" t="n">
        <x:f>B208-B207</x:f>
        <x:v>31</x:v>
      </x:c>
      <x:c r="D208" s="30" t="n">
        <x:f>H207</x:f>
        <x:v>2342769.72</x:v>
      </x:c>
      <x:c r="E208" s="30" t="n">
        <x:f>ROUND(D208*I208,2)</x:f>
        <x:v>14923.12</x:v>
      </x:c>
      <x:c r="F208" s="30" t="n">
        <x:f>IF(G208&gt;=E208,ROUND(G208-E208,2),NA())</x:f>
        <x:v>11080.08</x:v>
      </x:c>
      <x:c r="G208" s="30" t="n">
        <x:f>MIN('Параметры'!$C$14,ROUND(D208+E208,2))</x:f>
        <x:v>26003.2</x:v>
      </x:c>
      <x:c r="H208" s="30" t="n">
        <x:f>ROUND(D208-F208,2)</x:f>
        <x:v>2331689.64</x:v>
      </x:c>
      <x:c r="I208" s="33" t="n">
        <x:f>IF(AND(ISNUMBER('Параметры'!$C$7),'Параметры'!$C$7&gt;=0),'Параметры'!$C$7*C208/365,NA())</x:f>
        <x:v>0.00636986301369863</x:v>
      </x:c>
      <x:c r="J208" s="32" t="n">
        <x:f>J207/(1+I208)</x:f>
        <x:v>0.2843607223253941</x:v>
      </x:c>
      <x:c r="K208" s="33" t="n">
        <x:f>IF(AND(ISNUMBER('Параметры'!$C$8),'Параметры'!$C$8&gt;=0),'Параметры'!$C$8*C208/365,NA())</x:f>
        <x:v>0.00636986301369863</x:v>
      </x:c>
      <x:c r="L208" s="32" t="n">
        <x:f>L207/(1+K208)</x:f>
        <x:v>0.2843607223253941</x:v>
      </x:c>
      <x:c r="M208" s="30" t="n">
        <x:f>E208*L208</x:f>
        <x:v>4243.549182548536</x:v>
      </x:c>
      <x:c r="N208" s="30" t="n">
        <x:f>F208*L208</x:f>
        <x:v>3150.7395522231527</x:v>
      </x:c>
      <x:c r="O208" s="30" t="n">
        <x:f>G208*L208</x:f>
        <x:v>7394.288734771689</x:v>
      </x:c>
    </x:row>
    <x:row r="209" ht="21" customHeight="1">
      <x:c r="A209" s="28" t="n">
        <x:v>203</x:v>
      </x:c>
      <x:c r="B209" s="29" t="n">
        <x:v>50973</x:v>
      </x:c>
      <x:c r="C209" s="28" t="n">
        <x:f>B209-B208</x:f>
        <x:v>30</x:v>
      </x:c>
      <x:c r="D209" s="30" t="n">
        <x:f>H208</x:f>
        <x:v>2331689.64</x:v>
      </x:c>
      <x:c r="E209" s="30" t="n">
        <x:f>ROUND(D209*I209,2)</x:f>
        <x:v>14373.43</x:v>
      </x:c>
      <x:c r="F209" s="30" t="n">
        <x:f>IF(G209&gt;=E209,ROUND(G209-E209,2),NA())</x:f>
        <x:v>11629.77</x:v>
      </x:c>
      <x:c r="G209" s="30" t="n">
        <x:f>MIN('Параметры'!$C$14,ROUND(D209+E209,2))</x:f>
        <x:v>26003.2</x:v>
      </x:c>
      <x:c r="H209" s="30" t="n">
        <x:f>ROUND(D209-F209,2)</x:f>
        <x:v>2320059.87</x:v>
      </x:c>
      <x:c r="I209" s="33" t="n">
        <x:f>IF(AND(ISNUMBER('Параметры'!$C$7),'Параметры'!$C$7&gt;=0),'Параметры'!$C$7*C209/365,NA())</x:f>
        <x:v>0.0061643835616438354</x:v>
      </x:c>
      <x:c r="J209" s="32" t="n">
        <x:f>J208/(1+I209)</x:f>
        <x:v>0.2826185531620663</x:v>
      </x:c>
      <x:c r="K209" s="33" t="n">
        <x:f>IF(AND(ISNUMBER('Параметры'!$C$8),'Параметры'!$C$8&gt;=0),'Параметры'!$C$8*C209/365,NA())</x:f>
        <x:v>0.0061643835616438354</x:v>
      </x:c>
      <x:c r="L209" s="32" t="n">
        <x:f>L208/(1+K209)</x:f>
        <x:v>0.2826185531620663</x:v>
      </x:c>
      <x:c r="M209" s="30" t="n">
        <x:f>E209*L209</x:f>
        <x:v>4062.1979905762387</x:v>
      </x:c>
      <x:c r="N209" s="30" t="n">
        <x:f>F209*L209</x:f>
        <x:v>3286.788771007604</x:v>
      </x:c>
      <x:c r="O209" s="30" t="n">
        <x:f>G209*L209</x:f>
        <x:v>7348.986761583843</x:v>
      </x:c>
    </x:row>
    <x:row r="210" ht="21" customHeight="1">
      <x:c r="A210" s="28" t="n">
        <x:v>204</x:v>
      </x:c>
      <x:c r="B210" s="29" t="n">
        <x:v>51004</x:v>
      </x:c>
      <x:c r="C210" s="28" t="n">
        <x:f>B210-B209</x:f>
        <x:v>31</x:v>
      </x:c>
      <x:c r="D210" s="30" t="n">
        <x:f>H209</x:f>
        <x:v>2320059.87</x:v>
      </x:c>
      <x:c r="E210" s="30" t="n">
        <x:f>ROUND(D210*I210,2)</x:f>
        <x:v>14778.46</x:v>
      </x:c>
      <x:c r="F210" s="30" t="n">
        <x:f>IF(G210&gt;=E210,ROUND(G210-E210,2),NA())</x:f>
        <x:v>11224.74</x:v>
      </x:c>
      <x:c r="G210" s="30" t="n">
        <x:f>MIN('Параметры'!$C$14,ROUND(D210+E210,2))</x:f>
        <x:v>26003.2</x:v>
      </x:c>
      <x:c r="H210" s="30" t="n">
        <x:f>ROUND(D210-F210,2)</x:f>
        <x:v>2308835.13</x:v>
      </x:c>
      <x:c r="I210" s="33" t="n">
        <x:f>IF(AND(ISNUMBER('Параметры'!$C$7),'Параметры'!$C$7&gt;=0),'Параметры'!$C$7*C210/365,NA())</x:f>
        <x:v>0.00636986301369863</x:v>
      </x:c>
      <x:c r="J210" s="32" t="n">
        <x:f>J209/(1+I210)</x:f>
        <x:v>0.2808297064021077</x:v>
      </x:c>
      <x:c r="K210" s="33" t="n">
        <x:f>IF(AND(ISNUMBER('Параметры'!$C$8),'Параметры'!$C$8&gt;=0),'Параметры'!$C$8*C210/365,NA())</x:f>
        <x:v>0.00636986301369863</x:v>
      </x:c>
      <x:c r="L210" s="32" t="n">
        <x:f>L209/(1+K210)</x:f>
        <x:v>0.2808297064021077</x:v>
      </x:c>
      <x:c r="M210" s="30" t="n">
        <x:f>E210*L210</x:f>
        <x:v>4150.230582875292</x:v>
      </x:c>
      <x:c r="N210" s="30" t="n">
        <x:f>F210*L210</x:f>
        <x:v>3152.2404386399944</x:v>
      </x:c>
      <x:c r="O210" s="30" t="n">
        <x:f>G210*L210</x:f>
        <x:v>7302.471021515287</x:v>
      </x:c>
    </x:row>
    <x:row r="211" ht="21" customHeight="1">
      <x:c r="A211" s="28" t="n">
        <x:v>205</x:v>
      </x:c>
      <x:c r="B211" s="29" t="n">
        <x:v>51035</x:v>
      </x:c>
      <x:c r="C211" s="28" t="n">
        <x:f>B211-B210</x:f>
        <x:v>31</x:v>
      </x:c>
      <x:c r="D211" s="30" t="n">
        <x:f>H210</x:f>
        <x:v>2308835.13</x:v>
      </x:c>
      <x:c r="E211" s="30" t="n">
        <x:f>ROUND(D211*I211,2)</x:f>
        <x:v>14706.96</x:v>
      </x:c>
      <x:c r="F211" s="30" t="n">
        <x:f>IF(G211&gt;=E211,ROUND(G211-E211,2),NA())</x:f>
        <x:v>11296.24</x:v>
      </x:c>
      <x:c r="G211" s="30" t="n">
        <x:f>MIN('Параметры'!$C$14,ROUND(D211+E211,2))</x:f>
        <x:v>26003.2</x:v>
      </x:c>
      <x:c r="H211" s="30" t="n">
        <x:f>ROUND(D211-F211,2)</x:f>
        <x:v>2297538.89</x:v>
      </x:c>
      <x:c r="I211" s="33" t="n">
        <x:f>IF(AND(ISNUMBER('Параметры'!$C$7),'Параметры'!$C$7&gt;=0),'Параметры'!$C$7*C211/365,NA())</x:f>
        <x:v>0.00636986301369863</x:v>
      </x:c>
      <x:c r="J211" s="32" t="n">
        <x:f>J210/(1+I211)</x:f>
        <x:v>0.27905218222764394</x:v>
      </x:c>
      <x:c r="K211" s="33" t="n">
        <x:f>IF(AND(ISNUMBER('Параметры'!$C$8),'Параметры'!$C$8&gt;=0),'Параметры'!$C$8*C211/365,NA())</x:f>
        <x:v>0.00636986301369863</x:v>
      </x:c>
      <x:c r="L211" s="32" t="n">
        <x:f>L210/(1+K211)</x:f>
        <x:v>0.27905218222764394</x:v>
      </x:c>
      <x:c r="M211" s="30" t="n">
        <x:f>E211*L211</x:f>
        <x:v>4104.00928193467</x:v>
      </x:c>
      <x:c r="N211" s="30" t="n">
        <x:f>F211*L211</x:f>
        <x:v>3152.2404229672006</x:v>
      </x:c>
      <x:c r="O211" s="30" t="n">
        <x:f>G211*L211</x:f>
        <x:v>7256.249704901871</x:v>
      </x:c>
    </x:row>
    <x:row r="212" ht="21" customHeight="1">
      <x:c r="A212" s="28" t="n">
        <x:v>206</x:v>
      </x:c>
      <x:c r="B212" s="29" t="n">
        <x:v>51065</x:v>
      </x:c>
      <x:c r="C212" s="28" t="n">
        <x:f>B212-B211</x:f>
        <x:v>30</x:v>
      </x:c>
      <x:c r="D212" s="30" t="n">
        <x:f>H211</x:f>
        <x:v>2297538.89</x:v>
      </x:c>
      <x:c r="E212" s="30" t="n">
        <x:f>ROUND(D212*I212,2)</x:f>
        <x:v>14162.91</x:v>
      </x:c>
      <x:c r="F212" s="30" t="n">
        <x:f>IF(G212&gt;=E212,ROUND(G212-E212,2),NA())</x:f>
        <x:v>11840.29</x:v>
      </x:c>
      <x:c r="G212" s="30" t="n">
        <x:f>MIN('Параметры'!$C$14,ROUND(D212+E212,2))</x:f>
        <x:v>26003.2</x:v>
      </x:c>
      <x:c r="H212" s="30" t="n">
        <x:f>ROUND(D212-F212,2)</x:f>
        <x:v>2285698.6</x:v>
      </x:c>
      <x:c r="I212" s="33" t="n">
        <x:f>IF(AND(ISNUMBER('Параметры'!$C$7),'Параметры'!$C$7&gt;=0),'Параметры'!$C$7*C212/365,NA())</x:f>
        <x:v>0.0061643835616438354</x:v>
      </x:c>
      <x:c r="J212" s="32" t="n">
        <x:f>J211/(1+I212)</x:f>
        <x:v>0.27734253645497625</x:v>
      </x:c>
      <x:c r="K212" s="33" t="n">
        <x:f>IF(AND(ISNUMBER('Параметры'!$C$8),'Параметры'!$C$8&gt;=0),'Параметры'!$C$8*C212/365,NA())</x:f>
        <x:v>0.0061643835616438354</x:v>
      </x:c>
      <x:c r="L212" s="32" t="n">
        <x:f>L211/(1+K212)</x:f>
        <x:v>0.27734253645497625</x:v>
      </x:c>
      <x:c r="M212" s="30" t="n">
        <x:f>E212*L212</x:f>
        <x:v>3927.9773829835476</x:v>
      </x:c>
      <x:c r="N212" s="30" t="n">
        <x:f>F212*L212</x:f>
        <x:v>3283.816060962491</x:v>
      </x:c>
      <x:c r="O212" s="30" t="n">
        <x:f>G212*L212</x:f>
        <x:v>7211.793443946039</x:v>
      </x:c>
    </x:row>
    <x:row r="213" ht="21" customHeight="1">
      <x:c r="A213" s="28" t="n">
        <x:v>207</x:v>
      </x:c>
      <x:c r="B213" s="29" t="n">
        <x:v>51096</x:v>
      </x:c>
      <x:c r="C213" s="28" t="n">
        <x:f>B213-B212</x:f>
        <x:v>31</x:v>
      </x:c>
      <x:c r="D213" s="30" t="n">
        <x:f>H212</x:f>
        <x:v>2285698.6</x:v>
      </x:c>
      <x:c r="E213" s="30" t="n">
        <x:f>ROUND(D213*I213,2)</x:f>
        <x:v>14559.59</x:v>
      </x:c>
      <x:c r="F213" s="30" t="n">
        <x:f>IF(G213&gt;=E213,ROUND(G213-E213,2),NA())</x:f>
        <x:v>11443.61</x:v>
      </x:c>
      <x:c r="G213" s="30" t="n">
        <x:f>MIN('Параметры'!$C$14,ROUND(D213+E213,2))</x:f>
        <x:v>26003.2</x:v>
      </x:c>
      <x:c r="H213" s="30" t="n">
        <x:f>ROUND(D213-F213,2)</x:f>
        <x:v>2274254.99</x:v>
      </x:c>
      <x:c r="I213" s="33" t="n">
        <x:f>IF(AND(ISNUMBER('Параметры'!$C$7),'Параметры'!$C$7&gt;=0),'Параметры'!$C$7*C213/365,NA())</x:f>
        <x:v>0.00636986301369863</x:v>
      </x:c>
      <x:c r="J213" s="32" t="n">
        <x:f>J212/(1+I213)</x:f>
        <x:v>0.2755870844785036</x:v>
      </x:c>
      <x:c r="K213" s="33" t="n">
        <x:f>IF(AND(ISNUMBER('Параметры'!$C$8),'Параметры'!$C$8&gt;=0),'Параметры'!$C$8*C213/365,NA())</x:f>
        <x:v>0.00636986301369863</x:v>
      </x:c>
      <x:c r="L213" s="32" t="n">
        <x:f>L212/(1+K213)</x:f>
        <x:v>0.2755870844785036</x:v>
      </x:c>
      <x:c r="M213" s="30" t="n">
        <x:f>E213*L213</x:f>
        <x:v>4012.4349593023762</x:v>
      </x:c>
      <x:c r="N213" s="30" t="n">
        <x:f>F213*L213</x:f>
        <x:v>3153.711115809049</x:v>
      </x:c>
      <x:c r="O213" s="30" t="n">
        <x:f>G213*L213</x:f>
        <x:v>7166.1460751114255</x:v>
      </x:c>
    </x:row>
    <x:row r="214" ht="21" customHeight="1">
      <x:c r="A214" s="28" t="n">
        <x:v>208</x:v>
      </x:c>
      <x:c r="B214" s="29" t="n">
        <x:v>51126</x:v>
      </x:c>
      <x:c r="C214" s="28" t="n">
        <x:f>B214-B213</x:f>
        <x:v>30</x:v>
      </x:c>
      <x:c r="D214" s="30" t="n">
        <x:f>H213</x:f>
        <x:v>2274254.99</x:v>
      </x:c>
      <x:c r="E214" s="30" t="n">
        <x:f>ROUND(D214*I214,2)</x:f>
        <x:v>14019.38</x:v>
      </x:c>
      <x:c r="F214" s="30" t="n">
        <x:f>IF(G214&gt;=E214,ROUND(G214-E214,2),NA())</x:f>
        <x:v>11983.82</x:v>
      </x:c>
      <x:c r="G214" s="30" t="n">
        <x:f>MIN('Параметры'!$C$14,ROUND(D214+E214,2))</x:f>
        <x:v>26003.2</x:v>
      </x:c>
      <x:c r="H214" s="30" t="n">
        <x:f>ROUND(D214-F214,2)</x:f>
        <x:v>2262271.17</x:v>
      </x:c>
      <x:c r="I214" s="33" t="n">
        <x:f>IF(AND(ISNUMBER('Параметры'!$C$7),'Параметры'!$C$7&gt;=0),'Параметры'!$C$7*C214/365,NA())</x:f>
        <x:v>0.0061643835616438354</x:v>
      </x:c>
      <x:c r="J214" s="32" t="n">
        <x:f>J213/(1+I214)</x:f>
        <x:v>0.27389866803173263</x:v>
      </x:c>
      <x:c r="K214" s="33" t="n">
        <x:f>IF(AND(ISNUMBER('Параметры'!$C$8),'Параметры'!$C$8&gt;=0),'Параметры'!$C$8*C214/365,NA())</x:f>
        <x:v>0.0061643835616438354</x:v>
      </x:c>
      <x:c r="L214" s="32" t="n">
        <x:f>L213/(1+K214)</x:f>
        <x:v>0.27389866803173263</x:v>
      </x:c>
      <x:c r="M214" s="30" t="n">
        <x:f>E214*L214</x:f>
        <x:v>3839.8895086307116</x:v>
      </x:c>
      <x:c r="N214" s="30" t="n">
        <x:f>F214*L214</x:f>
        <x:v>3282.352335932038</x:v>
      </x:c>
      <x:c r="O214" s="30" t="n">
        <x:f>G214*L214</x:f>
        <x:v>7122.24184456275</x:v>
      </x:c>
    </x:row>
    <x:row r="215" ht="21" customHeight="1">
      <x:c r="A215" s="28" t="n">
        <x:v>209</x:v>
      </x:c>
      <x:c r="B215" s="29" t="n">
        <x:v>51157</x:v>
      </x:c>
      <x:c r="C215" s="28" t="n">
        <x:f>B215-B214</x:f>
        <x:v>31</x:v>
      </x:c>
      <x:c r="D215" s="30" t="n">
        <x:f>H214</x:f>
        <x:v>2262271.17</x:v>
      </x:c>
      <x:c r="E215" s="30" t="n">
        <x:f>ROUND(D215*I215,2)</x:f>
        <x:v>14410.36</x:v>
      </x:c>
      <x:c r="F215" s="30" t="n">
        <x:f>IF(G215&gt;=E215,ROUND(G215-E215,2),NA())</x:f>
        <x:v>11592.84</x:v>
      </x:c>
      <x:c r="G215" s="30" t="n">
        <x:f>MIN('Параметры'!$C$14,ROUND(D215+E215,2))</x:f>
        <x:v>26003.2</x:v>
      </x:c>
      <x:c r="H215" s="30" t="n">
        <x:f>ROUND(D215-F215,2)</x:f>
        <x:v>2250678.33</x:v>
      </x:c>
      <x:c r="I215" s="33" t="n">
        <x:f>IF(AND(ISNUMBER('Параметры'!$C$7),'Параметры'!$C$7&gt;=0),'Параметры'!$C$7*C215/365,NA())</x:f>
        <x:v>0.00636986301369863</x:v>
      </x:c>
      <x:c r="J215" s="32" t="n">
        <x:f>J214/(1+I215)</x:f>
        <x:v>0.2721650141743209</x:v>
      </x:c>
      <x:c r="K215" s="33" t="n">
        <x:f>IF(AND(ISNUMBER('Параметры'!$C$8),'Параметры'!$C$8&gt;=0),'Параметры'!$C$8*C215/365,NA())</x:f>
        <x:v>0.00636986301369863</x:v>
      </x:c>
      <x:c r="L215" s="32" t="n">
        <x:f>L214/(1+K215)</x:f>
        <x:v>0.2721650141743209</x:v>
      </x:c>
      <x:c r="M215" s="30" t="n">
        <x:f>E215*L215</x:f>
        <x:v>3921.9958336570667</x:v>
      </x:c>
      <x:c r="N215" s="30" t="n">
        <x:f>F215*L215</x:f>
        <x:v>3155.165462920634</x:v>
      </x:c>
      <x:c r="O215" s="30" t="n">
        <x:f>G215*L215</x:f>
        <x:v>7077.1612965777</x:v>
      </x:c>
    </x:row>
    <x:row r="216" ht="21" customHeight="1">
      <x:c r="A216" s="28" t="n">
        <x:v>210</x:v>
      </x:c>
      <x:c r="B216" s="29" t="n">
        <x:v>51188</x:v>
      </x:c>
      <x:c r="C216" s="28" t="n">
        <x:f>B216-B215</x:f>
        <x:v>31</x:v>
      </x:c>
      <x:c r="D216" s="30" t="n">
        <x:f>H215</x:f>
        <x:v>2250678.33</x:v>
      </x:c>
      <x:c r="E216" s="30" t="n">
        <x:f>ROUND(D216*I216,2)</x:f>
        <x:v>14336.51</x:v>
      </x:c>
      <x:c r="F216" s="30" t="n">
        <x:f>IF(G216&gt;=E216,ROUND(G216-E216,2),NA())</x:f>
        <x:v>11666.69</x:v>
      </x:c>
      <x:c r="G216" s="30" t="n">
        <x:f>MIN('Параметры'!$C$14,ROUND(D216+E216,2))</x:f>
        <x:v>26003.2</x:v>
      </x:c>
      <x:c r="H216" s="30" t="n">
        <x:f>ROUND(D216-F216,2)</x:f>
        <x:v>2239011.64</x:v>
      </x:c>
      <x:c r="I216" s="33" t="n">
        <x:f>IF(AND(ISNUMBER('Параметры'!$C$7),'Параметры'!$C$7&gt;=0),'Параметры'!$C$7*C216/365,NA())</x:f>
        <x:v>0.00636986301369863</x:v>
      </x:c>
      <x:c r="J216" s="32" t="n">
        <x:f>J215/(1+I216)</x:f>
        <x:v>0.27044233355646125</x:v>
      </x:c>
      <x:c r="K216" s="33" t="n">
        <x:f>IF(AND(ISNUMBER('Параметры'!$C$8),'Параметры'!$C$8&gt;=0),'Параметры'!$C$8*C216/365,NA())</x:f>
        <x:v>0.00636986301369863</x:v>
      </x:c>
      <x:c r="L216" s="32" t="n">
        <x:f>L215/(1+K216)</x:f>
        <x:v>0.27044233355646125</x:v>
      </x:c>
      <x:c r="M216" s="30" t="n">
        <x:f>E216*L216</x:f>
        <x:v>3877.1992194555423</x:v>
      </x:c>
      <x:c r="N216" s="30" t="n">
        <x:f>F216*L216</x:f>
        <x:v>3155.166868479831</x:v>
      </x:c>
      <x:c r="O216" s="30" t="n">
        <x:f>G216*L216</x:f>
        <x:v>7032.366087935373</x:v>
      </x:c>
    </x:row>
    <x:row r="217" ht="21" customHeight="1">
      <x:c r="A217" s="28" t="n">
        <x:v>211</x:v>
      </x:c>
      <x:c r="B217" s="29" t="n">
        <x:v>51217</x:v>
      </x:c>
      <x:c r="C217" s="28" t="n">
        <x:f>B217-B216</x:f>
        <x:v>29</x:v>
      </x:c>
      <x:c r="D217" s="30" t="n">
        <x:f>H216</x:f>
        <x:v>2239011.64</x:v>
      </x:c>
      <x:c r="E217" s="30" t="n">
        <x:f>ROUND(D217*I217,2)</x:f>
        <x:v>13342.06</x:v>
      </x:c>
      <x:c r="F217" s="30" t="n">
        <x:f>IF(G217&gt;=E217,ROUND(G217-E217,2),NA())</x:f>
        <x:v>12661.14</x:v>
      </x:c>
      <x:c r="G217" s="30" t="n">
        <x:f>MIN('Параметры'!$C$14,ROUND(D217+E217,2))</x:f>
        <x:v>26003.2</x:v>
      </x:c>
      <x:c r="H217" s="30" t="n">
        <x:f>ROUND(D217-F217,2)</x:f>
        <x:v>2226350.5</x:v>
      </x:c>
      <x:c r="I217" s="33" t="n">
        <x:f>IF(AND(ISNUMBER('Параметры'!$C$7),'Параметры'!$C$7&gt;=0),'Параметры'!$C$7*C217/365,NA())</x:f>
        <x:v>0.00595890410958904</x:v>
      </x:c>
      <x:c r="J217" s="32" t="n">
        <x:f>J216/(1+I217)</x:f>
        <x:v>0.2688403397510951</x:v>
      </x:c>
      <x:c r="K217" s="33" t="n">
        <x:f>IF(AND(ISNUMBER('Параметры'!$C$8),'Параметры'!$C$8&gt;=0),'Параметры'!$C$8*C217/365,NA())</x:f>
        <x:v>0.00595890410958904</x:v>
      </x:c>
      <x:c r="L217" s="32" t="n">
        <x:f>L216/(1+K217)</x:f>
        <x:v>0.2688403397510951</x:v>
      </x:c>
      <x:c r="M217" s="30" t="n">
        <x:f>E217*L217</x:f>
        <x:v>3586.883943379496</x:v>
      </x:c>
      <x:c r="N217" s="30" t="n">
        <x:f>F217*L217</x:f>
        <x:v>3403.8251792361802</x:v>
      </x:c>
      <x:c r="O217" s="30" t="n">
        <x:f>G217*L217</x:f>
        <x:v>6990.709122615676</x:v>
      </x:c>
    </x:row>
    <x:row r="218" ht="21" customHeight="1">
      <x:c r="A218" s="28" t="n">
        <x:v>212</x:v>
      </x:c>
      <x:c r="B218" s="29" t="n">
        <x:v>51248</x:v>
      </x:c>
      <x:c r="C218" s="28" t="n">
        <x:f>B218-B217</x:f>
        <x:v>31</x:v>
      </x:c>
      <x:c r="D218" s="30" t="n">
        <x:f>H217</x:f>
        <x:v>2226350.5</x:v>
      </x:c>
      <x:c r="E218" s="30" t="n">
        <x:f>ROUND(D218*I218,2)</x:f>
        <x:v>14181.55</x:v>
      </x:c>
      <x:c r="F218" s="30" t="n">
        <x:f>IF(G218&gt;=E218,ROUND(G218-E218,2),NA())</x:f>
        <x:v>11821.65</x:v>
      </x:c>
      <x:c r="G218" s="30" t="n">
        <x:f>MIN('Параметры'!$C$14,ROUND(D218+E218,2))</x:f>
        <x:v>26003.2</x:v>
      </x:c>
      <x:c r="H218" s="30" t="n">
        <x:f>ROUND(D218-F218,2)</x:f>
        <x:v>2214528.85</x:v>
      </x:c>
      <x:c r="I218" s="33" t="n">
        <x:f>IF(AND(ISNUMBER('Параметры'!$C$7),'Параметры'!$C$7&gt;=0),'Параметры'!$C$7*C218/365,NA())</x:f>
        <x:v>0.00636986301369863</x:v>
      </x:c>
      <x:c r="J218" s="32" t="n">
        <x:f>J217/(1+I218)</x:f>
        <x:v>0.2671387028085475</x:v>
      </x:c>
      <x:c r="K218" s="33" t="n">
        <x:f>IF(AND(ISNUMBER('Параметры'!$C$8),'Параметры'!$C$8&gt;=0),'Параметры'!$C$8*C218/365,NA())</x:f>
        <x:v>0.00636986301369863</x:v>
      </x:c>
      <x:c r="L218" s="32" t="n">
        <x:f>L217/(1+K218)</x:f>
        <x:v>0.2671387028085475</x:v>
      </x:c>
      <x:c r="M218" s="30" t="n">
        <x:f>E218*L218</x:f>
        <x:v>3788.440870814557</x:v>
      </x:c>
      <x:c r="N218" s="30" t="n">
        <x:f>F218*L218</x:f>
        <x:v>3158.0202460566657</x:v>
      </x:c>
      <x:c r="O218" s="30" t="n">
        <x:f>G218*L218</x:f>
        <x:v>6946.461116871223</x:v>
      </x:c>
    </x:row>
    <x:row r="219" ht="21" customHeight="1">
      <x:c r="A219" s="28" t="n">
        <x:v>213</x:v>
      </x:c>
      <x:c r="B219" s="29" t="n">
        <x:v>51278</x:v>
      </x:c>
      <x:c r="C219" s="28" t="n">
        <x:f>B219-B218</x:f>
        <x:v>30</x:v>
      </x:c>
      <x:c r="D219" s="30" t="n">
        <x:f>H218</x:f>
        <x:v>2214528.85</x:v>
      </x:c>
      <x:c r="E219" s="30" t="n">
        <x:f>ROUND(D219*I219,2)</x:f>
        <x:v>13651.21</x:v>
      </x:c>
      <x:c r="F219" s="30" t="n">
        <x:f>IF(G219&gt;=E219,ROUND(G219-E219,2),NA())</x:f>
        <x:v>12351.99</x:v>
      </x:c>
      <x:c r="G219" s="30" t="n">
        <x:f>MIN('Параметры'!$C$14,ROUND(D219+E219,2))</x:f>
        <x:v>26003.2</x:v>
      </x:c>
      <x:c r="H219" s="30" t="n">
        <x:f>ROUND(D219-F219,2)</x:f>
        <x:v>2202176.86</x:v>
      </x:c>
      <x:c r="I219" s="33" t="n">
        <x:f>IF(AND(ISNUMBER('Параметры'!$C$7),'Параметры'!$C$7&gt;=0),'Параметры'!$C$7*C219/365,NA())</x:f>
        <x:v>0.0061643835616438354</x:v>
      </x:c>
      <x:c r="J219" s="32" t="n">
        <x:f>J218/(1+I219)</x:f>
        <x:v>0.26550204635839303</x:v>
      </x:c>
      <x:c r="K219" s="33" t="n">
        <x:f>IF(AND(ISNUMBER('Параметры'!$C$8),'Параметры'!$C$8&gt;=0),'Параметры'!$C$8*C219/365,NA())</x:f>
        <x:v>0.0061643835616438354</x:v>
      </x:c>
      <x:c r="L219" s="32" t="n">
        <x:f>L218/(1+K219)</x:f>
        <x:v>0.26550204635839303</x:v>
      </x:c>
      <x:c r="M219" s="30" t="n">
        <x:f>E219*L219</x:f>
        <x:v>3624.4241902681583</x:v>
      </x:c>
      <x:c r="N219" s="30" t="n">
        <x:f>F219*L219</x:f>
        <x:v>3279.4786215984072</x:v>
      </x:c>
      <x:c r="O219" s="30" t="n">
        <x:f>G219*L219</x:f>
        <x:v>6903.902811866566</x:v>
      </x:c>
    </x:row>
    <x:row r="220" ht="21" customHeight="1">
      <x:c r="A220" s="28" t="n">
        <x:v>214</x:v>
      </x:c>
      <x:c r="B220" s="29" t="n">
        <x:v>51309</x:v>
      </x:c>
      <x:c r="C220" s="28" t="n">
        <x:f>B220-B219</x:f>
        <x:v>31</x:v>
      </x:c>
      <x:c r="D220" s="30" t="n">
        <x:f>H219</x:f>
        <x:v>2202176.86</x:v>
      </x:c>
      <x:c r="E220" s="30" t="n">
        <x:f>ROUND(D220*I220,2)</x:f>
        <x:v>14027.56</x:v>
      </x:c>
      <x:c r="F220" s="30" t="n">
        <x:f>IF(G220&gt;=E220,ROUND(G220-E220,2),NA())</x:f>
        <x:v>11975.64</x:v>
      </x:c>
      <x:c r="G220" s="30" t="n">
        <x:f>MIN('Параметры'!$C$14,ROUND(D220+E220,2))</x:f>
        <x:v>26003.2</x:v>
      </x:c>
      <x:c r="H220" s="30" t="n">
        <x:f>ROUND(D220-F220,2)</x:f>
        <x:v>2190201.22</x:v>
      </x:c>
      <x:c r="I220" s="33" t="n">
        <x:f>IF(AND(ISNUMBER('Параметры'!$C$7),'Параметры'!$C$7&gt;=0),'Параметры'!$C$7*C220/365,NA())</x:f>
        <x:v>0.00636986301369863</x:v>
      </x:c>
      <x:c r="J220" s="32" t="n">
        <x:f>J219/(1+I220)</x:f>
        <x:v>0.2638215392930333</x:v>
      </x:c>
      <x:c r="K220" s="33" t="n">
        <x:f>IF(AND(ISNUMBER('Параметры'!$C$8),'Параметры'!$C$8&gt;=0),'Параметры'!$C$8*C220/365,NA())</x:f>
        <x:v>0.00636986301369863</x:v>
      </x:c>
      <x:c r="L220" s="32" t="n">
        <x:f>L219/(1+K220)</x:f>
        <x:v>0.2638215392930333</x:v>
      </x:c>
      <x:c r="M220" s="30" t="n">
        <x:f>E220*L220</x:f>
        <x:v>3700.7724717253823</x:v>
      </x:c>
      <x:c r="N220" s="30" t="n">
        <x:f>F220*L220</x:f>
        <x:v>3159.431778819221</x:v>
      </x:c>
      <x:c r="O220" s="30" t="n">
        <x:f>G220*L220</x:f>
        <x:v>6860.204250544604</x:v>
      </x:c>
    </x:row>
    <x:row r="221" ht="21" customHeight="1">
      <x:c r="A221" s="28" t="n">
        <x:v>215</x:v>
      </x:c>
      <x:c r="B221" s="29" t="n">
        <x:v>51339</x:v>
      </x:c>
      <x:c r="C221" s="28" t="n">
        <x:f>B221-B220</x:f>
        <x:v>30</x:v>
      </x:c>
      <x:c r="D221" s="30" t="n">
        <x:f>H220</x:f>
        <x:v>2190201.22</x:v>
      </x:c>
      <x:c r="E221" s="30" t="n">
        <x:f>ROUND(D221*I221,2)</x:f>
        <x:v>13501.24</x:v>
      </x:c>
      <x:c r="F221" s="30" t="n">
        <x:f>IF(G221&gt;=E221,ROUND(G221-E221,2),NA())</x:f>
        <x:v>12501.96</x:v>
      </x:c>
      <x:c r="G221" s="30" t="n">
        <x:f>MIN('Параметры'!$C$14,ROUND(D221+E221,2))</x:f>
        <x:v>26003.2</x:v>
      </x:c>
      <x:c r="H221" s="30" t="n">
        <x:f>ROUND(D221-F221,2)</x:f>
        <x:v>2177699.26</x:v>
      </x:c>
      <x:c r="I221" s="33" t="n">
        <x:f>IF(AND(ISNUMBER('Параметры'!$C$7),'Параметры'!$C$7&gt;=0),'Параметры'!$C$7*C221/365,NA())</x:f>
        <x:v>0.0061643835616438354</x:v>
      </x:c>
      <x:c r="J221" s="32" t="n">
        <x:f>J220/(1+I221)</x:f>
        <x:v>0.2622052058324225</x:v>
      </x:c>
      <x:c r="K221" s="33" t="n">
        <x:f>IF(AND(ISNUMBER('Параметры'!$C$8),'Параметры'!$C$8&gt;=0),'Параметры'!$C$8*C221/365,NA())</x:f>
        <x:v>0.0061643835616438354</x:v>
      </x:c>
      <x:c r="L221" s="32" t="n">
        <x:f>L220/(1+K221)</x:f>
        <x:v>0.2622052058324225</x:v>
      </x:c>
      <x:c r="M221" s="30" t="n">
        <x:f>E221*L221</x:f>
        <x:v>3540.095413192936</x:v>
      </x:c>
      <x:c r="N221" s="30" t="n">
        <x:f>F221*L221</x:f>
        <x:v>3278.0789951087127</x:v>
      </x:c>
      <x:c r="O221" s="30" t="n">
        <x:f>G221*L221</x:f>
        <x:v>6818.174408301649</x:v>
      </x:c>
    </x:row>
    <x:row r="222" ht="21" customHeight="1">
      <x:c r="A222" s="28" t="n">
        <x:v>216</x:v>
      </x:c>
      <x:c r="B222" s="29" t="n">
        <x:v>51370</x:v>
      </x:c>
      <x:c r="C222" s="28" t="n">
        <x:f>B222-B221</x:f>
        <x:v>31</x:v>
      </x:c>
      <x:c r="D222" s="30" t="n">
        <x:f>H221</x:f>
        <x:v>2177699.26</x:v>
      </x:c>
      <x:c r="E222" s="30" t="n">
        <x:f>ROUND(D222*I222,2)</x:f>
        <x:v>13871.65</x:v>
      </x:c>
      <x:c r="F222" s="30" t="n">
        <x:f>IF(G222&gt;=E222,ROUND(G222-E222,2),NA())</x:f>
        <x:v>12131.55</x:v>
      </x:c>
      <x:c r="G222" s="30" t="n">
        <x:f>MIN('Параметры'!$C$14,ROUND(D222+E222,2))</x:f>
        <x:v>26003.2</x:v>
      </x:c>
      <x:c r="H222" s="30" t="n">
        <x:f>ROUND(D222-F222,2)</x:f>
        <x:v>2165567.71</x:v>
      </x:c>
      <x:c r="I222" s="33" t="n">
        <x:f>IF(AND(ISNUMBER('Параметры'!$C$7),'Параметры'!$C$7&gt;=0),'Параметры'!$C$7*C222/365,NA())</x:f>
        <x:v>0.00636986301369863</x:v>
      </x:c>
      <x:c r="J222" s="32" t="n">
        <x:f>J221/(1+I222)</x:f>
        <x:v>0.2605455662664785</x:v>
      </x:c>
      <x:c r="K222" s="33" t="n">
        <x:f>IF(AND(ISNUMBER('Параметры'!$C$8),'Параметры'!$C$8&gt;=0),'Параметры'!$C$8*C222/365,NA())</x:f>
        <x:v>0.00636986301369863</x:v>
      </x:c>
      <x:c r="L222" s="32" t="n">
        <x:f>L221/(1+K222)</x:f>
        <x:v>0.2605455662664785</x:v>
      </x:c>
      <x:c r="M222" s="30" t="n">
        <x:f>E222*L222</x:f>
        <x:v>3614.1969043003965</x:v>
      </x:c>
      <x:c r="N222" s="30" t="n">
        <x:f>F222*L222</x:f>
        <x:v>3160.821564440097</x:v>
      </x:c>
      <x:c r="O222" s="30" t="n">
        <x:f>G222*L222</x:f>
        <x:v>6775.018468740494</x:v>
      </x:c>
    </x:row>
    <x:row r="223" ht="21" customHeight="1">
      <x:c r="A223" s="28" t="n">
        <x:v>217</x:v>
      </x:c>
      <x:c r="B223" s="29" t="n">
        <x:v>51401</x:v>
      </x:c>
      <x:c r="C223" s="28" t="n">
        <x:f>B223-B222</x:f>
        <x:v>31</x:v>
      </x:c>
      <x:c r="D223" s="30" t="n">
        <x:f>H222</x:f>
        <x:v>2165567.71</x:v>
      </x:c>
      <x:c r="E223" s="30" t="n">
        <x:f>ROUND(D223*I223,2)</x:f>
        <x:v>13794.37</x:v>
      </x:c>
      <x:c r="F223" s="30" t="n">
        <x:f>IF(G223&gt;=E223,ROUND(G223-E223,2),NA())</x:f>
        <x:v>12208.83</x:v>
      </x:c>
      <x:c r="G223" s="30" t="n">
        <x:f>MIN('Параметры'!$C$14,ROUND(D223+E223,2))</x:f>
        <x:v>26003.2</x:v>
      </x:c>
      <x:c r="H223" s="30" t="n">
        <x:f>ROUND(D223-F223,2)</x:f>
        <x:v>2153358.88</x:v>
      </x:c>
      <x:c r="I223" s="33" t="n">
        <x:f>IF(AND(ISNUMBER('Параметры'!$C$7),'Параметры'!$C$7&gt;=0),'Параметры'!$C$7*C223/365,NA())</x:f>
        <x:v>0.00636986301369863</x:v>
      </x:c>
      <x:c r="J223" s="32" t="n">
        <x:f>J222/(1+I223)</x:f>
        <x:v>0.25889643146332175</x:v>
      </x:c>
      <x:c r="K223" s="33" t="n">
        <x:f>IF(AND(ISNUMBER('Параметры'!$C$8),'Параметры'!$C$8&gt;=0),'Параметры'!$C$8*C223/365,NA())</x:f>
        <x:v>0.00636986301369863</x:v>
      </x:c>
      <x:c r="L223" s="32" t="n">
        <x:f>L222/(1+K223)</x:f>
        <x:v>0.25889643146332175</x:v>
      </x:c>
      <x:c r="M223" s="30" t="n">
        <x:f>E223*L223</x:f>
        <x:v>3571.313167284702</x:v>
      </x:c>
      <x:c r="N223" s="30" t="n">
        <x:f>F223*L223</x:f>
        <x:v>3160.8225193423464</x:v>
      </x:c>
      <x:c r="O223" s="30" t="n">
        <x:f>G223*L223</x:f>
        <x:v>6732.135686627048</x:v>
      </x:c>
    </x:row>
    <x:row r="224" ht="21" customHeight="1">
      <x:c r="A224" s="28" t="n">
        <x:v>218</x:v>
      </x:c>
      <x:c r="B224" s="29" t="n">
        <x:v>51431</x:v>
      </x:c>
      <x:c r="C224" s="28" t="n">
        <x:f>B224-B223</x:f>
        <x:v>30</x:v>
      </x:c>
      <x:c r="D224" s="30" t="n">
        <x:f>H223</x:f>
        <x:v>2153358.88</x:v>
      </x:c>
      <x:c r="E224" s="30" t="n">
        <x:f>ROUND(D224*I224,2)</x:f>
        <x:v>13274.13</x:v>
      </x:c>
      <x:c r="F224" s="30" t="n">
        <x:f>IF(G224&gt;=E224,ROUND(G224-E224,2),NA())</x:f>
        <x:v>12729.07</x:v>
      </x:c>
      <x:c r="G224" s="30" t="n">
        <x:f>MIN('Параметры'!$C$14,ROUND(D224+E224,2))</x:f>
        <x:v>26003.2</x:v>
      </x:c>
      <x:c r="H224" s="30" t="n">
        <x:f>ROUND(D224-F224,2)</x:f>
        <x:v>2140629.81</x:v>
      </x:c>
      <x:c r="I224" s="33" t="n">
        <x:f>IF(AND(ISNUMBER('Параметры'!$C$7),'Параметры'!$C$7&gt;=0),'Параметры'!$C$7*C224/365,NA())</x:f>
        <x:v>0.0061643835616438354</x:v>
      </x:c>
      <x:c r="J224" s="32" t="n">
        <x:f>J223/(1+I224)</x:f>
        <x:v>0.2573102722508167</x:v>
      </x:c>
      <x:c r="K224" s="33" t="n">
        <x:f>IF(AND(ISNUMBER('Параметры'!$C$8),'Параметры'!$C$8&gt;=0),'Параметры'!$C$8*C224/365,NA())</x:f>
        <x:v>0.0061643835616438354</x:v>
      </x:c>
      <x:c r="L224" s="32" t="n">
        <x:f>L223/(1+K224)</x:f>
        <x:v>0.2573102722508167</x:v>
      </x:c>
      <x:c r="M224" s="30" t="n">
        <x:f>E224*L224</x:f>
        <x:v>3415.5700041927334</x:v>
      </x:c>
      <x:c r="N224" s="30" t="n">
        <x:f>F224*L224</x:f>
        <x:v>3275.320467199703</x:v>
      </x:c>
      <x:c r="O224" s="30" t="n">
        <x:f>G224*L224</x:f>
        <x:v>6690.890471392438</x:v>
      </x:c>
    </x:row>
    <x:row r="225" ht="21" customHeight="1">
      <x:c r="A225" s="28" t="n">
        <x:v>219</x:v>
      </x:c>
      <x:c r="B225" s="29" t="n">
        <x:v>51462</x:v>
      </x:c>
      <x:c r="C225" s="28" t="n">
        <x:f>B225-B224</x:f>
        <x:v>31</x:v>
      </x:c>
      <x:c r="D225" s="30" t="n">
        <x:f>H224</x:f>
        <x:v>2140629.81</x:v>
      </x:c>
      <x:c r="E225" s="30" t="n">
        <x:f>ROUND(D225*I225,2)</x:f>
        <x:v>13635.52</x:v>
      </x:c>
      <x:c r="F225" s="30" t="n">
        <x:f>IF(G225&gt;=E225,ROUND(G225-E225,2),NA())</x:f>
        <x:v>12367.68</x:v>
      </x:c>
      <x:c r="G225" s="30" t="n">
        <x:f>MIN('Параметры'!$C$14,ROUND(D225+E225,2))</x:f>
        <x:v>26003.2</x:v>
      </x:c>
      <x:c r="H225" s="30" t="n">
        <x:f>ROUND(D225-F225,2)</x:f>
        <x:v>2128262.13</x:v>
      </x:c>
      <x:c r="I225" s="33" t="n">
        <x:f>IF(AND(ISNUMBER('Параметры'!$C$7),'Параметры'!$C$7&gt;=0),'Параметры'!$C$7*C225/365,NA())</x:f>
        <x:v>0.00636986301369863</x:v>
      </x:c>
      <x:c r="J225" s="32" t="n">
        <x:f>J224/(1+I225)</x:f>
        <x:v>0.25568161538568873</x:v>
      </x:c>
      <x:c r="K225" s="33" t="n">
        <x:f>IF(AND(ISNUMBER('Параметры'!$C$8),'Параметры'!$C$8&gt;=0),'Параметры'!$C$8*C225/365,NA())</x:f>
        <x:v>0.00636986301369863</x:v>
      </x:c>
      <x:c r="L225" s="32" t="n">
        <x:f>L224/(1+K225)</x:f>
        <x:v>0.25568161538568873</x:v>
      </x:c>
      <x:c r="M225" s="30" t="n">
        <x:f>E225*L225</x:f>
        <x:v>3486.3517802238666</x:v>
      </x:c>
      <x:c r="N225" s="30" t="n">
        <x:f>F225*L225</x:f>
        <x:v>3162.188400973275</x:v>
      </x:c>
      <x:c r="O225" s="30" t="n">
        <x:f>G225*L225</x:f>
        <x:v>6648.5401811971415</x:v>
      </x:c>
    </x:row>
    <x:row r="226" ht="21" customHeight="1">
      <x:c r="A226" s="28" t="n">
        <x:v>220</x:v>
      </x:c>
      <x:c r="B226" s="29" t="n">
        <x:v>51492</x:v>
      </x:c>
      <x:c r="C226" s="28" t="n">
        <x:f>B226-B225</x:f>
        <x:v>30</x:v>
      </x:c>
      <x:c r="D226" s="30" t="n">
        <x:f>H225</x:f>
        <x:v>2128262.13</x:v>
      </x:c>
      <x:c r="E226" s="30" t="n">
        <x:f>ROUND(D226*I226,2)</x:f>
        <x:v>13119.42</x:v>
      </x:c>
      <x:c r="F226" s="30" t="n">
        <x:f>IF(G226&gt;=E226,ROUND(G226-E226,2),NA())</x:f>
        <x:v>12883.78</x:v>
      </x:c>
      <x:c r="G226" s="30" t="n">
        <x:f>MIN('Параметры'!$C$14,ROUND(D226+E226,2))</x:f>
        <x:v>26003.2</x:v>
      </x:c>
      <x:c r="H226" s="30" t="n">
        <x:f>ROUND(D226-F226,2)</x:f>
        <x:v>2115378.35</x:v>
      </x:c>
      <x:c r="I226" s="33" t="n">
        <x:f>IF(AND(ISNUMBER('Параметры'!$C$7),'Параметры'!$C$7&gt;=0),'Параметры'!$C$7*C226/365,NA())</x:f>
        <x:v>0.0061643835616438354</x:v>
      </x:c>
      <x:c r="J226" s="32" t="n">
        <x:f>J225/(1+I226)</x:f>
        <x:v>0.2541151521192005</x:v>
      </x:c>
      <x:c r="K226" s="33" t="n">
        <x:f>IF(AND(ISNUMBER('Параметры'!$C$8),'Параметры'!$C$8&gt;=0),'Параметры'!$C$8*C226/365,NA())</x:f>
        <x:v>0.0061643835616438354</x:v>
      </x:c>
      <x:c r="L226" s="32" t="n">
        <x:f>L225/(1+K226)</x:f>
        <x:v>0.2541151521192005</x:v>
      </x:c>
      <x:c r="M226" s="30" t="n">
        <x:f>E226*L226</x:f>
        <x:v>3333.8434090156816</x:v>
      </x:c>
      <x:c r="N226" s="30" t="n">
        <x:f>F226*L226</x:f>
        <x:v>3273.963714570313</x:v>
      </x:c>
      <x:c r="O226" s="30" t="n">
        <x:f>G226*L226</x:f>
        <x:v>6607.807123585994</x:v>
      </x:c>
    </x:row>
    <x:row r="227" ht="21" customHeight="1">
      <x:c r="A227" s="28" t="n">
        <x:v>221</x:v>
      </x:c>
      <x:c r="B227" s="29" t="n">
        <x:v>51523</x:v>
      </x:c>
      <x:c r="C227" s="28" t="n">
        <x:f>B227-B226</x:f>
        <x:v>31</x:v>
      </x:c>
      <x:c r="D227" s="30" t="n">
        <x:f>H226</x:f>
        <x:v>2115378.35</x:v>
      </x:c>
      <x:c r="E227" s="30" t="n">
        <x:f>ROUND(D227*I227,2)</x:f>
        <x:v>13474.67</x:v>
      </x:c>
      <x:c r="F227" s="30" t="n">
        <x:f>IF(G227&gt;=E227,ROUND(G227-E227,2),NA())</x:f>
        <x:v>12528.53</x:v>
      </x:c>
      <x:c r="G227" s="30" t="n">
        <x:f>MIN('Параметры'!$C$14,ROUND(D227+E227,2))</x:f>
        <x:v>26003.2</x:v>
      </x:c>
      <x:c r="H227" s="30" t="n">
        <x:f>ROUND(D227-F227,2)</x:f>
        <x:v>2102849.82</x:v>
      </x:c>
      <x:c r="I227" s="33" t="n">
        <x:f>IF(AND(ISNUMBER('Параметры'!$C$7),'Параметры'!$C$7&gt;=0),'Параметры'!$C$7*C227/365,NA())</x:f>
        <x:v>0.00636986301369863</x:v>
      </x:c>
      <x:c r="J227" s="32" t="n">
        <x:f>J226/(1+I227)</x:f>
        <x:v>0.25250671890970716</x:v>
      </x:c>
      <x:c r="K227" s="33" t="n">
        <x:f>IF(AND(ISNUMBER('Параметры'!$C$8),'Параметры'!$C$8&gt;=0),'Параметры'!$C$8*C227/365,NA())</x:f>
        <x:v>0.00636986301369863</x:v>
      </x:c>
      <x:c r="L227" s="32" t="n">
        <x:f>L226/(1+K227)</x:f>
        <x:v>0.25250671890970716</x:v>
      </x:c>
      <x:c r="M227" s="30" t="n">
        <x:f>E227*L227</x:f>
        <x:v>3402.444710091064</x:v>
      </x:c>
      <x:c r="N227" s="30" t="n">
        <x:f>F227*L227</x:f>
        <x:v>3163.5380030618335</x:v>
      </x:c>
      <x:c r="O227" s="30" t="n">
        <x:f>G227*L227</x:f>
        <x:v>6565.982713152897</x:v>
      </x:c>
    </x:row>
    <x:row r="228" ht="21" customHeight="1">
      <x:c r="A228" s="28" t="n">
        <x:v>222</x:v>
      </x:c>
      <x:c r="B228" s="29" t="n">
        <x:v>51554</x:v>
      </x:c>
      <x:c r="C228" s="28" t="n">
        <x:f>B228-B227</x:f>
        <x:v>31</x:v>
      </x:c>
      <x:c r="D228" s="30" t="n">
        <x:f>H227</x:f>
        <x:v>2102849.82</x:v>
      </x:c>
      <x:c r="E228" s="30" t="n">
        <x:f>ROUND(D228*I228,2)</x:f>
        <x:v>13394.87</x:v>
      </x:c>
      <x:c r="F228" s="30" t="n">
        <x:f>IF(G228&gt;=E228,ROUND(G228-E228,2),NA())</x:f>
        <x:v>12608.33</x:v>
      </x:c>
      <x:c r="G228" s="30" t="n">
        <x:f>MIN('Параметры'!$C$14,ROUND(D228+E228,2))</x:f>
        <x:v>26003.2</x:v>
      </x:c>
      <x:c r="H228" s="30" t="n">
        <x:f>ROUND(D228-F228,2)</x:f>
        <x:v>2090241.49</x:v>
      </x:c>
      <x:c r="I228" s="33" t="n">
        <x:f>IF(AND(ISNUMBER('Параметры'!$C$7),'Параметры'!$C$7&gt;=0),'Параметры'!$C$7*C228/365,NA())</x:f>
        <x:v>0.00636986301369863</x:v>
      </x:c>
      <x:c r="J228" s="32" t="n">
        <x:f>J227/(1+I228)</x:f>
        <x:v>0.25090846635007996</x:v>
      </x:c>
      <x:c r="K228" s="33" t="n">
        <x:f>IF(AND(ISNUMBER('Параметры'!$C$8),'Параметры'!$C$8&gt;=0),'Параметры'!$C$8*C228/365,NA())</x:f>
        <x:v>0.00636986301369863</x:v>
      </x:c>
      <x:c r="L228" s="32" t="n">
        <x:f>L227/(1+K228)</x:f>
        <x:v>0.25090846635007996</x:v>
      </x:c>
      <x:c r="M228" s="30" t="n">
        <x:f>E228*L228</x:f>
        <x:v>3360.886288658696</x:v>
      </x:c>
      <x:c r="N228" s="30" t="n">
        <x:f>F228*L228</x:f>
        <x:v>3163.536743535704</x:v>
      </x:c>
      <x:c r="O228" s="30" t="n">
        <x:f>G228*L228</x:f>
        <x:v>6524.4230321944</x:v>
      </x:c>
    </x:row>
    <x:row r="229" ht="21" customHeight="1">
      <x:c r="A229" s="28" t="n">
        <x:v>223</x:v>
      </x:c>
      <x:c r="B229" s="29" t="n">
        <x:v>51582</x:v>
      </x:c>
      <x:c r="C229" s="28" t="n">
        <x:f>B229-B228</x:f>
        <x:v>28</x:v>
      </x:c>
      <x:c r="D229" s="30" t="n">
        <x:f>H228</x:f>
        <x:v>2090241.49</x:v>
      </x:c>
      <x:c r="E229" s="30" t="n">
        <x:f>ROUND(D229*I229,2)</x:f>
        <x:v>12026.05</x:v>
      </x:c>
      <x:c r="F229" s="30" t="n">
        <x:f>IF(G229&gt;=E229,ROUND(G229-E229,2),NA())</x:f>
        <x:v>13977.15</x:v>
      </x:c>
      <x:c r="G229" s="30" t="n">
        <x:f>MIN('Параметры'!$C$14,ROUND(D229+E229,2))</x:f>
        <x:v>26003.2</x:v>
      </x:c>
      <x:c r="H229" s="30" t="n">
        <x:f>ROUND(D229-F229,2)</x:f>
        <x:v>2076264.34</x:v>
      </x:c>
      <x:c r="I229" s="33" t="n">
        <x:f>IF(AND(ISNUMBER('Параметры'!$C$7),'Параметры'!$C$7&gt;=0),'Параметры'!$C$7*C229/365,NA())</x:f>
        <x:v>0.005753424657534247</x:v>
      </x:c>
      <x:c r="J229" s="32" t="n">
        <x:f>J228/(1+I229)</x:f>
        <x:v>0.2494731414268025</x:v>
      </x:c>
      <x:c r="K229" s="33" t="n">
        <x:f>IF(AND(ISNUMBER('Параметры'!$C$8),'Параметры'!$C$8&gt;=0),'Параметры'!$C$8*C229/365,NA())</x:f>
        <x:v>0.005753424657534247</x:v>
      </x:c>
      <x:c r="L229" s="32" t="n">
        <x:f>L228/(1+K229)</x:f>
        <x:v>0.2494731414268025</x:v>
      </x:c>
      <x:c r="M229" s="30" t="n">
        <x:f>E229*L229</x:f>
        <x:v>3000.176472455798</x:v>
      </x:c>
      <x:c r="N229" s="30" t="n">
        <x:f>F229*L229</x:f>
        <x:v>3486.9235186936326</x:v>
      </x:c>
      <x:c r="O229" s="30" t="n">
        <x:f>G229*L229</x:f>
        <x:v>6487.099991149431</x:v>
      </x:c>
    </x:row>
    <x:row r="230" ht="21" customHeight="1">
      <x:c r="A230" s="28" t="n">
        <x:v>224</x:v>
      </x:c>
      <x:c r="B230" s="29" t="n">
        <x:v>51613</x:v>
      </x:c>
      <x:c r="C230" s="28" t="n">
        <x:f>B230-B229</x:f>
        <x:v>31</x:v>
      </x:c>
      <x:c r="D230" s="30" t="n">
        <x:f>H229</x:f>
        <x:v>2076264.34</x:v>
      </x:c>
      <x:c r="E230" s="30" t="n">
        <x:f>ROUND(D230*I230,2)</x:f>
        <x:v>13225.52</x:v>
      </x:c>
      <x:c r="F230" s="30" t="n">
        <x:f>IF(G230&gt;=E230,ROUND(G230-E230,2),NA())</x:f>
        <x:v>12777.68</x:v>
      </x:c>
      <x:c r="G230" s="30" t="n">
        <x:f>MIN('Параметры'!$C$14,ROUND(D230+E230,2))</x:f>
        <x:v>26003.2</x:v>
      </x:c>
      <x:c r="H230" s="30" t="n">
        <x:f>ROUND(D230-F230,2)</x:f>
        <x:v>2063486.66</x:v>
      </x:c>
      <x:c r="I230" s="33" t="n">
        <x:f>IF(AND(ISNUMBER('Параметры'!$C$7),'Параметры'!$C$7&gt;=0),'Параметры'!$C$7*C230/365,NA())</x:f>
        <x:v>0.00636986301369863</x:v>
      </x:c>
      <x:c r="J230" s="32" t="n">
        <x:f>J229/(1+I230)</x:f>
        <x:v>0.24789409003139704</x:v>
      </x:c>
      <x:c r="K230" s="33" t="n">
        <x:f>IF(AND(ISNUMBER('Параметры'!$C$8),'Параметры'!$C$8&gt;=0),'Параметры'!$C$8*C230/365,NA())</x:f>
        <x:v>0.00636986301369863</x:v>
      </x:c>
      <x:c r="L230" s="32" t="n">
        <x:f>L229/(1+K230)</x:f>
        <x:v>0.24789409003139704</x:v>
      </x:c>
      <x:c r="M230" s="30" t="n">
        <x:f>E230*L230</x:f>
        <x:v>3278.5282455920424</x:v>
      </x:c>
      <x:c r="N230" s="30" t="n">
        <x:f>F230*L230</x:f>
        <x:v>3167.5113563123814</x:v>
      </x:c>
      <x:c r="O230" s="30" t="n">
        <x:f>G230*L230</x:f>
        <x:v>6446.039601904424</x:v>
      </x:c>
    </x:row>
    <x:row r="231" ht="21" customHeight="1">
      <x:c r="A231" s="28" t="n">
        <x:v>225</x:v>
      </x:c>
      <x:c r="B231" s="29" t="n">
        <x:v>51643</x:v>
      </x:c>
      <x:c r="C231" s="28" t="n">
        <x:f>B231-B230</x:f>
        <x:v>30</x:v>
      </x:c>
      <x:c r="D231" s="30" t="n">
        <x:f>H230</x:f>
        <x:v>2063486.66</x:v>
      </x:c>
      <x:c r="E231" s="30" t="n">
        <x:f>ROUND(D231*I231,2)</x:f>
        <x:v>12720.12</x:v>
      </x:c>
      <x:c r="F231" s="30" t="n">
        <x:f>IF(G231&gt;=E231,ROUND(G231-E231,2),NA())</x:f>
        <x:v>13283.08</x:v>
      </x:c>
      <x:c r="G231" s="30" t="n">
        <x:f>MIN('Параметры'!$C$14,ROUND(D231+E231,2))</x:f>
        <x:v>26003.2</x:v>
      </x:c>
      <x:c r="H231" s="30" t="n">
        <x:f>ROUND(D231-F231,2)</x:f>
        <x:v>2050203.58</x:v>
      </x:c>
      <x:c r="I231" s="33" t="n">
        <x:f>IF(AND(ISNUMBER('Параметры'!$C$7),'Параметры'!$C$7&gt;=0),'Параметры'!$C$7*C231/365,NA())</x:f>
        <x:v>0.0061643835616438354</x:v>
      </x:c>
      <x:c r="J231" s="32" t="n">
        <x:f>J230/(1+I231)</x:f>
        <x:v>0.24637533794815497</x:v>
      </x:c>
      <x:c r="K231" s="33" t="n">
        <x:f>IF(AND(ISNUMBER('Параметры'!$C$8),'Параметры'!$C$8&gt;=0),'Параметры'!$C$8*C231/365,NA())</x:f>
        <x:v>0.0061643835616438354</x:v>
      </x:c>
      <x:c r="L231" s="32" t="n">
        <x:f>L230/(1+K231)</x:f>
        <x:v>0.24637533794815497</x:v>
      </x:c>
      <x:c r="M231" s="30" t="n">
        <x:f>E231*L231</x:f>
        <x:v>3133.9238637410854</x:v>
      </x:c>
      <x:c r="N231" s="30" t="n">
        <x:f>F231*L231</x:f>
        <x:v>3272.623323992378</x:v>
      </x:c>
      <x:c r="O231" s="30" t="n">
        <x:f>G231*L231</x:f>
        <x:v>6406.547187733464</x:v>
      </x:c>
    </x:row>
    <x:row r="232" ht="21" customHeight="1">
      <x:c r="A232" s="28" t="n">
        <x:v>226</x:v>
      </x:c>
      <x:c r="B232" s="29" t="n">
        <x:v>51674</x:v>
      </x:c>
      <x:c r="C232" s="28" t="n">
        <x:f>B232-B231</x:f>
        <x:v>31</x:v>
      </x:c>
      <x:c r="D232" s="30" t="n">
        <x:f>H231</x:f>
        <x:v>2050203.58</x:v>
      </x:c>
      <x:c r="E232" s="30" t="n">
        <x:f>ROUND(D232*I232,2)</x:f>
        <x:v>13059.52</x:v>
      </x:c>
      <x:c r="F232" s="30" t="n">
        <x:f>IF(G232&gt;=E232,ROUND(G232-E232,2),NA())</x:f>
        <x:v>12943.68</x:v>
      </x:c>
      <x:c r="G232" s="30" t="n">
        <x:f>MIN('Параметры'!$C$14,ROUND(D232+E232,2))</x:f>
        <x:v>26003.2</x:v>
      </x:c>
      <x:c r="H232" s="30" t="n">
        <x:f>ROUND(D232-F232,2)</x:f>
        <x:v>2037259.9</x:v>
      </x:c>
      <x:c r="I232" s="33" t="n">
        <x:f>IF(AND(ISNUMBER('Параметры'!$C$7),'Параметры'!$C$7&gt;=0),'Параметры'!$C$7*C232/365,NA())</x:f>
        <x:v>0.00636986301369863</x:v>
      </x:c>
      <x:c r="J232" s="32" t="n">
        <x:f>J231/(1+I232)</x:f>
        <x:v>0.244815894238281</x:v>
      </x:c>
      <x:c r="K232" s="33" t="n">
        <x:f>IF(AND(ISNUMBER('Параметры'!$C$8),'Параметры'!$C$8&gt;=0),'Параметры'!$C$8*C232/365,NA())</x:f>
        <x:v>0.00636986301369863</x:v>
      </x:c>
      <x:c r="L232" s="32" t="n">
        <x:f>L231/(1+K232)</x:f>
        <x:v>0.244815894238281</x:v>
      </x:c>
      <x:c r="M232" s="30" t="n">
        <x:f>E232*L232</x:f>
        <x:v>3197.1780671227157</x:v>
      </x:c>
      <x:c r="N232" s="30" t="n">
        <x:f>F232*L232</x:f>
        <x:v>3168.8185939341533</x:v>
      </x:c>
      <x:c r="O232" s="30" t="n">
        <x:f>G232*L232</x:f>
        <x:v>6365.996661056869</x:v>
      </x:c>
    </x:row>
    <x:row r="233" ht="21" customHeight="1">
      <x:c r="A233" s="28" t="n">
        <x:v>227</x:v>
      </x:c>
      <x:c r="B233" s="29" t="n">
        <x:v>51704</x:v>
      </x:c>
      <x:c r="C233" s="28" t="n">
        <x:f>B233-B232</x:f>
        <x:v>30</x:v>
      </x:c>
      <x:c r="D233" s="30" t="n">
        <x:f>H232</x:f>
        <x:v>2037259.9</x:v>
      </x:c>
      <x:c r="E233" s="30" t="n">
        <x:f>ROUND(D233*I233,2)</x:f>
        <x:v>12558.45</x:v>
      </x:c>
      <x:c r="F233" s="30" t="n">
        <x:f>IF(G233&gt;=E233,ROUND(G233-E233,2),NA())</x:f>
        <x:v>13444.75</x:v>
      </x:c>
      <x:c r="G233" s="30" t="n">
        <x:f>MIN('Параметры'!$C$14,ROUND(D233+E233,2))</x:f>
        <x:v>26003.2</x:v>
      </x:c>
      <x:c r="H233" s="30" t="n">
        <x:f>ROUND(D233-F233,2)</x:f>
        <x:v>2023815.15</x:v>
      </x:c>
      <x:c r="I233" s="33" t="n">
        <x:f>IF(AND(ISNUMBER('Параметры'!$C$7),'Параметры'!$C$7&gt;=0),'Параметры'!$C$7*C233/365,NA())</x:f>
        <x:v>0.0061643835616438354</x:v>
      </x:c>
      <x:c r="J233" s="32" t="n">
        <x:f>J232/(1+I233)</x:f>
        <x:v>0.2433160010809328</x:v>
      </x:c>
      <x:c r="K233" s="33" t="n">
        <x:f>IF(AND(ISNUMBER('Параметры'!$C$8),'Параметры'!$C$8&gt;=0),'Параметры'!$C$8*C233/365,NA())</x:f>
        <x:v>0.0061643835616438354</x:v>
      </x:c>
      <x:c r="L233" s="32" t="n">
        <x:f>L232/(1+K233)</x:f>
        <x:v>0.2433160010809328</x:v>
      </x:c>
      <x:c r="M233" s="30" t="n">
        <x:f>E233*L233</x:f>
        <x:v>3055.6718337748407</x:v>
      </x:c>
      <x:c r="N233" s="30" t="n">
        <x:f>F233*L233</x:f>
        <x:v>3271.3228055328714</x:v>
      </x:c>
      <x:c r="O233" s="30" t="n">
        <x:f>G233*L233</x:f>
        <x:v>6326.994639307712</x:v>
      </x:c>
    </x:row>
    <x:row r="234" ht="21" customHeight="1">
      <x:c r="A234" s="28" t="n">
        <x:v>228</x:v>
      </x:c>
      <x:c r="B234" s="29" t="n">
        <x:v>51735</x:v>
      </x:c>
      <x:c r="C234" s="28" t="n">
        <x:f>B234-B233</x:f>
        <x:v>31</x:v>
      </x:c>
      <x:c r="D234" s="30" t="n">
        <x:f>H233</x:f>
        <x:v>2023815.15</x:v>
      </x:c>
      <x:c r="E234" s="30" t="n">
        <x:f>ROUND(D234*I234,2)</x:f>
        <x:v>12891.43</x:v>
      </x:c>
      <x:c r="F234" s="30" t="n">
        <x:f>IF(G234&gt;=E234,ROUND(G234-E234,2),NA())</x:f>
        <x:v>13111.77</x:v>
      </x:c>
      <x:c r="G234" s="30" t="n">
        <x:f>MIN('Параметры'!$C$14,ROUND(D234+E234,2))</x:f>
        <x:v>26003.2</x:v>
      </x:c>
      <x:c r="H234" s="30" t="n">
        <x:f>ROUND(D234-F234,2)</x:f>
        <x:v>2010703.38</x:v>
      </x:c>
      <x:c r="I234" s="33" t="n">
        <x:f>IF(AND(ISNUMBER('Параметры'!$C$7),'Параметры'!$C$7&gt;=0),'Параметры'!$C$7*C234/365,NA())</x:f>
        <x:v>0.00636986301369863</x:v>
      </x:c>
      <x:c r="J234" s="32" t="n">
        <x:f>J233/(1+I234)</x:f>
        <x:v>0.24177592158045458</x:v>
      </x:c>
      <x:c r="K234" s="33" t="n">
        <x:f>IF(AND(ISNUMBER('Параметры'!$C$8),'Параметры'!$C$8&gt;=0),'Параметры'!$C$8*C234/365,NA())</x:f>
        <x:v>0.00636986301369863</x:v>
      </x:c>
      <x:c r="L234" s="32" t="n">
        <x:f>L233/(1+K234)</x:f>
        <x:v>0.24177592158045458</x:v>
      </x:c>
      <x:c r="M234" s="30" t="n">
        <x:f>E234*L234</x:f>
        <x:v>3116.83736873992</x:v>
      </x:c>
      <x:c r="N234" s="30" t="n">
        <x:f>F234*L234</x:f>
        <x:v>3170.1102753009573</x:v>
      </x:c>
      <x:c r="O234" s="30" t="n">
        <x:f>G234*L234</x:f>
        <x:v>6286.947644040877</x:v>
      </x:c>
    </x:row>
    <x:row r="235" ht="21" customHeight="1">
      <x:c r="A235" s="28" t="n">
        <x:v>229</x:v>
      </x:c>
      <x:c r="B235" s="29" t="n">
        <x:v>51766</x:v>
      </x:c>
      <x:c r="C235" s="28" t="n">
        <x:f>B235-B234</x:f>
        <x:v>31</x:v>
      </x:c>
      <x:c r="D235" s="30" t="n">
        <x:f>H234</x:f>
        <x:v>2010703.38</x:v>
      </x:c>
      <x:c r="E235" s="30" t="n">
        <x:f>ROUND(D235*I235,2)</x:f>
        <x:v>12807.91</x:v>
      </x:c>
      <x:c r="F235" s="30" t="n">
        <x:f>IF(G235&gt;=E235,ROUND(G235-E235,2),NA())</x:f>
        <x:v>13195.29</x:v>
      </x:c>
      <x:c r="G235" s="30" t="n">
        <x:f>MIN('Параметры'!$C$14,ROUND(D235+E235,2))</x:f>
        <x:v>26003.2</x:v>
      </x:c>
      <x:c r="H235" s="30" t="n">
        <x:f>ROUND(D235-F235,2)</x:f>
        <x:v>1997508.09</x:v>
      </x:c>
      <x:c r="I235" s="33" t="n">
        <x:f>IF(AND(ISNUMBER('Параметры'!$C$7),'Параметры'!$C$7&gt;=0),'Параметры'!$C$7*C235/365,NA())</x:f>
        <x:v>0.00636986301369863</x:v>
      </x:c>
      <x:c r="J235" s="32" t="n">
        <x:f>J234/(1+I235)</x:f>
        <x:v>0.24024559008198715</x:v>
      </x:c>
      <x:c r="K235" s="33" t="n">
        <x:f>IF(AND(ISNUMBER('Параметры'!$C$8),'Параметры'!$C$8&gt;=0),'Параметры'!$C$8*C235/365,NA())</x:f>
        <x:v>0.00636986301369863</x:v>
      </x:c>
      <x:c r="L235" s="32" t="n">
        <x:f>L234/(1+K235)</x:f>
        <x:v>0.24024559008198715</x:v>
      </x:c>
      <x:c r="M235" s="30" t="n">
        <x:f>E235*L235</x:f>
        <x:v>3077.043895666984</x:v>
      </x:c>
      <x:c r="N235" s="30" t="n">
        <x:f>F235*L235</x:f>
        <x:v>3170.1102323529444</x:v>
      </x:c>
      <x:c r="O235" s="30" t="n">
        <x:f>G235*L235</x:f>
        <x:v>6247.154128019928</x:v>
      </x:c>
    </x:row>
    <x:row r="236" ht="21" customHeight="1">
      <x:c r="A236" s="28" t="n">
        <x:v>230</x:v>
      </x:c>
      <x:c r="B236" s="29" t="n">
        <x:v>51796</x:v>
      </x:c>
      <x:c r="C236" s="28" t="n">
        <x:f>B236-B235</x:f>
        <x:v>30</x:v>
      </x:c>
      <x:c r="D236" s="30" t="n">
        <x:f>H235</x:f>
        <x:v>1997508.09</x:v>
      </x:c>
      <x:c r="E236" s="30" t="n">
        <x:f>ROUND(D236*I236,2)</x:f>
        <x:v>12313.41</x:v>
      </x:c>
      <x:c r="F236" s="30" t="n">
        <x:f>IF(G236&gt;=E236,ROUND(G236-E236,2),NA())</x:f>
        <x:v>13689.79</x:v>
      </x:c>
      <x:c r="G236" s="30" t="n">
        <x:f>MIN('Параметры'!$C$14,ROUND(D236+E236,2))</x:f>
        <x:v>26003.2</x:v>
      </x:c>
      <x:c r="H236" s="30" t="n">
        <x:f>ROUND(D236-F236,2)</x:f>
        <x:v>1983818.3</x:v>
      </x:c>
      <x:c r="I236" s="33" t="n">
        <x:f>IF(AND(ISNUMBER('Параметры'!$C$7),'Параметры'!$C$7&gt;=0),'Параметры'!$C$7*C236/365,NA())</x:f>
        <x:v>0.0061643835616438354</x:v>
      </x:c>
      <x:c r="J236" s="32" t="n">
        <x:f>J235/(1+I236)</x:f>
        <x:v>0.23877369742661758</x:v>
      </x:c>
      <x:c r="K236" s="33" t="n">
        <x:f>IF(AND(ISNUMBER('Параметры'!$C$8),'Параметры'!$C$8&gt;=0),'Параметры'!$C$8*C236/365,NA())</x:f>
        <x:v>0.0061643835616438354</x:v>
      </x:c>
      <x:c r="L236" s="32" t="n">
        <x:f>L235/(1+K236)</x:f>
        <x:v>0.23877369742661758</x:v>
      </x:c>
      <x:c r="M236" s="30" t="n">
        <x:f>E236*L236</x:f>
        <x:v>2940.118433629887</x:v>
      </x:c>
      <x:c r="N236" s="30" t="n">
        <x:f>F236*L236</x:f>
        <x:v>3268.7617752939354</x:v>
      </x:c>
      <x:c r="O236" s="30" t="n">
        <x:f>G236*L236</x:f>
        <x:v>6208.8802089238225</x:v>
      </x:c>
    </x:row>
    <x:row r="237" ht="21" customHeight="1">
      <x:c r="A237" s="28" t="n">
        <x:v>231</x:v>
      </x:c>
      <x:c r="B237" s="29" t="n">
        <x:v>51827</x:v>
      </x:c>
      <x:c r="C237" s="28" t="n">
        <x:f>B237-B236</x:f>
        <x:v>31</x:v>
      </x:c>
      <x:c r="D237" s="30" t="n">
        <x:f>H236</x:f>
        <x:v>1983818.3</x:v>
      </x:c>
      <x:c r="E237" s="30" t="n">
        <x:f>ROUND(D237*I237,2)</x:f>
        <x:v>12636.65</x:v>
      </x:c>
      <x:c r="F237" s="30" t="n">
        <x:f>IF(G237&gt;=E237,ROUND(G237-E237,2),NA())</x:f>
        <x:v>13366.55</x:v>
      </x:c>
      <x:c r="G237" s="30" t="n">
        <x:f>MIN('Параметры'!$C$14,ROUND(D237+E237,2))</x:f>
        <x:v>26003.2</x:v>
      </x:c>
      <x:c r="H237" s="30" t="n">
        <x:f>ROUND(D237-F237,2)</x:f>
        <x:v>1970451.75</x:v>
      </x:c>
      <x:c r="I237" s="33" t="n">
        <x:f>IF(AND(ISNUMBER('Параметры'!$C$7),'Параметры'!$C$7&gt;=0),'Параметры'!$C$7*C237/365,NA())</x:f>
        <x:v>0.00636986301369863</x:v>
      </x:c>
      <x:c r="J237" s="32" t="n">
        <x:f>J236/(1+I237)</x:f>
        <x:v>0.23726236864007466</x:v>
      </x:c>
      <x:c r="K237" s="33" t="n">
        <x:f>IF(AND(ISNUMBER('Параметры'!$C$8),'Параметры'!$C$8&gt;=0),'Параметры'!$C$8*C237/365,NA())</x:f>
        <x:v>0.00636986301369863</x:v>
      </x:c>
      <x:c r="L237" s="32" t="n">
        <x:f>L236/(1+K237)</x:f>
        <x:v>0.23726236864007466</x:v>
      </x:c>
      <x:c r="M237" s="30" t="n">
        <x:f>E237*L237</x:f>
        <x:v>2998.2015106755994</x:v>
      </x:c>
      <x:c r="N237" s="30" t="n">
        <x:f>F237*L237</x:f>
        <x:v>3171.3793135459896</x:v>
      </x:c>
      <x:c r="O237" s="30" t="n">
        <x:f>G237*L237</x:f>
        <x:v>6169.58082422159</x:v>
      </x:c>
    </x:row>
    <x:row r="238" ht="21" customHeight="1">
      <x:c r="A238" s="28" t="n">
        <x:v>232</x:v>
      </x:c>
      <x:c r="B238" s="29" t="n">
        <x:v>51857</x:v>
      </x:c>
      <x:c r="C238" s="28" t="n">
        <x:f>B238-B237</x:f>
        <x:v>30</x:v>
      </x:c>
      <x:c r="D238" s="30" t="n">
        <x:f>H237</x:f>
        <x:v>1970451.75</x:v>
      </x:c>
      <x:c r="E238" s="30" t="n">
        <x:f>ROUND(D238*I238,2)</x:f>
        <x:v>12146.62</x:v>
      </x:c>
      <x:c r="F238" s="30" t="n">
        <x:f>IF(G238&gt;=E238,ROUND(G238-E238,2),NA())</x:f>
        <x:v>13856.58</x:v>
      </x:c>
      <x:c r="G238" s="30" t="n">
        <x:f>MIN('Параметры'!$C$14,ROUND(D238+E238,2))</x:f>
        <x:v>26003.2</x:v>
      </x:c>
      <x:c r="H238" s="30" t="n">
        <x:f>ROUND(D238-F238,2)</x:f>
        <x:v>1956595.17</x:v>
      </x:c>
      <x:c r="I238" s="33" t="n">
        <x:f>IF(AND(ISNUMBER('Параметры'!$C$7),'Параметры'!$C$7&gt;=0),'Параметры'!$C$7*C238/365,NA())</x:f>
        <x:v>0.0061643835616438354</x:v>
      </x:c>
      <x:c r="J238" s="32" t="n">
        <x:f>J237/(1+I238)</x:f>
        <x:v>0.23580875303914842</x:v>
      </x:c>
      <x:c r="K238" s="33" t="n">
        <x:f>IF(AND(ISNUMBER('Параметры'!$C$8),'Параметры'!$C$8&gt;=0),'Параметры'!$C$8*C238/365,NA())</x:f>
        <x:v>0.0061643835616438354</x:v>
      </x:c>
      <x:c r="L238" s="32" t="n">
        <x:f>L237/(1+K238)</x:f>
        <x:v>0.23580875303914842</x:v>
      </x:c>
      <x:c r="M238" s="30" t="n">
        <x:f>E238*L238</x:f>
        <x:v>2864.279315840381</x:v>
      </x:c>
      <x:c r="N238" s="30" t="n">
        <x:f>F238*L238</x:f>
        <x:v>3267.5028511872033</x:v>
      </x:c>
      <x:c r="O238" s="30" t="n">
        <x:f>G238*L238</x:f>
        <x:v>6131.782167027584</x:v>
      </x:c>
    </x:row>
    <x:row r="239" ht="21" customHeight="1">
      <x:c r="A239" s="28" t="n">
        <x:v>233</x:v>
      </x:c>
      <x:c r="B239" s="29" t="n">
        <x:v>51888</x:v>
      </x:c>
      <x:c r="C239" s="28" t="n">
        <x:f>B239-B238</x:f>
        <x:v>31</x:v>
      </x:c>
      <x:c r="D239" s="30" t="n">
        <x:f>H238</x:f>
        <x:v>1956595.17</x:v>
      </x:c>
      <x:c r="E239" s="30" t="n">
        <x:f>ROUND(D239*I239,2)</x:f>
        <x:v>12463.24</x:v>
      </x:c>
      <x:c r="F239" s="30" t="n">
        <x:f>IF(G239&gt;=E239,ROUND(G239-E239,2),NA())</x:f>
        <x:v>13539.96</x:v>
      </x:c>
      <x:c r="G239" s="30" t="n">
        <x:f>MIN('Параметры'!$C$14,ROUND(D239+E239,2))</x:f>
        <x:v>26003.2</x:v>
      </x:c>
      <x:c r="H239" s="30" t="n">
        <x:f>ROUND(D239-F239,2)</x:f>
        <x:v>1943055.21</x:v>
      </x:c>
      <x:c r="I239" s="33" t="n">
        <x:f>IF(AND(ISNUMBER('Параметры'!$C$7),'Параметры'!$C$7&gt;=0),'Параметры'!$C$7*C239/365,NA())</x:f>
        <x:v>0.00636986301369863</x:v>
      </x:c>
      <x:c r="J239" s="32" t="n">
        <x:f>J238/(1+I239)</x:f>
        <x:v>0.23431619100058307</x:v>
      </x:c>
      <x:c r="K239" s="33" t="n">
        <x:f>IF(AND(ISNUMBER('Параметры'!$C$8),'Параметры'!$C$8&gt;=0),'Параметры'!$C$8*C239/365,NA())</x:f>
        <x:v>0.00636986301369863</x:v>
      </x:c>
      <x:c r="L239" s="32" t="n">
        <x:f>L238/(1+K239)</x:f>
        <x:v>0.23431619100058307</x:v>
      </x:c>
      <x:c r="M239" s="30" t="n">
        <x:f>E239*L239</x:f>
        <x:v>2920.3389243261067</x:v>
      </x:c>
      <x:c r="N239" s="30" t="n">
        <x:f>F239*L239</x:f>
        <x:v>3172.6318535002547</x:v>
      </x:c>
      <x:c r="O239" s="30" t="n">
        <x:f>G239*L239</x:f>
        <x:v>6092.970777826362</x:v>
      </x:c>
    </x:row>
    <x:row r="240" ht="21" customHeight="1">
      <x:c r="A240" s="28" t="n">
        <x:v>234</x:v>
      </x:c>
      <x:c r="B240" s="29" t="n">
        <x:v>51919</x:v>
      </x:c>
      <x:c r="C240" s="28" t="n">
        <x:f>B240-B239</x:f>
        <x:v>31</x:v>
      </x:c>
      <x:c r="D240" s="30" t="n">
        <x:f>H239</x:f>
        <x:v>1943055.21</x:v>
      </x:c>
      <x:c r="E240" s="30" t="n">
        <x:f>ROUND(D240*I240,2)</x:f>
        <x:v>12377</x:v>
      </x:c>
      <x:c r="F240" s="30" t="n">
        <x:f>IF(G240&gt;=E240,ROUND(G240-E240,2),NA())</x:f>
        <x:v>13626.2</x:v>
      </x:c>
      <x:c r="G240" s="30" t="n">
        <x:f>MIN('Параметры'!$C$14,ROUND(D240+E240,2))</x:f>
        <x:v>26003.2</x:v>
      </x:c>
      <x:c r="H240" s="30" t="n">
        <x:f>ROUND(D240-F240,2)</x:f>
        <x:v>1929429.01</x:v>
      </x:c>
      <x:c r="I240" s="33" t="n">
        <x:f>IF(AND(ISNUMBER('Параметры'!$C$7),'Параметры'!$C$7&gt;=0),'Параметры'!$C$7*C240/365,NA())</x:f>
        <x:v>0.00636986301369863</x:v>
      </x:c>
      <x:c r="J240" s="32" t="n">
        <x:f>J239/(1+I240)</x:f>
        <x:v>0.2328330762001302</x:v>
      </x:c>
      <x:c r="K240" s="33" t="n">
        <x:f>IF(AND(ISNUMBER('Параметры'!$C$8),'Параметры'!$C$8&gt;=0),'Параметры'!$C$8*C240/365,NA())</x:f>
        <x:v>0.00636986301369863</x:v>
      </x:c>
      <x:c r="L240" s="32" t="n">
        <x:f>L239/(1+K240)</x:f>
        <x:v>0.2328330762001302</x:v>
      </x:c>
      <x:c r="M240" s="30" t="n">
        <x:f>E240*L240</x:f>
        <x:v>2881.7749841290115</x:v>
      </x:c>
      <x:c r="N240" s="30" t="n">
        <x:f>F240*L240</x:f>
        <x:v>3172.630062918214</x:v>
      </x:c>
      <x:c r="O240" s="30" t="n">
        <x:f>G240*L240</x:f>
        <x:v>6054.405047047226</x:v>
      </x:c>
    </x:row>
    <x:row r="241" ht="21" customHeight="1">
      <x:c r="A241" s="28" t="n">
        <x:v>235</x:v>
      </x:c>
      <x:c r="B241" s="29" t="n">
        <x:v>51947</x:v>
      </x:c>
      <x:c r="C241" s="28" t="n">
        <x:f>B241-B240</x:f>
        <x:v>28</x:v>
      </x:c>
      <x:c r="D241" s="30" t="n">
        <x:f>H240</x:f>
        <x:v>1929429.01</x:v>
      </x:c>
      <x:c r="E241" s="30" t="n">
        <x:f>ROUND(D241*I241,2)</x:f>
        <x:v>11100.82</x:v>
      </x:c>
      <x:c r="F241" s="30" t="n">
        <x:f>IF(G241&gt;=E241,ROUND(G241-E241,2),NA())</x:f>
        <x:v>14902.38</x:v>
      </x:c>
      <x:c r="G241" s="30" t="n">
        <x:f>MIN('Параметры'!$C$14,ROUND(D241+E241,2))</x:f>
        <x:v>26003.2</x:v>
      </x:c>
      <x:c r="H241" s="30" t="n">
        <x:f>ROUND(D241-F241,2)</x:f>
        <x:v>1914526.63</x:v>
      </x:c>
      <x:c r="I241" s="33" t="n">
        <x:f>IF(AND(ISNUMBER('Параметры'!$C$7),'Параметры'!$C$7&gt;=0),'Параметры'!$C$7*C241/365,NA())</x:f>
        <x:v>0.005753424657534247</x:v>
      </x:c>
      <x:c r="J241" s="32" t="n">
        <x:f>J240/(1+I241)</x:f>
        <x:v>0.23150115176531608</x:v>
      </x:c>
      <x:c r="K241" s="33" t="n">
        <x:f>IF(AND(ISNUMBER('Параметры'!$C$8),'Параметры'!$C$8&gt;=0),'Параметры'!$C$8*C241/365,NA())</x:f>
        <x:v>0.005753424657534247</x:v>
      </x:c>
      <x:c r="L241" s="32" t="n">
        <x:f>L240/(1+K241)</x:f>
        <x:v>0.23150115176531608</x:v>
      </x:c>
      <x:c r="M241" s="30" t="n">
        <x:f>E241*L241</x:f>
        <x:v>2569.852615539456</x:v>
      </x:c>
      <x:c r="N241" s="30" t="n">
        <x:f>F241*L241</x:f>
        <x:v>3449.9181340444106</x:v>
      </x:c>
      <x:c r="O241" s="30" t="n">
        <x:f>G241*L241</x:f>
        <x:v>6019.770749583867</x:v>
      </x:c>
    </x:row>
    <x:row r="242" ht="21" customHeight="1">
      <x:c r="A242" s="28" t="n">
        <x:v>236</x:v>
      </x:c>
      <x:c r="B242" s="29" t="n">
        <x:v>51978</x:v>
      </x:c>
      <x:c r="C242" s="28" t="n">
        <x:f>B242-B241</x:f>
        <x:v>31</x:v>
      </x:c>
      <x:c r="D242" s="30" t="n">
        <x:f>H241</x:f>
        <x:v>1914526.63</x:v>
      </x:c>
      <x:c r="E242" s="30" t="n">
        <x:f>ROUND(D242*I242,2)</x:f>
        <x:v>12195.27</x:v>
      </x:c>
      <x:c r="F242" s="30" t="n">
        <x:f>IF(G242&gt;=E242,ROUND(G242-E242,2),NA())</x:f>
        <x:v>13807.93</x:v>
      </x:c>
      <x:c r="G242" s="30" t="n">
        <x:f>MIN('Параметры'!$C$14,ROUND(D242+E242,2))</x:f>
        <x:v>26003.2</x:v>
      </x:c>
      <x:c r="H242" s="30" t="n">
        <x:f>ROUND(D242-F242,2)</x:f>
        <x:v>1900718.7</x:v>
      </x:c>
      <x:c r="I242" s="33" t="n">
        <x:f>IF(AND(ISNUMBER('Параметры'!$C$7),'Параметры'!$C$7&gt;=0),'Параметры'!$C$7*C242/365,NA())</x:f>
        <x:v>0.00636986301369863</x:v>
      </x:c>
      <x:c r="J242" s="32" t="n">
        <x:f>J241/(1+I242)</x:f>
        <x:v>0.23003585488148198</x:v>
      </x:c>
      <x:c r="K242" s="33" t="n">
        <x:f>IF(AND(ISNUMBER('Параметры'!$C$8),'Параметры'!$C$8&gt;=0),'Параметры'!$C$8*C242/365,NA())</x:f>
        <x:v>0.00636986301369863</x:v>
      </x:c>
      <x:c r="L242" s="32" t="n">
        <x:f>L241/(1+K242)</x:f>
        <x:v>0.23003585488148198</x:v>
      </x:c>
      <x:c r="M242" s="30" t="n">
        <x:f>E242*L242</x:f>
        <x:v>2805.349359960491</x:v>
      </x:c>
      <x:c r="N242" s="30" t="n">
        <x:f>F242*L242</x:f>
        <x:v>3176.3189816936615</x:v>
      </x:c>
      <x:c r="O242" s="30" t="n">
        <x:f>G242*L242</x:f>
        <x:v>5981.668341654153</x:v>
      </x:c>
    </x:row>
    <x:row r="243" ht="21" customHeight="1">
      <x:c r="A243" s="28" t="n">
        <x:v>237</x:v>
      </x:c>
      <x:c r="B243" s="29" t="n">
        <x:v>52008</x:v>
      </x:c>
      <x:c r="C243" s="28" t="n">
        <x:f>B243-B242</x:f>
        <x:v>30</x:v>
      </x:c>
      <x:c r="D243" s="30" t="n">
        <x:f>H242</x:f>
        <x:v>1900718.7</x:v>
      </x:c>
      <x:c r="E243" s="30" t="n">
        <x:f>ROUND(D243*I243,2)</x:f>
        <x:v>11716.76</x:v>
      </x:c>
      <x:c r="F243" s="30" t="n">
        <x:f>IF(G243&gt;=E243,ROUND(G243-E243,2),NA())</x:f>
        <x:v>14286.44</x:v>
      </x:c>
      <x:c r="G243" s="30" t="n">
        <x:f>MIN('Параметры'!$C$14,ROUND(D243+E243,2))</x:f>
        <x:v>26003.2</x:v>
      </x:c>
      <x:c r="H243" s="30" t="n">
        <x:f>ROUND(D243-F243,2)</x:f>
        <x:v>1886432.26</x:v>
      </x:c>
      <x:c r="I243" s="33" t="n">
        <x:f>IF(AND(ISNUMBER('Параметры'!$C$7),'Параметры'!$C$7&gt;=0),'Параметры'!$C$7*C243/365,NA())</x:f>
        <x:v>0.0061643835616438354</x:v>
      </x:c>
      <x:c r="J243" s="32" t="n">
        <x:f>J242/(1+I243)</x:f>
        <x:v>0.22862651336076495</x:v>
      </x:c>
      <x:c r="K243" s="33" t="n">
        <x:f>IF(AND(ISNUMBER('Параметры'!$C$8),'Параметры'!$C$8&gt;=0),'Параметры'!$C$8*C243/365,NA())</x:f>
        <x:v>0.0061643835616438354</x:v>
      </x:c>
      <x:c r="L243" s="32" t="n">
        <x:f>L242/(1+K243)</x:f>
        <x:v>0.22862651336076495</x:v>
      </x:c>
      <x:c r="M243" s="30" t="n">
        <x:f>E243*L243</x:f>
        <x:v>2678.7619866848763</x:v>
      </x:c>
      <x:c r="N243" s="30" t="n">
        <x:f>F243*L243</x:f>
        <x:v>3266.258965537767</x:v>
      </x:c>
      <x:c r="O243" s="30" t="n">
        <x:f>G243*L243</x:f>
        <x:v>5945.020952222643</x:v>
      </x:c>
    </x:row>
    <x:row r="244" ht="21" customHeight="1">
      <x:c r="A244" s="28" t="n">
        <x:v>238</x:v>
      </x:c>
      <x:c r="B244" s="29" t="n">
        <x:v>52039</x:v>
      </x:c>
      <x:c r="C244" s="28" t="n">
        <x:f>B244-B243</x:f>
        <x:v>31</x:v>
      </x:c>
      <x:c r="D244" s="30" t="n">
        <x:f>H243</x:f>
        <x:v>1886432.26</x:v>
      </x:c>
      <x:c r="E244" s="30" t="n">
        <x:f>ROUND(D244*I244,2)</x:f>
        <x:v>12016.32</x:v>
      </x:c>
      <x:c r="F244" s="30" t="n">
        <x:f>IF(G244&gt;=E244,ROUND(G244-E244,2),NA())</x:f>
        <x:v>13986.88</x:v>
      </x:c>
      <x:c r="G244" s="30" t="n">
        <x:f>MIN('Параметры'!$C$14,ROUND(D244+E244,2))</x:f>
        <x:v>26003.2</x:v>
      </x:c>
      <x:c r="H244" s="30" t="n">
        <x:f>ROUND(D244-F244,2)</x:f>
        <x:v>1872445.38</x:v>
      </x:c>
      <x:c r="I244" s="33" t="n">
        <x:f>IF(AND(ISNUMBER('Параметры'!$C$7),'Параметры'!$C$7&gt;=0),'Параметры'!$C$7*C244/365,NA())</x:f>
        <x:v>0.00636986301369863</x:v>
      </x:c>
      <x:c r="J244" s="32" t="n">
        <x:f>J243/(1+I244)</x:f>
        <x:v>0.2271794116291546</x:v>
      </x:c>
      <x:c r="K244" s="33" t="n">
        <x:f>IF(AND(ISNUMBER('Параметры'!$C$8),'Параметры'!$C$8&gt;=0),'Параметры'!$C$8*C244/365,NA())</x:f>
        <x:v>0.00636986301369863</x:v>
      </x:c>
      <x:c r="L244" s="32" t="n">
        <x:f>L243/(1+K244)</x:f>
        <x:v>0.2271794116291546</x:v>
      </x:c>
      <x:c r="M244" s="30" t="n">
        <x:f>E244*L244</x:f>
        <x:v>2729.860507547643</x:v>
      </x:c>
      <x:c r="N244" s="30" t="n">
        <x:f>F244*L244</x:f>
        <x:v>3177.5311689275895</x:v>
      </x:c>
      <x:c r="O244" s="30" t="n">
        <x:f>G244*L244</x:f>
        <x:v>5907.391676475233</x:v>
      </x:c>
    </x:row>
    <x:row r="245" ht="21" customHeight="1">
      <x:c r="A245" s="28" t="n">
        <x:v>239</x:v>
      </x:c>
      <x:c r="B245" s="29" t="n">
        <x:v>52069</x:v>
      </x:c>
      <x:c r="C245" s="28" t="n">
        <x:f>B245-B244</x:f>
        <x:v>30</x:v>
      </x:c>
      <x:c r="D245" s="30" t="n">
        <x:f>H244</x:f>
        <x:v>1872445.38</x:v>
      </x:c>
      <x:c r="E245" s="30" t="n">
        <x:f>ROUND(D245*I245,2)</x:f>
        <x:v>11542.47</x:v>
      </x:c>
      <x:c r="F245" s="30" t="n">
        <x:f>IF(G245&gt;=E245,ROUND(G245-E245,2),NA())</x:f>
        <x:v>14460.73</x:v>
      </x:c>
      <x:c r="G245" s="30" t="n">
        <x:f>MIN('Параметры'!$C$14,ROUND(D245+E245,2))</x:f>
        <x:v>26003.2</x:v>
      </x:c>
      <x:c r="H245" s="30" t="n">
        <x:f>ROUND(D245-F245,2)</x:f>
        <x:v>1857984.65</x:v>
      </x:c>
      <x:c r="I245" s="33" t="n">
        <x:f>IF(AND(ISNUMBER('Параметры'!$C$7),'Параметры'!$C$7&gt;=0),'Параметры'!$C$7*C245/365,NA())</x:f>
        <x:v>0.0061643835616438354</x:v>
      </x:c>
      <x:c r="J245" s="32" t="n">
        <x:f>J244/(1+I245)</x:f>
        <x:v>0.2257875704415015</x:v>
      </x:c>
      <x:c r="K245" s="33" t="n">
        <x:f>IF(AND(ISNUMBER('Параметры'!$C$8),'Параметры'!$C$8&gt;=0),'Параметры'!$C$8*C245/365,NA())</x:f>
        <x:v>0.0061643835616438354</x:v>
      </x:c>
      <x:c r="L245" s="32" t="n">
        <x:f>L244/(1+K245)</x:f>
        <x:v>0.2257875704415015</x:v>
      </x:c>
      <x:c r="M245" s="30" t="n">
        <x:f>E245*L245</x:f>
        <x:v>2606.1462581939177</x:v>
      </x:c>
      <x:c r="N245" s="30" t="n">
        <x:f>F245*L245</x:f>
        <x:v>3265.053093510534</x:v>
      </x:c>
      <x:c r="O245" s="30" t="n">
        <x:f>G245*L245</x:f>
        <x:v>5871.199351704452</x:v>
      </x:c>
    </x:row>
    <x:row r="246" ht="21" customHeight="1">
      <x:c r="A246" s="28" t="n">
        <x:v>240</x:v>
      </x:c>
      <x:c r="B246" s="29" t="n">
        <x:v>52100</x:v>
      </x:c>
      <x:c r="C246" s="28" t="n">
        <x:f>B246-B245</x:f>
        <x:v>31</x:v>
      </x:c>
      <x:c r="D246" s="30" t="n">
        <x:f>H245</x:f>
        <x:v>1857984.65</x:v>
      </x:c>
      <x:c r="E246" s="30" t="n">
        <x:f>ROUND(D246*I246,2)</x:f>
        <x:v>11835.11</x:v>
      </x:c>
      <x:c r="F246" s="30" t="n">
        <x:f>IF(G246&gt;=E246,ROUND(G246-E246,2),NA())</x:f>
        <x:v>14168.09</x:v>
      </x:c>
      <x:c r="G246" s="30" t="n">
        <x:f>MIN('Параметры'!$C$14,ROUND(D246+E246,2))</x:f>
        <x:v>26003.2</x:v>
      </x:c>
      <x:c r="H246" s="30" t="n">
        <x:f>ROUND(D246-F246,2)</x:f>
        <x:v>1843816.56</x:v>
      </x:c>
      <x:c r="I246" s="33" t="n">
        <x:f>IF(AND(ISNUMBER('Параметры'!$C$7),'Параметры'!$C$7&gt;=0),'Параметры'!$C$7*C246/365,NA())</x:f>
        <x:v>0.00636986301369863</x:v>
      </x:c>
      <x:c r="J246" s="32" t="n">
        <x:f>J245/(1+I246)</x:f>
        <x:v>0.22435843792594581</x:v>
      </x:c>
      <x:c r="K246" s="33" t="n">
        <x:f>IF(AND(ISNUMBER('Параметры'!$C$8),'Параметры'!$C$8&gt;=0),'Параметры'!$C$8*C246/365,NA())</x:f>
        <x:v>0.00636986301369863</x:v>
      </x:c>
      <x:c r="L246" s="32" t="n">
        <x:f>L245/(1+K246)</x:f>
        <x:v>0.22435843792594581</x:v>
      </x:c>
      <x:c r="M246" s="30" t="n">
        <x:f>E246*L246</x:f>
        <x:v>2655.306792281741</x:v>
      </x:c>
      <x:c r="N246" s="30" t="n">
        <x:f>F246*L246</x:f>
        <x:v>3178.7305407942135</x:v>
      </x:c>
      <x:c r="O246" s="30" t="n">
        <x:f>G246*L246</x:f>
        <x:v>5834.037333075954</x:v>
      </x:c>
    </x:row>
    <x:row r="247" ht="21" customHeight="1">
      <x:c r="A247" s="28" t="n">
        <x:v>241</x:v>
      </x:c>
      <x:c r="B247" s="29" t="n">
        <x:v>52131</x:v>
      </x:c>
      <x:c r="C247" s="28" t="n">
        <x:f>B247-B246</x:f>
        <x:v>31</x:v>
      </x:c>
      <x:c r="D247" s="30" t="n">
        <x:f>H246</x:f>
        <x:v>1843816.56</x:v>
      </x:c>
      <x:c r="E247" s="30" t="n">
        <x:f>ROUND(D247*I247,2)</x:f>
        <x:v>11744.86</x:v>
      </x:c>
      <x:c r="F247" s="30" t="n">
        <x:f>IF(G247&gt;=E247,ROUND(G247-E247,2),NA())</x:f>
        <x:v>14258.34</x:v>
      </x:c>
      <x:c r="G247" s="30" t="n">
        <x:f>MIN('Параметры'!$C$14,ROUND(D247+E247,2))</x:f>
        <x:v>26003.2</x:v>
      </x:c>
      <x:c r="H247" s="30" t="n">
        <x:f>ROUND(D247-F247,2)</x:f>
        <x:v>1829558.22</x:v>
      </x:c>
      <x:c r="I247" s="33" t="n">
        <x:f>IF(AND(ISNUMBER('Параметры'!$C$7),'Параметры'!$C$7&gt;=0),'Параметры'!$C$7*C247/365,NA())</x:f>
        <x:v>0.00636986301369863</x:v>
      </x:c>
      <x:c r="J247" s="32" t="n">
        <x:f>J246/(1+I247)</x:f>
        <x:v>0.22293835116850264</x:v>
      </x:c>
      <x:c r="K247" s="33" t="n">
        <x:f>IF(AND(ISNUMBER('Параметры'!$C$8),'Параметры'!$C$8&gt;=0),'Параметры'!$C$8*C247/365,NA())</x:f>
        <x:v>0.00636986301369863</x:v>
      </x:c>
      <x:c r="L247" s="32" t="n">
        <x:f>L246/(1+K247)</x:f>
        <x:v>0.22293835116850264</x:v>
      </x:c>
      <x:c r="M247" s="30" t="n">
        <x:f>E247*L247</x:f>
        <x:v>2618.3797231048998</x:v>
      </x:c>
      <x:c r="N247" s="30" t="n">
        <x:f>F247*L247</x:f>
        <x:v>3178.7308099999077</x:v>
      </x:c>
      <x:c r="O247" s="30" t="n">
        <x:f>G247*L247</x:f>
        <x:v>5797.1105331048075</x:v>
      </x:c>
    </x:row>
    <x:row r="248" ht="21" customHeight="1">
      <x:c r="A248" s="28" t="n">
        <x:v>242</x:v>
      </x:c>
      <x:c r="B248" s="29" t="n">
        <x:v>52161</x:v>
      </x:c>
      <x:c r="C248" s="28" t="n">
        <x:f>B248-B247</x:f>
        <x:v>30</x:v>
      </x:c>
      <x:c r="D248" s="30" t="n">
        <x:f>H247</x:f>
        <x:v>1829558.22</x:v>
      </x:c>
      <x:c r="E248" s="30" t="n">
        <x:f>ROUND(D248*I248,2)</x:f>
        <x:v>11278.1</x:v>
      </x:c>
      <x:c r="F248" s="30" t="n">
        <x:f>IF(G248&gt;=E248,ROUND(G248-E248,2),NA())</x:f>
        <x:v>14725.1</x:v>
      </x:c>
      <x:c r="G248" s="30" t="n">
        <x:f>MIN('Параметры'!$C$14,ROUND(D248+E248,2))</x:f>
        <x:v>26003.2</x:v>
      </x:c>
      <x:c r="H248" s="30" t="n">
        <x:f>ROUND(D248-F248,2)</x:f>
        <x:v>1814833.12</x:v>
      </x:c>
      <x:c r="I248" s="33" t="n">
        <x:f>IF(AND(ISNUMBER('Параметры'!$C$7),'Параметры'!$C$7&gt;=0),'Параметры'!$C$7*C248/365,NA())</x:f>
        <x:v>0.0061643835616438354</x:v>
      </x:c>
      <x:c r="J248" s="32" t="n">
        <x:f>J247/(1+I248)</x:f>
        <x:v>0.22157249333288895</x:v>
      </x:c>
      <x:c r="K248" s="33" t="n">
        <x:f>IF(AND(ISNUMBER('Параметры'!$C$8),'Параметры'!$C$8&gt;=0),'Параметры'!$C$8*C248/365,NA())</x:f>
        <x:v>0.0061643835616438354</x:v>
      </x:c>
      <x:c r="L248" s="32" t="n">
        <x:f>L247/(1+K248)</x:f>
        <x:v>0.22157249333288895</x:v>
      </x:c>
      <x:c r="M248" s="30" t="n">
        <x:f>E248*L248</x:f>
        <x:v>2498.9167370576547</x:v>
      </x:c>
      <x:c r="N248" s="30" t="n">
        <x:f>F248*L248</x:f>
        <x:v>3262.677121576123</x:v>
      </x:c>
      <x:c r="O248" s="30" t="n">
        <x:f>G248*L248</x:f>
        <x:v>5761.593858633778</x:v>
      </x:c>
    </x:row>
    <x:row r="249" ht="21" customHeight="1">
      <x:c r="A249" s="28" t="n">
        <x:v>243</x:v>
      </x:c>
      <x:c r="B249" s="29" t="n">
        <x:v>52192</x:v>
      </x:c>
      <x:c r="C249" s="28" t="n">
        <x:f>B249-B248</x:f>
        <x:v>31</x:v>
      </x:c>
      <x:c r="D249" s="30" t="n">
        <x:f>H248</x:f>
        <x:v>1814833.12</x:v>
      </x:c>
      <x:c r="E249" s="30" t="n">
        <x:f>ROUND(D249*I249,2)</x:f>
        <x:v>11560.24</x:v>
      </x:c>
      <x:c r="F249" s="30" t="n">
        <x:f>IF(G249&gt;=E249,ROUND(G249-E249,2),NA())</x:f>
        <x:v>14442.96</x:v>
      </x:c>
      <x:c r="G249" s="30" t="n">
        <x:f>MIN('Параметры'!$C$14,ROUND(D249+E249,2))</x:f>
        <x:v>26003.2</x:v>
      </x:c>
      <x:c r="H249" s="30" t="n">
        <x:f>ROUND(D249-F249,2)</x:f>
        <x:v>1800390.16</x:v>
      </x:c>
      <x:c r="I249" s="33" t="n">
        <x:f>IF(AND(ISNUMBER('Параметры'!$C$7),'Параметры'!$C$7&gt;=0),'Параметры'!$C$7*C249/365,NA())</x:f>
        <x:v>0.00636986301369863</x:v>
      </x:c>
      <x:c r="J249" s="32" t="n">
        <x:f>J248/(1+I249)</x:f>
        <x:v>0.2201700403362267</x:v>
      </x:c>
      <x:c r="K249" s="33" t="n">
        <x:f>IF(AND(ISNUMBER('Параметры'!$C$8),'Параметры'!$C$8&gt;=0),'Параметры'!$C$8*C249/365,NA())</x:f>
        <x:v>0.00636986301369863</x:v>
      </x:c>
      <x:c r="L249" s="32" t="n">
        <x:f>L248/(1+K249)</x:f>
        <x:v>0.2201700403362267</x:v>
      </x:c>
      <x:c r="M249" s="30" t="n">
        <x:f>E249*L249</x:f>
        <x:v>2545.218507096461</x:v>
      </x:c>
      <x:c r="N249" s="30" t="n">
        <x:f>F249*L249</x:f>
        <x:v>3179.9070857745087</x:v>
      </x:c>
      <x:c r="O249" s="30" t="n">
        <x:f>G249*L249</x:f>
        <x:v>5725.125592870971</x:v>
      </x:c>
    </x:row>
    <x:row r="250" ht="21" customHeight="1">
      <x:c r="A250" s="28" t="n">
        <x:v>244</x:v>
      </x:c>
      <x:c r="B250" s="29" t="n">
        <x:v>52222</x:v>
      </x:c>
      <x:c r="C250" s="28" t="n">
        <x:f>B250-B249</x:f>
        <x:v>30</x:v>
      </x:c>
      <x:c r="D250" s="30" t="n">
        <x:f>H249</x:f>
        <x:v>1800390.16</x:v>
      </x:c>
      <x:c r="E250" s="30" t="n">
        <x:f>ROUND(D250*I250,2)</x:f>
        <x:v>11098.3</x:v>
      </x:c>
      <x:c r="F250" s="30" t="n">
        <x:f>IF(G250&gt;=E250,ROUND(G250-E250,2),NA())</x:f>
        <x:v>14904.9</x:v>
      </x:c>
      <x:c r="G250" s="30" t="n">
        <x:f>MIN('Параметры'!$C$14,ROUND(D250+E250,2))</x:f>
        <x:v>26003.2</x:v>
      </x:c>
      <x:c r="H250" s="30" t="n">
        <x:f>ROUND(D250-F250,2)</x:f>
        <x:v>1785485.26</x:v>
      </x:c>
      <x:c r="I250" s="33" t="n">
        <x:f>IF(AND(ISNUMBER('Параметры'!$C$7),'Параметры'!$C$7&gt;=0),'Параметры'!$C$7*C250/365,NA())</x:f>
        <x:v>0.0061643835616438354</x:v>
      </x:c>
      <x:c r="J250" s="32" t="n">
        <x:f>J249/(1+I250)</x:f>
        <x:v>0.2188211428801164</x:v>
      </x:c>
      <x:c r="K250" s="33" t="n">
        <x:f>IF(AND(ISNUMBER('Параметры'!$C$8),'Параметры'!$C$8&gt;=0),'Параметры'!$C$8*C250/365,NA())</x:f>
        <x:v>0.0061643835616438354</x:v>
      </x:c>
      <x:c r="L250" s="32" t="n">
        <x:f>L249/(1+K250)</x:f>
        <x:v>0.2188211428801164</x:v>
      </x:c>
      <x:c r="M250" s="30" t="n">
        <x:f>E250*L250</x:f>
        <x:v>2428.5426900263956</x:v>
      </x:c>
      <x:c r="N250" s="30" t="n">
        <x:f>F250*L250</x:f>
        <x:v>3261.5072525138467</x:v>
      </x:c>
      <x:c r="O250" s="30" t="n">
        <x:f>G250*L250</x:f>
        <x:v>5690.049942540243</x:v>
      </x:c>
    </x:row>
    <x:row r="251" ht="21" customHeight="1">
      <x:c r="A251" s="28" t="n">
        <x:v>245</x:v>
      </x:c>
      <x:c r="B251" s="29" t="n">
        <x:v>52253</x:v>
      </x:c>
      <x:c r="C251" s="28" t="n">
        <x:f>B251-B250</x:f>
        <x:v>31</x:v>
      </x:c>
      <x:c r="D251" s="30" t="n">
        <x:f>H250</x:f>
        <x:v>1785485.26</x:v>
      </x:c>
      <x:c r="E251" s="30" t="n">
        <x:f>ROUND(D251*I251,2)</x:f>
        <x:v>11373.3</x:v>
      </x:c>
      <x:c r="F251" s="30" t="n">
        <x:f>IF(G251&gt;=E251,ROUND(G251-E251,2),NA())</x:f>
        <x:v>14629.9</x:v>
      </x:c>
      <x:c r="G251" s="30" t="n">
        <x:f>MIN('Параметры'!$C$14,ROUND(D251+E251,2))</x:f>
        <x:v>26003.2</x:v>
      </x:c>
      <x:c r="H251" s="30" t="n">
        <x:f>ROUND(D251-F251,2)</x:f>
        <x:v>1770855.36</x:v>
      </x:c>
      <x:c r="I251" s="33" t="n">
        <x:f>IF(AND(ISNUMBER('Параметры'!$C$7),'Параметры'!$C$7&gt;=0),'Параметры'!$C$7*C251/365,NA())</x:f>
        <x:v>0.00636986301369863</x:v>
      </x:c>
      <x:c r="J251" s="32" t="n">
        <x:f>J250/(1+I251)</x:f>
        <x:v>0.21743610467907845</x:v>
      </x:c>
      <x:c r="K251" s="33" t="n">
        <x:f>IF(AND(ISNUMBER('Параметры'!$C$8),'Параметры'!$C$8&gt;=0),'Параметры'!$C$8*C251/365,NA())</x:f>
        <x:v>0.00636986301369863</x:v>
      </x:c>
      <x:c r="L251" s="32" t="n">
        <x:f>L250/(1+K251)</x:f>
        <x:v>0.21743610467907845</x:v>
      </x:c>
      <x:c r="M251" s="30" t="n">
        <x:f>E251*L251</x:f>
        <x:v>2472.9660493465626</x:v>
      </x:c>
      <x:c r="N251" s="30" t="n">
        <x:f>F251*L251</x:f>
        <x:v>3181.06846784445</x:v>
      </x:c>
      <x:c r="O251" s="30" t="n">
        <x:f>G251*L251</x:f>
        <x:v>5654.034517191013</x:v>
      </x:c>
    </x:row>
    <x:row r="252" ht="21" customHeight="1">
      <x:c r="A252" s="28" t="n">
        <x:v>246</x:v>
      </x:c>
      <x:c r="B252" s="29" t="n">
        <x:v>52284</x:v>
      </x:c>
      <x:c r="C252" s="28" t="n">
        <x:f>B252-B251</x:f>
        <x:v>31</x:v>
      </x:c>
      <x:c r="D252" s="30" t="n">
        <x:f>H251</x:f>
        <x:v>1770855.36</x:v>
      </x:c>
      <x:c r="E252" s="30" t="n">
        <x:f>ROUND(D252*I252,2)</x:f>
        <x:v>11280.11</x:v>
      </x:c>
      <x:c r="F252" s="30" t="n">
        <x:f>IF(G252&gt;=E252,ROUND(G252-E252,2),NA())</x:f>
        <x:v>14723.09</x:v>
      </x:c>
      <x:c r="G252" s="30" t="n">
        <x:f>MIN('Параметры'!$C$14,ROUND(D252+E252,2))</x:f>
        <x:v>26003.2</x:v>
      </x:c>
      <x:c r="H252" s="30" t="n">
        <x:f>ROUND(D252-F252,2)</x:f>
        <x:v>1756132.27</x:v>
      </x:c>
      <x:c r="I252" s="33" t="n">
        <x:f>IF(AND(ISNUMBER('Параметры'!$C$7),'Параметры'!$C$7&gt;=0),'Параметры'!$C$7*C252/365,NA())</x:f>
        <x:v>0.00636986301369863</x:v>
      </x:c>
      <x:c r="J252" s="32" t="n">
        <x:f>J251/(1+I252)</x:f>
        <x:v>0.21605983313921906</x:v>
      </x:c>
      <x:c r="K252" s="33" t="n">
        <x:f>IF(AND(ISNUMBER('Параметры'!$C$8),'Параметры'!$C$8&gt;=0),'Параметры'!$C$8*C252/365,NA())</x:f>
        <x:v>0.00636986301369863</x:v>
      </x:c>
      <x:c r="L252" s="32" t="n">
        <x:f>L251/(1+K252)</x:f>
        <x:v>0.21605983313921906</x:v>
      </x:c>
      <x:c r="M252" s="30" t="n">
        <x:f>E252*L252</x:f>
        <x:v>2437.1786843920363</x:v>
      </x:c>
      <x:c r="N252" s="30" t="n">
        <x:f>F252*L252</x:f>
        <x:v>3181.068368693705</x:v>
      </x:c>
      <x:c r="O252" s="30" t="n">
        <x:f>G252*L252</x:f>
        <x:v>5618.247053085741</x:v>
      </x:c>
    </x:row>
    <x:row r="253" ht="21" customHeight="1">
      <x:c r="A253" s="28" t="n">
        <x:v>247</x:v>
      </x:c>
      <x:c r="B253" s="29" t="n">
        <x:v>52312</x:v>
      </x:c>
      <x:c r="C253" s="28" t="n">
        <x:f>B253-B252</x:f>
        <x:v>28</x:v>
      </x:c>
      <x:c r="D253" s="30" t="n">
        <x:f>H252</x:f>
        <x:v>1756132.27</x:v>
      </x:c>
      <x:c r="E253" s="30" t="n">
        <x:f>ROUND(D253*I253,2)</x:f>
        <x:v>10103.77</x:v>
      </x:c>
      <x:c r="F253" s="30" t="n">
        <x:f>IF(G253&gt;=E253,ROUND(G253-E253,2),NA())</x:f>
        <x:v>15899.43</x:v>
      </x:c>
      <x:c r="G253" s="30" t="n">
        <x:f>MIN('Параметры'!$C$14,ROUND(D253+E253,2))</x:f>
        <x:v>26003.2</x:v>
      </x:c>
      <x:c r="H253" s="30" t="n">
        <x:f>ROUND(D253-F253,2)</x:f>
        <x:v>1740232.84</x:v>
      </x:c>
      <x:c r="I253" s="33" t="n">
        <x:f>IF(AND(ISNUMBER('Параметры'!$C$7),'Параметры'!$C$7&gt;=0),'Параметры'!$C$7*C253/365,NA())</x:f>
        <x:v>0.005753424657534247</x:v>
      </x:c>
      <x:c r="J253" s="32" t="n">
        <x:f>J252/(1+I253)</x:f>
        <x:v>0.21482386024466077</x:v>
      </x:c>
      <x:c r="K253" s="33" t="n">
        <x:f>IF(AND(ISNUMBER('Параметры'!$C$8),'Параметры'!$C$8&gt;=0),'Параметры'!$C$8*C253/365,NA())</x:f>
        <x:v>0.005753424657534247</x:v>
      </x:c>
      <x:c r="L253" s="32" t="n">
        <x:f>L252/(1+K253)</x:f>
        <x:v>0.21482386024466077</x:v>
      </x:c>
      <x:c r="M253" s="30" t="n">
        <x:f>E253*L253</x:f>
        <x:v>2170.530874424196</x:v>
      </x:c>
      <x:c r="N253" s="30" t="n">
        <x:f>F253*L253</x:f>
        <x:v>3415.576928289767</x:v>
      </x:c>
      <x:c r="O253" s="30" t="n">
        <x:f>G253*L253</x:f>
        <x:v>5586.107802713963</x:v>
      </x:c>
    </x:row>
    <x:row r="254" ht="21" customHeight="1">
      <x:c r="A254" s="28" t="n">
        <x:v>248</x:v>
      </x:c>
      <x:c r="B254" s="29" t="n">
        <x:v>52343</x:v>
      </x:c>
      <x:c r="C254" s="28" t="n">
        <x:f>B254-B253</x:f>
        <x:v>31</x:v>
      </x:c>
      <x:c r="D254" s="30" t="n">
        <x:f>H253</x:f>
        <x:v>1740232.84</x:v>
      </x:c>
      <x:c r="E254" s="30" t="n">
        <x:f>ROUND(D254*I254,2)</x:f>
        <x:v>11085.04</x:v>
      </x:c>
      <x:c r="F254" s="30" t="n">
        <x:f>IF(G254&gt;=E254,ROUND(G254-E254,2),NA())</x:f>
        <x:v>14918.16</x:v>
      </x:c>
      <x:c r="G254" s="30" t="n">
        <x:f>MIN('Параметры'!$C$14,ROUND(D254+E254,2))</x:f>
        <x:v>26003.2</x:v>
      </x:c>
      <x:c r="H254" s="30" t="n">
        <x:f>ROUND(D254-F254,2)</x:f>
        <x:v>1725314.68</x:v>
      </x:c>
      <x:c r="I254" s="33" t="n">
        <x:f>IF(AND(ISNUMBER('Параметры'!$C$7),'Параметры'!$C$7&gt;=0),'Параметры'!$C$7*C254/365,NA())</x:f>
        <x:v>0.00636986301369863</x:v>
      </x:c>
      <x:c r="J254" s="32" t="n">
        <x:f>J253/(1+I254)</x:f>
        <x:v>0.21346412302266707</x:v>
      </x:c>
      <x:c r="K254" s="33" t="n">
        <x:f>IF(AND(ISNUMBER('Параметры'!$C$8),'Параметры'!$C$8&gt;=0),'Параметры'!$C$8*C254/365,NA())</x:f>
        <x:v>0.00636986301369863</x:v>
      </x:c>
      <x:c r="L254" s="32" t="n">
        <x:f>L253/(1+K254)</x:f>
        <x:v>0.21346412302266707</x:v>
      </x:c>
      <x:c r="M254" s="30" t="n">
        <x:f>E254*L254</x:f>
        <x:v>2366.2583422711855</x:v>
      </x:c>
      <x:c r="N254" s="30" t="n">
        <x:f>F254*L254</x:f>
        <x:v>3184.491941511831</x:v>
      </x:c>
      <x:c r="O254" s="30" t="n">
        <x:f>G254*L254</x:f>
        <x:v>5550.750283783016</x:v>
      </x:c>
    </x:row>
    <x:row r="255" ht="21" customHeight="1">
      <x:c r="A255" s="28" t="n">
        <x:v>249</x:v>
      </x:c>
      <x:c r="B255" s="29" t="n">
        <x:v>52373</x:v>
      </x:c>
      <x:c r="C255" s="28" t="n">
        <x:f>B255-B254</x:f>
        <x:v>30</x:v>
      </x:c>
      <x:c r="D255" s="30" t="n">
        <x:f>H254</x:f>
        <x:v>1725314.68</x:v>
      </x:c>
      <x:c r="E255" s="30" t="n">
        <x:f>ROUND(D255*I255,2)</x:f>
        <x:v>10635.5</x:v>
      </x:c>
      <x:c r="F255" s="30" t="n">
        <x:f>IF(G255&gt;=E255,ROUND(G255-E255,2),NA())</x:f>
        <x:v>15367.7</x:v>
      </x:c>
      <x:c r="G255" s="30" t="n">
        <x:f>MIN('Параметры'!$C$14,ROUND(D255+E255,2))</x:f>
        <x:v>26003.2</x:v>
      </x:c>
      <x:c r="H255" s="30" t="n">
        <x:f>ROUND(D255-F255,2)</x:f>
        <x:v>1709946.98</x:v>
      </x:c>
      <x:c r="I255" s="33" t="n">
        <x:f>IF(AND(ISNUMBER('Параметры'!$C$7),'Параметры'!$C$7&gt;=0),'Параметры'!$C$7*C255/365,NA())</x:f>
        <x:v>0.0061643835616438354</x:v>
      </x:c>
      <x:c r="J255" s="32" t="n">
        <x:f>J254/(1+I255)</x:f>
        <x:v>0.2121563101518679</x:v>
      </x:c>
      <x:c r="K255" s="33" t="n">
        <x:f>IF(AND(ISNUMBER('Параметры'!$C$8),'Параметры'!$C$8&gt;=0),'Параметры'!$C$8*C255/365,NA())</x:f>
        <x:v>0.0061643835616438354</x:v>
      </x:c>
      <x:c r="L255" s="32" t="n">
        <x:f>L254/(1+K255)</x:f>
        <x:v>0.2121563101518679</x:v>
      </x:c>
      <x:c r="M255" s="30" t="n">
        <x:f>E255*L255</x:f>
        <x:v>2256.388436620191</x:v>
      </x:c>
      <x:c r="N255" s="30" t="n">
        <x:f>F255*L255</x:f>
        <x:v>3260.3545275208603</x:v>
      </x:c>
      <x:c r="O255" s="30" t="n">
        <x:f>G255*L255</x:f>
        <x:v>5516.742964141052</x:v>
      </x:c>
    </x:row>
    <x:row r="256" ht="21" customHeight="1">
      <x:c r="A256" s="28" t="n">
        <x:v>250</x:v>
      </x:c>
      <x:c r="B256" s="29" t="n">
        <x:v>52404</x:v>
      </x:c>
      <x:c r="C256" s="28" t="n">
        <x:f>B256-B255</x:f>
        <x:v>31</x:v>
      </x:c>
      <x:c r="D256" s="30" t="n">
        <x:f>H255</x:f>
        <x:v>1709946.98</x:v>
      </x:c>
      <x:c r="E256" s="30" t="n">
        <x:f>ROUND(D256*I256,2)</x:f>
        <x:v>10892.13</x:v>
      </x:c>
      <x:c r="F256" s="30" t="n">
        <x:f>IF(G256&gt;=E256,ROUND(G256-E256,2),NA())</x:f>
        <x:v>15111.07</x:v>
      </x:c>
      <x:c r="G256" s="30" t="n">
        <x:f>MIN('Параметры'!$C$14,ROUND(D256+E256,2))</x:f>
        <x:v>26003.2</x:v>
      </x:c>
      <x:c r="H256" s="30" t="n">
        <x:f>ROUND(D256-F256,2)</x:f>
        <x:v>1694835.91</x:v>
      </x:c>
      <x:c r="I256" s="33" t="n">
        <x:f>IF(AND(ISNUMBER('Параметры'!$C$7),'Параметры'!$C$7&gt;=0),'Параметры'!$C$7*C256/365,NA())</x:f>
        <x:v>0.00636986301369863</x:v>
      </x:c>
      <x:c r="J256" s="32" t="n">
        <x:f>J255/(1+I256)</x:f>
        <x:v>0.21081345730737572</x:v>
      </x:c>
      <x:c r="K256" s="33" t="n">
        <x:f>IF(AND(ISNUMBER('Параметры'!$C$8),'Параметры'!$C$8&gt;=0),'Параметры'!$C$8*C256/365,NA())</x:f>
        <x:v>0.00636986301369863</x:v>
      </x:c>
      <x:c r="L256" s="32" t="n">
        <x:f>L255/(1+K256)</x:f>
        <x:v>0.21081345730737572</x:v>
      </x:c>
      <x:c r="M256" s="30" t="n">
        <x:f>E256*L256</x:f>
        <x:v>2296.207582741386</x:v>
      </x:c>
      <x:c r="N256" s="30" t="n">
        <x:f>F256*L256</x:f>
        <x:v>3185.616910313766</x:v>
      </x:c>
      <x:c r="O256" s="30" t="n">
        <x:f>G256*L256</x:f>
        <x:v>5481.824493055153</x:v>
      </x:c>
    </x:row>
    <x:row r="257" ht="21" customHeight="1">
      <x:c r="A257" s="28" t="n">
        <x:v>251</x:v>
      </x:c>
      <x:c r="B257" s="29" t="n">
        <x:v>52434</x:v>
      </x:c>
      <x:c r="C257" s="28" t="n">
        <x:f>B257-B256</x:f>
        <x:v>30</x:v>
      </x:c>
      <x:c r="D257" s="30" t="n">
        <x:f>H256</x:f>
        <x:v>1694835.91</x:v>
      </x:c>
      <x:c r="E257" s="30" t="n">
        <x:f>ROUND(D257*I257,2)</x:f>
        <x:v>10447.62</x:v>
      </x:c>
      <x:c r="F257" s="30" t="n">
        <x:f>IF(G257&gt;=E257,ROUND(G257-E257,2),NA())</x:f>
        <x:v>15555.58</x:v>
      </x:c>
      <x:c r="G257" s="30" t="n">
        <x:f>MIN('Параметры'!$C$14,ROUND(D257+E257,2))</x:f>
        <x:v>26003.2</x:v>
      </x:c>
      <x:c r="H257" s="30" t="n">
        <x:f>ROUND(D257-F257,2)</x:f>
        <x:v>1679280.33</x:v>
      </x:c>
      <x:c r="I257" s="33" t="n">
        <x:f>IF(AND(ISNUMBER('Параметры'!$C$7),'Параметры'!$C$7&gt;=0),'Параметры'!$C$7*C257/365,NA())</x:f>
        <x:v>0.0061643835616438354</x:v>
      </x:c>
      <x:c r="J257" s="32" t="n">
        <x:f>J256/(1+I257)</x:f>
        <x:v>0.20952188404953612</x:v>
      </x:c>
      <x:c r="K257" s="33" t="n">
        <x:f>IF(AND(ISNUMBER('Параметры'!$C$8),'Параметры'!$C$8&gt;=0),'Параметры'!$C$8*C257/365,NA())</x:f>
        <x:v>0.0061643835616438354</x:v>
      </x:c>
      <x:c r="L257" s="32" t="n">
        <x:f>L256/(1+K257)</x:f>
        <x:v>0.20952188404953612</x:v>
      </x:c>
      <x:c r="M257" s="30" t="n">
        <x:f>E257*L257</x:f>
        <x:v>2189.005026233615</x:v>
      </x:c>
      <x:c r="N257" s="30" t="n">
        <x:f>F257*L257</x:f>
        <x:v>3259.234429083283</x:v>
      </x:c>
      <x:c r="O257" s="30" t="n">
        <x:f>G257*L257</x:f>
        <x:v>5448.239455316898</x:v>
      </x:c>
    </x:row>
    <x:row r="258" ht="21" customHeight="1">
      <x:c r="A258" s="28" t="n">
        <x:v>252</x:v>
      </x:c>
      <x:c r="B258" s="29" t="n">
        <x:v>52465</x:v>
      </x:c>
      <x:c r="C258" s="28" t="n">
        <x:f>B258-B257</x:f>
        <x:v>31</x:v>
      </x:c>
      <x:c r="D258" s="30" t="n">
        <x:f>H257</x:f>
        <x:v>1679280.33</x:v>
      </x:c>
      <x:c r="E258" s="30" t="n">
        <x:f>ROUND(D258*I258,2)</x:f>
        <x:v>10696.79</x:v>
      </x:c>
      <x:c r="F258" s="30" t="n">
        <x:f>IF(G258&gt;=E258,ROUND(G258-E258,2),NA())</x:f>
        <x:v>15306.41</x:v>
      </x:c>
      <x:c r="G258" s="30" t="n">
        <x:f>MIN('Параметры'!$C$14,ROUND(D258+E258,2))</x:f>
        <x:v>26003.2</x:v>
      </x:c>
      <x:c r="H258" s="30" t="n">
        <x:f>ROUND(D258-F258,2)</x:f>
        <x:v>1663973.92</x:v>
      </x:c>
      <x:c r="I258" s="33" t="n">
        <x:f>IF(AND(ISNUMBER('Параметры'!$C$7),'Параметры'!$C$7&gt;=0),'Параметры'!$C$7*C258/365,NA())</x:f>
        <x:v>0.00636986301369863</x:v>
      </x:c>
      <x:c r="J258" s="32" t="n">
        <x:f>J257/(1+I258)</x:f>
        <x:v>0.20819570592276782</x:v>
      </x:c>
      <x:c r="K258" s="33" t="n">
        <x:f>IF(AND(ISNUMBER('Параметры'!$C$8),'Параметры'!$C$8&gt;=0),'Параметры'!$C$8*C258/365,NA())</x:f>
        <x:v>0.00636986301369863</x:v>
      </x:c>
      <x:c r="L258" s="32" t="n">
        <x:f>L257/(1+K258)</x:f>
        <x:v>0.20819570592276782</x:v>
      </x:c>
      <x:c r="M258" s="30" t="n">
        <x:f>E258*L258</x:f>
        <x:v>2227.0257451576035</x:v>
      </x:c>
      <x:c r="N258" s="30" t="n">
        <x:f>F258*L258</x:f>
        <x:v>3186.7288350933127</x:v>
      </x:c>
      <x:c r="O258" s="30" t="n">
        <x:f>G258*L258</x:f>
        <x:v>5413.754580250917</x:v>
      </x:c>
    </x:row>
    <x:row r="259" ht="21" customHeight="1">
      <x:c r="A259" s="28" t="n">
        <x:v>253</x:v>
      </x:c>
      <x:c r="B259" s="29" t="n">
        <x:v>52496</x:v>
      </x:c>
      <x:c r="C259" s="28" t="n">
        <x:f>B259-B258</x:f>
        <x:v>31</x:v>
      </x:c>
      <x:c r="D259" s="30" t="n">
        <x:f>H258</x:f>
        <x:v>1663973.92</x:v>
      </x:c>
      <x:c r="E259" s="30" t="n">
        <x:f>ROUND(D259*I259,2)</x:f>
        <x:v>10599.29</x:v>
      </x:c>
      <x:c r="F259" s="30" t="n">
        <x:f>IF(G259&gt;=E259,ROUND(G259-E259,2),NA())</x:f>
        <x:v>15403.91</x:v>
      </x:c>
      <x:c r="G259" s="30" t="n">
        <x:f>MIN('Параметры'!$C$14,ROUND(D259+E259,2))</x:f>
        <x:v>26003.2</x:v>
      </x:c>
      <x:c r="H259" s="30" t="n">
        <x:f>ROUND(D259-F259,2)</x:f>
        <x:v>1648570.01</x:v>
      </x:c>
      <x:c r="I259" s="33" t="n">
        <x:f>IF(AND(ISNUMBER('Параметры'!$C$7),'Параметры'!$C$7&gt;=0),'Параметры'!$C$7*C259/365,NA())</x:f>
        <x:v>0.00636986301369863</x:v>
      </x:c>
      <x:c r="J259" s="32" t="n">
        <x:f>J258/(1+I259)</x:f>
        <x:v>0.20687792189970805</x:v>
      </x:c>
      <x:c r="K259" s="33" t="n">
        <x:f>IF(AND(ISNUMBER('Параметры'!$C$8),'Параметры'!$C$8&gt;=0),'Параметры'!$C$8*C259/365,NA())</x:f>
        <x:v>0.00636986301369863</x:v>
      </x:c>
      <x:c r="L259" s="32" t="n">
        <x:f>L258/(1+K259)</x:f>
        <x:v>0.20687792189970805</x:v>
      </x:c>
      <x:c r="M259" s="30" t="n">
        <x:f>E259*L259</x:f>
        <x:v>2192.759088812357</x:v>
      </x:c>
      <x:c r="N259" s="30" t="n">
        <x:f>F259*L259</x:f>
        <x:v>3186.728889930132</x:v>
      </x:c>
      <x:c r="O259" s="30" t="n">
        <x:f>G259*L259</x:f>
        <x:v>5379.487978742489</x:v>
      </x:c>
    </x:row>
    <x:row r="260" ht="21" customHeight="1">
      <x:c r="A260" s="28" t="n">
        <x:v>254</x:v>
      </x:c>
      <x:c r="B260" s="29" t="n">
        <x:v>52526</x:v>
      </x:c>
      <x:c r="C260" s="28" t="n">
        <x:f>B260-B259</x:f>
        <x:v>30</x:v>
      </x:c>
      <x:c r="D260" s="30" t="n">
        <x:f>H259</x:f>
        <x:v>1648570.01</x:v>
      </x:c>
      <x:c r="E260" s="30" t="n">
        <x:f>ROUND(D260*I260,2)</x:f>
        <x:v>10162.42</x:v>
      </x:c>
      <x:c r="F260" s="30" t="n">
        <x:f>IF(G260&gt;=E260,ROUND(G260-E260,2),NA())</x:f>
        <x:v>15840.78</x:v>
      </x:c>
      <x:c r="G260" s="30" t="n">
        <x:f>MIN('Параметры'!$C$14,ROUND(D260+E260,2))</x:f>
        <x:v>26003.2</x:v>
      </x:c>
      <x:c r="H260" s="30" t="n">
        <x:f>ROUND(D260-F260,2)</x:f>
        <x:v>1632729.23</x:v>
      </x:c>
      <x:c r="I260" s="33" t="n">
        <x:f>IF(AND(ISNUMBER('Параметры'!$C$7),'Параметры'!$C$7&gt;=0),'Параметры'!$C$7*C260/365,NA())</x:f>
        <x:v>0.0061643835616438354</x:v>
      </x:c>
      <x:c r="J260" s="32" t="n">
        <x:f>J259/(1+I260)</x:f>
        <x:v>0.20561046015900186</x:v>
      </x:c>
      <x:c r="K260" s="33" t="n">
        <x:f>IF(AND(ISNUMBER('Параметры'!$C$8),'Параметры'!$C$8&gt;=0),'Параметры'!$C$8*C260/365,NA())</x:f>
        <x:v>0.0061643835616438354</x:v>
      </x:c>
      <x:c r="L260" s="32" t="n">
        <x:f>L259/(1+K260)</x:f>
        <x:v>0.20561046015900186</x:v>
      </x:c>
      <x:c r="M260" s="30" t="n">
        <x:f>E260*L260</x:f>
        <x:v>2089.499852529044</x:v>
      </x:c>
      <x:c r="N260" s="30" t="n">
        <x:f>F260*L260</x:f>
        <x:v>3257.0300650775134</x:v>
      </x:c>
      <x:c r="O260" s="30" t="n">
        <x:f>G260*L260</x:f>
        <x:v>5346.529917606557</x:v>
      </x:c>
    </x:row>
    <x:row r="261" ht="21" customHeight="1">
      <x:c r="A261" s="28" t="n">
        <x:v>255</x:v>
      </x:c>
      <x:c r="B261" s="29" t="n">
        <x:v>52557</x:v>
      </x:c>
      <x:c r="C261" s="28" t="n">
        <x:f>B261-B260</x:f>
        <x:v>31</x:v>
      </x:c>
      <x:c r="D261" s="30" t="n">
        <x:f>H260</x:f>
        <x:v>1632729.23</x:v>
      </x:c>
      <x:c r="E261" s="30" t="n">
        <x:f>ROUND(D261*I261,2)</x:f>
        <x:v>10400.26</x:v>
      </x:c>
      <x:c r="F261" s="30" t="n">
        <x:f>IF(G261&gt;=E261,ROUND(G261-E261,2),NA())</x:f>
        <x:v>15602.94</x:v>
      </x:c>
      <x:c r="G261" s="30" t="n">
        <x:f>MIN('Параметры'!$C$14,ROUND(D261+E261,2))</x:f>
        <x:v>26003.2</x:v>
      </x:c>
      <x:c r="H261" s="30" t="n">
        <x:f>ROUND(D261-F261,2)</x:f>
        <x:v>1617126.29</x:v>
      </x:c>
      <x:c r="I261" s="33" t="n">
        <x:f>IF(AND(ISNUMBER('Параметры'!$C$7),'Параметры'!$C$7&gt;=0),'Параметры'!$C$7*C261/365,NA())</x:f>
        <x:v>0.00636986301369863</x:v>
      </x:c>
      <x:c r="J261" s="32" t="n">
        <x:f>J260/(1+I261)</x:f>
        <x:v>0.20430903956451557</x:v>
      </x:c>
      <x:c r="K261" s="33" t="n">
        <x:f>IF(AND(ISNUMBER('Параметры'!$C$8),'Параметры'!$C$8&gt;=0),'Параметры'!$C$8*C261/365,NA())</x:f>
        <x:v>0.00636986301369863</x:v>
      </x:c>
      <x:c r="L261" s="32" t="n">
        <x:f>L260/(1+K261)</x:f>
        <x:v>0.20430903956451557</x:v>
      </x:c>
      <x:c r="M261" s="30" t="n">
        <x:f>E261*L261</x:f>
        <x:v>2124.8671318212487</x:v>
      </x:c>
      <x:c r="N261" s="30" t="n">
        <x:f>F261*L261</x:f>
        <x:v>3187.821685782763</x:v>
      </x:c>
      <x:c r="O261" s="30" t="n">
        <x:f>G261*L261</x:f>
        <x:v>5312.688817604011</x:v>
      </x:c>
    </x:row>
    <x:row r="262" ht="21" customHeight="1">
      <x:c r="A262" s="28" t="n">
        <x:v>256</x:v>
      </x:c>
      <x:c r="B262" s="29" t="n">
        <x:v>52587</x:v>
      </x:c>
      <x:c r="C262" s="28" t="n">
        <x:f>B262-B261</x:f>
        <x:v>30</x:v>
      </x:c>
      <x:c r="D262" s="30" t="n">
        <x:f>H261</x:f>
        <x:v>1617126.29</x:v>
      </x:c>
      <x:c r="E262" s="30" t="n">
        <x:f>ROUND(D262*I262,2)</x:f>
        <x:v>9968.59</x:v>
      </x:c>
      <x:c r="F262" s="30" t="n">
        <x:f>IF(G262&gt;=E262,ROUND(G262-E262,2),NA())</x:f>
        <x:v>16034.61</x:v>
      </x:c>
      <x:c r="G262" s="30" t="n">
        <x:f>MIN('Параметры'!$C$14,ROUND(D262+E262,2))</x:f>
        <x:v>26003.2</x:v>
      </x:c>
      <x:c r="H262" s="30" t="n">
        <x:f>ROUND(D262-F262,2)</x:f>
        <x:v>1601091.68</x:v>
      </x:c>
      <x:c r="I262" s="33" t="n">
        <x:f>IF(AND(ISNUMBER('Параметры'!$C$7),'Параметры'!$C$7&gt;=0),'Параметры'!$C$7*C262/365,NA())</x:f>
        <x:v>0.0061643835616438354</x:v>
      </x:c>
      <x:c r="J262" s="32" t="n">
        <x:f>J261/(1+I262)</x:f>
        <x:v>0.20305731638134292</x:v>
      </x:c>
      <x:c r="K262" s="33" t="n">
        <x:f>IF(AND(ISNUMBER('Параметры'!$C$8),'Параметры'!$C$8&gt;=0),'Параметры'!$C$8*C262/365,NA())</x:f>
        <x:v>0.0061643835616438354</x:v>
      </x:c>
      <x:c r="L262" s="32" t="n">
        <x:f>L261/(1+K262)</x:f>
        <x:v>0.20305731638134292</x:v>
      </x:c>
      <x:c r="M262" s="30" t="n">
        <x:f>E262*L262</x:f>
        <x:v>2024.1951335058911</x:v>
      </x:c>
      <x:c r="N262" s="30" t="n">
        <x:f>F262*L262</x:f>
        <x:v>3255.9448758214453</x:v>
      </x:c>
      <x:c r="O262" s="30" t="n">
        <x:f>G262*L262</x:f>
        <x:v>5280.140009327336</x:v>
      </x:c>
    </x:row>
    <x:row r="263" ht="21" customHeight="1">
      <x:c r="A263" s="28" t="n">
        <x:v>257</x:v>
      </x:c>
      <x:c r="B263" s="29" t="n">
        <x:v>52618</x:v>
      </x:c>
      <x:c r="C263" s="28" t="n">
        <x:f>B263-B262</x:f>
        <x:v>31</x:v>
      </x:c>
      <x:c r="D263" s="30" t="n">
        <x:f>H262</x:f>
        <x:v>1601091.68</x:v>
      </x:c>
      <x:c r="E263" s="30" t="n">
        <x:f>ROUND(D263*I263,2)</x:f>
        <x:v>10198.73</x:v>
      </x:c>
      <x:c r="F263" s="30" t="n">
        <x:f>IF(G263&gt;=E263,ROUND(G263-E263,2),NA())</x:f>
        <x:v>15804.47</x:v>
      </x:c>
      <x:c r="G263" s="30" t="n">
        <x:f>MIN('Параметры'!$C$14,ROUND(D263+E263,2))</x:f>
        <x:v>26003.2</x:v>
      </x:c>
      <x:c r="H263" s="30" t="n">
        <x:f>ROUND(D263-F263,2)</x:f>
        <x:v>1585287.21</x:v>
      </x:c>
      <x:c r="I263" s="33" t="n">
        <x:f>IF(AND(ISNUMBER('Параметры'!$C$7),'Параметры'!$C$7&gt;=0),'Параметры'!$C$7*C263/365,NA())</x:f>
        <x:v>0.00636986301369863</x:v>
      </x:c>
      <x:c r="J263" s="32" t="n">
        <x:f>J262/(1+I263)</x:f>
        <x:v>0.2017720560244747</x:v>
      </x:c>
      <x:c r="K263" s="33" t="n">
        <x:f>IF(AND(ISNUMBER('Параметры'!$C$8),'Параметры'!$C$8&gt;=0),'Параметры'!$C$8*C263/365,NA())</x:f>
        <x:v>0.00636986301369863</x:v>
      </x:c>
      <x:c r="L263" s="32" t="n">
        <x:f>L262/(1+K263)</x:f>
        <x:v>0.2017720560244747</x:v>
      </x:c>
      <x:c r="M263" s="30" t="n">
        <x:f>E263*L263</x:f>
        <x:v>2057.818720938491</x:v>
      </x:c>
      <x:c r="N263" s="30" t="n">
        <x:f>F263*L263</x:f>
        <x:v>3188.9004062771296</x:v>
      </x:c>
      <x:c r="O263" s="30" t="n">
        <x:f>G263*L263</x:f>
        <x:v>5246.719127215621</x:v>
      </x:c>
    </x:row>
    <x:row r="264" ht="21" customHeight="1">
      <x:c r="A264" s="28" t="n">
        <x:v>258</x:v>
      </x:c>
      <x:c r="B264" s="29" t="n">
        <x:v>52649</x:v>
      </x:c>
      <x:c r="C264" s="28" t="n">
        <x:f>B264-B263</x:f>
        <x:v>31</x:v>
      </x:c>
      <x:c r="D264" s="30" t="n">
        <x:f>H263</x:f>
        <x:v>1585287.21</x:v>
      </x:c>
      <x:c r="E264" s="30" t="n">
        <x:f>ROUND(D264*I264,2)</x:f>
        <x:v>10098.06</x:v>
      </x:c>
      <x:c r="F264" s="30" t="n">
        <x:f>IF(G264&gt;=E264,ROUND(G264-E264,2),NA())</x:f>
        <x:v>15905.14</x:v>
      </x:c>
      <x:c r="G264" s="30" t="n">
        <x:f>MIN('Параметры'!$C$14,ROUND(D264+E264,2))</x:f>
        <x:v>26003.2</x:v>
      </x:c>
      <x:c r="H264" s="30" t="n">
        <x:f>ROUND(D264-F264,2)</x:f>
        <x:v>1569382.07</x:v>
      </x:c>
      <x:c r="I264" s="33" t="n">
        <x:f>IF(AND(ISNUMBER('Параметры'!$C$7),'Параметры'!$C$7&gt;=0),'Параметры'!$C$7*C264/365,NA())</x:f>
        <x:v>0.00636986301369863</x:v>
      </x:c>
      <x:c r="J264" s="32" t="n">
        <x:f>J263/(1+I264)</x:f>
        <x:v>0.20049493078046218</x:v>
      </x:c>
      <x:c r="K264" s="33" t="n">
        <x:f>IF(AND(ISNUMBER('Параметры'!$C$8),'Параметры'!$C$8&gt;=0),'Параметры'!$C$8*C264/365,NA())</x:f>
        <x:v>0.00636986301369863</x:v>
      </x:c>
      <x:c r="L264" s="32" t="n">
        <x:f>L263/(1+K264)</x:f>
        <x:v>0.20049493078046218</x:v>
      </x:c>
      <x:c r="M264" s="30" t="n">
        <x:f>E264*L264</x:f>
        <x:v>2024.6098407169538</x:v>
      </x:c>
      <x:c r="N264" s="30" t="n">
        <x:f>F264*L264</x:f>
        <x:v>3188.89994335356</x:v>
      </x:c>
      <x:c r="O264" s="30" t="n">
        <x:f>G264*L264</x:f>
        <x:v>5213.509784070515</x:v>
      </x:c>
    </x:row>
    <x:row r="265" ht="21" customHeight="1">
      <x:c r="A265" s="28" t="n">
        <x:v>259</x:v>
      </x:c>
      <x:c r="B265" s="29" t="n">
        <x:v>52678</x:v>
      </x:c>
      <x:c r="C265" s="28" t="n">
        <x:f>B265-B264</x:f>
        <x:v>29</x:v>
      </x:c>
      <x:c r="D265" s="30" t="n">
        <x:f>H264</x:f>
        <x:v>1569382.07</x:v>
      </x:c>
      <x:c r="E265" s="30" t="n">
        <x:f>ROUND(D265*I265,2)</x:f>
        <x:v>9351.8</x:v>
      </x:c>
      <x:c r="F265" s="30" t="n">
        <x:f>IF(G265&gt;=E265,ROUND(G265-E265,2),NA())</x:f>
        <x:v>16651.4</x:v>
      </x:c>
      <x:c r="G265" s="30" t="n">
        <x:f>MIN('Параметры'!$C$14,ROUND(D265+E265,2))</x:f>
        <x:v>26003.2</x:v>
      </x:c>
      <x:c r="H265" s="30" t="n">
        <x:f>ROUND(D265-F265,2)</x:f>
        <x:v>1552730.67</x:v>
      </x:c>
      <x:c r="I265" s="33" t="n">
        <x:f>IF(AND(ISNUMBER('Параметры'!$C$7),'Параметры'!$C$7&gt;=0),'Параметры'!$C$7*C265/365,NA())</x:f>
        <x:v>0.00595890410958904</x:v>
      </x:c>
      <x:c r="J265" s="32" t="n">
        <x:f>J264/(1+I265)</x:f>
        <x:v>0.1993072778235683</x:v>
      </x:c>
      <x:c r="K265" s="33" t="n">
        <x:f>IF(AND(ISNUMBER('Параметры'!$C$8),'Параметры'!$C$8&gt;=0),'Параметры'!$C$8*C265/365,NA())</x:f>
        <x:v>0.00595890410958904</x:v>
      </x:c>
      <x:c r="L265" s="32" t="n">
        <x:f>L264/(1+K265)</x:f>
        <x:v>0.1993072778235683</x:v>
      </x:c>
      <x:c r="M265" s="30" t="n">
        <x:f>E265*L265</x:f>
        <x:v>1863.8818007504458</x:v>
      </x:c>
      <x:c r="N265" s="30" t="n">
        <x:f>F265*L265</x:f>
        <x:v>3318.7452059513657</x:v>
      </x:c>
      <x:c r="O265" s="30" t="n">
        <x:f>G265*L265</x:f>
        <x:v>5182.627006701811</x:v>
      </x:c>
    </x:row>
    <x:row r="266" ht="21" customHeight="1">
      <x:c r="A266" s="28" t="n">
        <x:v>260</x:v>
      </x:c>
      <x:c r="B266" s="29" t="n">
        <x:v>52709</x:v>
      </x:c>
      <x:c r="C266" s="28" t="n">
        <x:f>B266-B265</x:f>
        <x:v>31</x:v>
      </x:c>
      <x:c r="D266" s="30" t="n">
        <x:f>H265</x:f>
        <x:v>1552730.67</x:v>
      </x:c>
      <x:c r="E266" s="30" t="n">
        <x:f>ROUND(D266*I266,2)</x:f>
        <x:v>9890.68</x:v>
      </x:c>
      <x:c r="F266" s="30" t="n">
        <x:f>IF(G266&gt;=E266,ROUND(G266-E266,2),NA())</x:f>
        <x:v>16112.52</x:v>
      </x:c>
      <x:c r="G266" s="30" t="n">
        <x:f>MIN('Параметры'!$C$14,ROUND(D266+E266,2))</x:f>
        <x:v>26003.2</x:v>
      </x:c>
      <x:c r="H266" s="30" t="n">
        <x:f>ROUND(D266-F266,2)</x:f>
        <x:v>1536618.15</x:v>
      </x:c>
      <x:c r="I266" s="33" t="n">
        <x:f>IF(AND(ISNUMBER('Параметры'!$C$7),'Параметры'!$C$7&gt;=0),'Параметры'!$C$7*C266/365,NA())</x:f>
        <x:v>0.00636986301369863</x:v>
      </x:c>
      <x:c r="J266" s="32" t="n">
        <x:f>J265/(1+I266)</x:f>
        <x:v>0.19804575350330753</x:v>
      </x:c>
      <x:c r="K266" s="33" t="n">
        <x:f>IF(AND(ISNUMBER('Параметры'!$C$8),'Параметры'!$C$8&gt;=0),'Параметры'!$C$8*C266/365,NA())</x:f>
        <x:v>0.00636986301369863</x:v>
      </x:c>
      <x:c r="L266" s="32" t="n">
        <x:f>L265/(1+K266)</x:f>
        <x:v>0.19804575350330753</x:v>
      </x:c>
      <x:c r="M266" s="30" t="n">
        <x:f>E266*L266</x:f>
        <x:v>1958.8071732600938</x:v>
      </x:c>
      <x:c r="N266" s="30" t="n">
        <x:f>F266*L266</x:f>
        <x:v>3191.0161642371127</x:v>
      </x:c>
      <x:c r="O266" s="30" t="n">
        <x:f>G266*L266</x:f>
        <x:v>5149.823337497206</x:v>
      </x:c>
    </x:row>
    <x:row r="267" ht="21" customHeight="1">
      <x:c r="A267" s="28" t="n">
        <x:v>261</x:v>
      </x:c>
      <x:c r="B267" s="29" t="n">
        <x:v>52739</x:v>
      </x:c>
      <x:c r="C267" s="28" t="n">
        <x:f>B267-B266</x:f>
        <x:v>30</x:v>
      </x:c>
      <x:c r="D267" s="30" t="n">
        <x:f>H266</x:f>
        <x:v>1536618.15</x:v>
      </x:c>
      <x:c r="E267" s="30" t="n">
        <x:f>ROUND(D267*I267,2)</x:f>
        <x:v>9472.3</x:v>
      </x:c>
      <x:c r="F267" s="30" t="n">
        <x:f>IF(G267&gt;=E267,ROUND(G267-E267,2),NA())</x:f>
        <x:v>16530.9</x:v>
      </x:c>
      <x:c r="G267" s="30" t="n">
        <x:f>MIN('Параметры'!$C$14,ROUND(D267+E267,2))</x:f>
        <x:v>26003.2</x:v>
      </x:c>
      <x:c r="H267" s="30" t="n">
        <x:f>ROUND(D267-F267,2)</x:f>
        <x:v>1520087.25</x:v>
      </x:c>
      <x:c r="I267" s="33" t="n">
        <x:f>IF(AND(ISNUMBER('Параметры'!$C$7),'Параметры'!$C$7&gt;=0),'Параметры'!$C$7*C267/365,NA())</x:f>
        <x:v>0.0061643835616438354</x:v>
      </x:c>
      <x:c r="J267" s="32" t="n">
        <x:f>J266/(1+I267)</x:f>
        <x:v>0.196832403073403</x:v>
      </x:c>
      <x:c r="K267" s="33" t="n">
        <x:f>IF(AND(ISNUMBER('Параметры'!$C$8),'Параметры'!$C$8&gt;=0),'Параметры'!$C$8*C267/365,NA())</x:f>
        <x:v>0.0061643835616438354</x:v>
      </x:c>
      <x:c r="L267" s="32" t="n">
        <x:f>L266/(1+K267)</x:f>
        <x:v>0.196832403073403</x:v>
      </x:c>
      <x:c r="M267" s="30" t="n">
        <x:f>E267*L267</x:f>
        <x:v>1864.455571632195</x:v>
      </x:c>
      <x:c r="N267" s="30" t="n">
        <x:f>F267*L267</x:f>
        <x:v>3253.816771966118</x:v>
      </x:c>
      <x:c r="O267" s="30" t="n">
        <x:f>G267*L267</x:f>
        <x:v>5118.272343598313</x:v>
      </x:c>
    </x:row>
    <x:row r="268" ht="21" customHeight="1">
      <x:c r="A268" s="28" t="n">
        <x:v>262</x:v>
      </x:c>
      <x:c r="B268" s="29" t="n">
        <x:v>52770</x:v>
      </x:c>
      <x:c r="C268" s="28" t="n">
        <x:f>B268-B267</x:f>
        <x:v>31</x:v>
      </x:c>
      <x:c r="D268" s="30" t="n">
        <x:f>H267</x:f>
        <x:v>1520087.25</x:v>
      </x:c>
      <x:c r="E268" s="30" t="n">
        <x:f>ROUND(D268*I268,2)</x:f>
        <x:v>9682.75</x:v>
      </x:c>
      <x:c r="F268" s="30" t="n">
        <x:f>IF(G268&gt;=E268,ROUND(G268-E268,2),NA())</x:f>
        <x:v>16320.45</x:v>
      </x:c>
      <x:c r="G268" s="30" t="n">
        <x:f>MIN('Параметры'!$C$14,ROUND(D268+E268,2))</x:f>
        <x:v>26003.2</x:v>
      </x:c>
      <x:c r="H268" s="30" t="n">
        <x:f>ROUND(D268-F268,2)</x:f>
        <x:v>1503766.8</x:v>
      </x:c>
      <x:c r="I268" s="33" t="n">
        <x:f>IF(AND(ISNUMBER('Параметры'!$C$7),'Параметры'!$C$7&gt;=0),'Параметры'!$C$7*C268/365,NA())</x:f>
        <x:v>0.00636986301369863</x:v>
      </x:c>
      <x:c r="J268" s="32" t="n">
        <x:f>J267/(1+I268)</x:f>
        <x:v>0.19558654358345362</x:v>
      </x:c>
      <x:c r="K268" s="33" t="n">
        <x:f>IF(AND(ISNUMBER('Параметры'!$C$8),'Параметры'!$C$8&gt;=0),'Параметры'!$C$8*C268/365,NA())</x:f>
        <x:v>0.00636986301369863</x:v>
      </x:c>
      <x:c r="L268" s="32" t="n">
        <x:f>L267/(1+K268)</x:f>
        <x:v>0.19558654358345362</x:v>
      </x:c>
      <x:c r="M268" s="30" t="n">
        <x:f>E268*L268</x:f>
        <x:v>1893.8156048826856</x:v>
      </x:c>
      <x:c r="N268" s="30" t="n">
        <x:f>F268*L268</x:f>
        <x:v>3192.0604052265758</x:v>
      </x:c>
      <x:c r="O268" s="30" t="n">
        <x:f>G268*L268</x:f>
        <x:v>5085.876010109261</x:v>
      </x:c>
    </x:row>
    <x:row r="269" ht="21" customHeight="1">
      <x:c r="A269" s="28" t="n">
        <x:v>263</x:v>
      </x:c>
      <x:c r="B269" s="29" t="n">
        <x:v>52800</x:v>
      </x:c>
      <x:c r="C269" s="28" t="n">
        <x:f>B269-B268</x:f>
        <x:v>30</x:v>
      </x:c>
      <x:c r="D269" s="30" t="n">
        <x:f>H268</x:f>
        <x:v>1503766.8</x:v>
      </x:c>
      <x:c r="E269" s="30" t="n">
        <x:f>ROUND(D269*I269,2)</x:f>
        <x:v>9269.8</x:v>
      </x:c>
      <x:c r="F269" s="30" t="n">
        <x:f>IF(G269&gt;=E269,ROUND(G269-E269,2),NA())</x:f>
        <x:v>16733.4</x:v>
      </x:c>
      <x:c r="G269" s="30" t="n">
        <x:f>MIN('Параметры'!$C$14,ROUND(D269+E269,2))</x:f>
        <x:v>26003.2</x:v>
      </x:c>
      <x:c r="H269" s="30" t="n">
        <x:f>ROUND(D269-F269,2)</x:f>
        <x:v>1487033.4</x:v>
      </x:c>
      <x:c r="I269" s="33" t="n">
        <x:f>IF(AND(ISNUMBER('Параметры'!$C$7),'Параметры'!$C$7&gt;=0),'Параметры'!$C$7*C269/365,NA())</x:f>
        <x:v>0.0061643835616438354</x:v>
      </x:c>
      <x:c r="J269" s="32" t="n">
        <x:f>J268/(1+I269)</x:f>
        <x:v>0.1943882597902262</x:v>
      </x:c>
      <x:c r="K269" s="33" t="n">
        <x:f>IF(AND(ISNUMBER('Параметры'!$C$8),'Параметры'!$C$8&gt;=0),'Параметры'!$C$8*C269/365,NA())</x:f>
        <x:v>0.0061643835616438354</x:v>
      </x:c>
      <x:c r="L269" s="32" t="n">
        <x:f>L268/(1+K269)</x:f>
        <x:v>0.1943882597902262</x:v>
      </x:c>
      <x:c r="M269" s="30" t="n">
        <x:f>E269*L269</x:f>
        <x:v>1801.9402906034386</x:v>
      </x:c>
      <x:c r="N269" s="30" t="n">
        <x:f>F269*L269</x:f>
        <x:v>3252.7765063737716</x:v>
      </x:c>
      <x:c r="O269" s="30" t="n">
        <x:f>G269*L269</x:f>
        <x:v>5054.71679697721</x:v>
      </x:c>
    </x:row>
    <x:row r="270" ht="21" customHeight="1">
      <x:c r="A270" s="28" t="n">
        <x:v>264</x:v>
      </x:c>
      <x:c r="B270" s="29" t="n">
        <x:v>52831</x:v>
      </x:c>
      <x:c r="C270" s="28" t="n">
        <x:f>B270-B269</x:f>
        <x:v>31</x:v>
      </x:c>
      <x:c r="D270" s="30" t="n">
        <x:f>H269</x:f>
        <x:v>1487033.4</x:v>
      </x:c>
      <x:c r="E270" s="30" t="n">
        <x:f>ROUND(D270*I270,2)</x:f>
        <x:v>9472.2</x:v>
      </x:c>
      <x:c r="F270" s="30" t="n">
        <x:f>IF(G270&gt;=E270,ROUND(G270-E270,2),NA())</x:f>
        <x:v>16531</x:v>
      </x:c>
      <x:c r="G270" s="30" t="n">
        <x:f>MIN('Параметры'!$C$14,ROUND(D270+E270,2))</x:f>
        <x:v>26003.2</x:v>
      </x:c>
      <x:c r="H270" s="30" t="n">
        <x:f>ROUND(D270-F270,2)</x:f>
        <x:v>1470502.4</x:v>
      </x:c>
      <x:c r="I270" s="33" t="n">
        <x:f>IF(AND(ISNUMBER('Параметры'!$C$7),'Параметры'!$C$7&gt;=0),'Параметры'!$C$7*C270/365,NA())</x:f>
        <x:v>0.00636986301369863</x:v>
      </x:c>
      <x:c r="J270" s="32" t="n">
        <x:f>J269/(1+I270)</x:f>
        <x:v>0.1931578706143948</x:v>
      </x:c>
      <x:c r="K270" s="33" t="n">
        <x:f>IF(AND(ISNUMBER('Параметры'!$C$8),'Параметры'!$C$8&gt;=0),'Параметры'!$C$8*C270/365,NA())</x:f>
        <x:v>0.00636986301369863</x:v>
      </x:c>
      <x:c r="L270" s="32" t="n">
        <x:f>L269/(1+K270)</x:f>
        <x:v>0.1931578706143948</x:v>
      </x:c>
      <x:c r="M270" s="30" t="n">
        <x:f>E270*L270</x:f>
        <x:v>1829.6299820336706</x:v>
      </x:c>
      <x:c r="N270" s="30" t="n">
        <x:f>F270*L270</x:f>
        <x:v>3193.0927591265604</x:v>
      </x:c>
      <x:c r="O270" s="30" t="n">
        <x:f>G270*L270</x:f>
        <x:v>5022.722741160231</x:v>
      </x:c>
    </x:row>
    <x:row r="271" ht="21" customHeight="1">
      <x:c r="A271" s="28" t="n">
        <x:v>265</x:v>
      </x:c>
      <x:c r="B271" s="29" t="n">
        <x:v>52862</x:v>
      </x:c>
      <x:c r="C271" s="28" t="n">
        <x:f>B271-B270</x:f>
        <x:v>31</x:v>
      </x:c>
      <x:c r="D271" s="30" t="n">
        <x:f>H270</x:f>
        <x:v>1470502.4</x:v>
      </x:c>
      <x:c r="E271" s="30" t="n">
        <x:f>ROUND(D271*I271,2)</x:f>
        <x:v>9366.9</x:v>
      </x:c>
      <x:c r="F271" s="30" t="n">
        <x:f>IF(G271&gt;=E271,ROUND(G271-E271,2),NA())</x:f>
        <x:v>16636.3</x:v>
      </x:c>
      <x:c r="G271" s="30" t="n">
        <x:f>MIN('Параметры'!$C$14,ROUND(D271+E271,2))</x:f>
        <x:v>26003.2</x:v>
      </x:c>
      <x:c r="H271" s="30" t="n">
        <x:f>ROUND(D271-F271,2)</x:f>
        <x:v>1453866.1</x:v>
      </x:c>
      <x:c r="I271" s="33" t="n">
        <x:f>IF(AND(ISNUMBER('Параметры'!$C$7),'Параметры'!$C$7&gt;=0),'Параметры'!$C$7*C271/365,NA())</x:f>
        <x:v>0.00636986301369863</x:v>
      </x:c>
      <x:c r="J271" s="32" t="n">
        <x:f>J270/(1+I271)</x:f>
        <x:v>0.191935269241827</x:v>
      </x:c>
      <x:c r="K271" s="33" t="n">
        <x:f>IF(AND(ISNUMBER('Параметры'!$C$8),'Параметры'!$C$8&gt;=0),'Параметры'!$C$8*C271/365,NA())</x:f>
        <x:v>0.00636986301369863</x:v>
      </x:c>
      <x:c r="L271" s="32" t="n">
        <x:f>L270/(1+K271)</x:f>
        <x:v>0.191935269241827</x:v>
      </x:c>
      <x:c r="M271" s="30" t="n">
        <x:f>E271*L271</x:f>
        <x:v>1797.8384734612691</x:v>
      </x:c>
      <x:c r="N271" s="30" t="n">
        <x:f>F271*L271</x:f>
        <x:v>3193.0927196878065</x:v>
      </x:c>
      <x:c r="O271" s="30" t="n">
        <x:f>G271*L271</x:f>
        <x:v>4990.931193149076</x:v>
      </x:c>
    </x:row>
    <x:row r="272" ht="21" customHeight="1">
      <x:c r="A272" s="28" t="n">
        <x:v>266</x:v>
      </x:c>
      <x:c r="B272" s="29" t="n">
        <x:v>52892</x:v>
      </x:c>
      <x:c r="C272" s="28" t="n">
        <x:f>B272-B271</x:f>
        <x:v>30</x:v>
      </x:c>
      <x:c r="D272" s="30" t="n">
        <x:f>H271</x:f>
        <x:v>1453866.1</x:v>
      </x:c>
      <x:c r="E272" s="30" t="n">
        <x:f>ROUND(D272*I272,2)</x:f>
        <x:v>8962.19</x:v>
      </x:c>
      <x:c r="F272" s="30" t="n">
        <x:f>IF(G272&gt;=E272,ROUND(G272-E272,2),NA())</x:f>
        <x:v>17041.01</x:v>
      </x:c>
      <x:c r="G272" s="30" t="n">
        <x:f>MIN('Параметры'!$C$14,ROUND(D272+E272,2))</x:f>
        <x:v>26003.2</x:v>
      </x:c>
      <x:c r="H272" s="30" t="n">
        <x:f>ROUND(D272-F272,2)</x:f>
        <x:v>1436825.09</x:v>
      </x:c>
      <x:c r="I272" s="33" t="n">
        <x:f>IF(AND(ISNUMBER('Параметры'!$C$7),'Параметры'!$C$7&gt;=0),'Параметры'!$C$7*C272/365,NA())</x:f>
        <x:v>0.0061643835616438354</x:v>
      </x:c>
      <x:c r="J272" s="32" t="n">
        <x:f>J271/(1+I272)</x:f>
        <x:v>0.19075935540712555</x:v>
      </x:c>
      <x:c r="K272" s="33" t="n">
        <x:f>IF(AND(ISNUMBER('Параметры'!$C$8),'Параметры'!$C$8&gt;=0),'Параметры'!$C$8*C272/365,NA())</x:f>
        <x:v>0.0061643835616438354</x:v>
      </x:c>
      <x:c r="L272" s="32" t="n">
        <x:f>L271/(1+K272)</x:f>
        <x:v>0.19075935540712555</x:v>
      </x:c>
      <x:c r="M272" s="30" t="n">
        <x:f>E272*L272</x:f>
        <x:v>1709.6215874361867</x:v>
      </x:c>
      <x:c r="N272" s="30" t="n">
        <x:f>F272*L272</x:f>
        <x:v>3250.73208308638</x:v>
      </x:c>
      <x:c r="O272" s="30" t="n">
        <x:f>G272*L272</x:f>
        <x:v>4960.353670522567</x:v>
      </x:c>
    </x:row>
    <x:row r="273" ht="21" customHeight="1">
      <x:c r="A273" s="28" t="n">
        <x:v>267</x:v>
      </x:c>
      <x:c r="B273" s="29" t="n">
        <x:v>52923</x:v>
      </x:c>
      <x:c r="C273" s="28" t="n">
        <x:f>B273-B272</x:f>
        <x:v>31</x:v>
      </x:c>
      <x:c r="D273" s="30" t="n">
        <x:f>H272</x:f>
        <x:v>1436825.09</x:v>
      </x:c>
      <x:c r="E273" s="30" t="n">
        <x:f>ROUND(D273*I273,2)</x:f>
        <x:v>9152.38</x:v>
      </x:c>
      <x:c r="F273" s="30" t="n">
        <x:f>IF(G273&gt;=E273,ROUND(G273-E273,2),NA())</x:f>
        <x:v>16850.82</x:v>
      </x:c>
      <x:c r="G273" s="30" t="n">
        <x:f>MIN('Параметры'!$C$14,ROUND(D273+E273,2))</x:f>
        <x:v>26003.2</x:v>
      </x:c>
      <x:c r="H273" s="30" t="n">
        <x:f>ROUND(D273-F273,2)</x:f>
        <x:v>1419974.27</x:v>
      </x:c>
      <x:c r="I273" s="33" t="n">
        <x:f>IF(AND(ISNUMBER('Параметры'!$C$7),'Параметры'!$C$7&gt;=0),'Параметры'!$C$7*C273/365,NA())</x:f>
        <x:v>0.00636986301369863</x:v>
      </x:c>
      <x:c r="J273" s="32" t="n">
        <x:f>J272/(1+I273)</x:f>
        <x:v>0.18955193554373057</x:v>
      </x:c>
      <x:c r="K273" s="33" t="n">
        <x:f>IF(AND(ISNUMBER('Параметры'!$C$8),'Параметры'!$C$8&gt;=0),'Параметры'!$C$8*C273/365,NA())</x:f>
        <x:v>0.00636986301369863</x:v>
      </x:c>
      <x:c r="L273" s="32" t="n">
        <x:f>L272/(1+K273)</x:f>
        <x:v>0.18955193554373057</x:v>
      </x:c>
      <x:c r="M273" s="30" t="n">
        <x:f>E273*L273</x:f>
        <x:v>1734.8513438317286</x:v>
      </x:c>
      <x:c r="N273" s="30" t="n">
        <x:f>F273*L273</x:f>
        <x:v>3194.105546499006</x:v>
      </x:c>
      <x:c r="O273" s="30" t="n">
        <x:f>G273*L273</x:f>
        <x:v>4928.9568903307345</x:v>
      </x:c>
    </x:row>
    <x:row r="274" ht="21" customHeight="1">
      <x:c r="A274" s="28" t="n">
        <x:v>268</x:v>
      </x:c>
      <x:c r="B274" s="29" t="n">
        <x:v>52953</x:v>
      </x:c>
      <x:c r="C274" s="28" t="n">
        <x:f>B274-B273</x:f>
        <x:v>30</x:v>
      </x:c>
      <x:c r="D274" s="30" t="n">
        <x:f>H273</x:f>
        <x:v>1419974.27</x:v>
      </x:c>
      <x:c r="E274" s="30" t="n">
        <x:f>ROUND(D274*I274,2)</x:f>
        <x:v>8753.27</x:v>
      </x:c>
      <x:c r="F274" s="30" t="n">
        <x:f>IF(G274&gt;=E274,ROUND(G274-E274,2),NA())</x:f>
        <x:v>17249.93</x:v>
      </x:c>
      <x:c r="G274" s="30" t="n">
        <x:f>MIN('Параметры'!$C$14,ROUND(D274+E274,2))</x:f>
        <x:v>26003.2</x:v>
      </x:c>
      <x:c r="H274" s="30" t="n">
        <x:f>ROUND(D274-F274,2)</x:f>
        <x:v>1402724.34</x:v>
      </x:c>
      <x:c r="I274" s="33" t="n">
        <x:f>IF(AND(ISNUMBER('Параметры'!$C$7),'Параметры'!$C$7&gt;=0),'Параметры'!$C$7*C274/365,NA())</x:f>
        <x:v>0.0061643835616438354</x:v>
      </x:c>
      <x:c r="J274" s="32" t="n">
        <x:f>J273/(1+I274)</x:f>
        <x:v>0.18839062348117538</x:v>
      </x:c>
      <x:c r="K274" s="33" t="n">
        <x:f>IF(AND(ISNUMBER('Параметры'!$C$8),'Параметры'!$C$8&gt;=0),'Параметры'!$C$8*C274/365,NA())</x:f>
        <x:v>0.0061643835616438354</x:v>
      </x:c>
      <x:c r="L274" s="32" t="n">
        <x:f>L273/(1+K274)</x:f>
        <x:v>0.18839062348117538</x:v>
      </x:c>
      <x:c r="M274" s="30" t="n">
        <x:f>E274*L274</x:f>
        <x:v>1649.033992799068</x:v>
      </x:c>
      <x:c r="N274" s="30" t="n">
        <x:f>F274*L274</x:f>
        <x:v>3249.7250677066318</x:v>
      </x:c>
      <x:c r="O274" s="30" t="n">
        <x:f>G274*L274</x:f>
        <x:v>4898.7590605057</x:v>
      </x:c>
    </x:row>
    <x:row r="275" ht="21" customHeight="1">
      <x:c r="A275" s="28" t="n">
        <x:v>269</x:v>
      </x:c>
      <x:c r="B275" s="29" t="n">
        <x:v>52984</x:v>
      </x:c>
      <x:c r="C275" s="28" t="n">
        <x:f>B275-B274</x:f>
        <x:v>31</x:v>
      </x:c>
      <x:c r="D275" s="30" t="n">
        <x:f>H274</x:f>
        <x:v>1402724.34</x:v>
      </x:c>
      <x:c r="E275" s="30" t="n">
        <x:f>ROUND(D275*I275,2)</x:f>
        <x:v>8935.16</x:v>
      </x:c>
      <x:c r="F275" s="30" t="n">
        <x:f>IF(G275&gt;=E275,ROUND(G275-E275,2),NA())</x:f>
        <x:v>17068.04</x:v>
      </x:c>
      <x:c r="G275" s="30" t="n">
        <x:f>MIN('Параметры'!$C$14,ROUND(D275+E275,2))</x:f>
        <x:v>26003.2</x:v>
      </x:c>
      <x:c r="H275" s="30" t="n">
        <x:f>ROUND(D275-F275,2)</x:f>
        <x:v>1385656.3</x:v>
      </x:c>
      <x:c r="I275" s="33" t="n">
        <x:f>IF(AND(ISNUMBER('Параметры'!$C$7),'Параметры'!$C$7&gt;=0),'Параметры'!$C$7*C275/365,NA())</x:f>
        <x:v>0.00636986301369863</x:v>
      </x:c>
      <x:c r="J275" s="32" t="n">
        <x:f>J274/(1+I275)</x:f>
        <x:v>0.18719819661234335</x:v>
      </x:c>
      <x:c r="K275" s="33" t="n">
        <x:f>IF(AND(ISNUMBER('Параметры'!$C$8),'Параметры'!$C$8&gt;=0),'Параметры'!$C$8*C275/365,NA())</x:f>
        <x:v>0.00636986301369863</x:v>
      </x:c>
      <x:c r="L275" s="32" t="n">
        <x:f>L274/(1+K275)</x:f>
        <x:v>0.18719819661234335</x:v>
      </x:c>
      <x:c r="M275" s="30" t="n">
        <x:f>E275*L275</x:f>
        <x:v>1672.6458384427458</x:v>
      </x:c>
      <x:c r="N275" s="30" t="n">
        <x:f>F275*L275</x:f>
        <x:v>3195.106307707341</x:v>
      </x:c>
      <x:c r="O275" s="30" t="n">
        <x:f>G275*L275</x:f>
        <x:v>4867.752146150086</x:v>
      </x:c>
    </x:row>
    <x:row r="276" ht="21" customHeight="1">
      <x:c r="A276" s="28" t="n">
        <x:v>270</x:v>
      </x:c>
      <x:c r="B276" s="29" t="n">
        <x:v>53015</x:v>
      </x:c>
      <x:c r="C276" s="28" t="n">
        <x:f>B276-B275</x:f>
        <x:v>31</x:v>
      </x:c>
      <x:c r="D276" s="30" t="n">
        <x:f>H275</x:f>
        <x:v>1385656.3</x:v>
      </x:c>
      <x:c r="E276" s="30" t="n">
        <x:f>ROUND(D276*I276,2)</x:f>
        <x:v>8826.44</x:v>
      </x:c>
      <x:c r="F276" s="30" t="n">
        <x:f>IF(G276&gt;=E276,ROUND(G276-E276,2),NA())</x:f>
        <x:v>17176.76</x:v>
      </x:c>
      <x:c r="G276" s="30" t="n">
        <x:f>MIN('Параметры'!$C$14,ROUND(D276+E276,2))</x:f>
        <x:v>26003.2</x:v>
      </x:c>
      <x:c r="H276" s="30" t="n">
        <x:f>ROUND(D276-F276,2)</x:f>
        <x:v>1368479.54</x:v>
      </x:c>
      <x:c r="I276" s="33" t="n">
        <x:f>IF(AND(ISNUMBER('Параметры'!$C$7),'Параметры'!$C$7&gt;=0),'Параметры'!$C$7*C276/365,NA())</x:f>
        <x:v>0.00636986301369863</x:v>
      </x:c>
      <x:c r="J276" s="32" t="n">
        <x:f>J275/(1+I276)</x:f>
        <x:v>0.18601331726265657</x:v>
      </x:c>
      <x:c r="K276" s="33" t="n">
        <x:f>IF(AND(ISNUMBER('Параметры'!$C$8),'Параметры'!$C$8&gt;=0),'Параметры'!$C$8*C276/365,NA())</x:f>
        <x:v>0.00636986301369863</x:v>
      </x:c>
      <x:c r="L276" s="32" t="n">
        <x:f>L275/(1+K276)</x:f>
        <x:v>0.18601331726265657</x:v>
      </x:c>
      <x:c r="M276" s="30" t="n">
        <x:f>E276*L276</x:f>
        <x:v>1641.8353840198026</x:v>
      </x:c>
      <x:c r="N276" s="30" t="n">
        <x:f>F276*L276</x:f>
        <x:v>3195.1061074245085</x:v>
      </x:c>
      <x:c r="O276" s="30" t="n">
        <x:f>G276*L276</x:f>
        <x:v>4836.941491444311</x:v>
      </x:c>
    </x:row>
    <x:row r="277" ht="21" customHeight="1">
      <x:c r="A277" s="28" t="n">
        <x:v>271</x:v>
      </x:c>
      <x:c r="B277" s="29" t="n">
        <x:v>53043</x:v>
      </x:c>
      <x:c r="C277" s="28" t="n">
        <x:f>B277-B276</x:f>
        <x:v>28</x:v>
      </x:c>
      <x:c r="D277" s="30" t="n">
        <x:f>H276</x:f>
        <x:v>1368479.54</x:v>
      </x:c>
      <x:c r="E277" s="30" t="n">
        <x:f>ROUND(D277*I277,2)</x:f>
        <x:v>7873.44</x:v>
      </x:c>
      <x:c r="F277" s="30" t="n">
        <x:f>IF(G277&gt;=E277,ROUND(G277-E277,2),NA())</x:f>
        <x:v>18129.76</x:v>
      </x:c>
      <x:c r="G277" s="30" t="n">
        <x:f>MIN('Параметры'!$C$14,ROUND(D277+E277,2))</x:f>
        <x:v>26003.2</x:v>
      </x:c>
      <x:c r="H277" s="30" t="n">
        <x:f>ROUND(D277-F277,2)</x:f>
        <x:v>1350349.78</x:v>
      </x:c>
      <x:c r="I277" s="33" t="n">
        <x:f>IF(AND(ISNUMBER('Параметры'!$C$7),'Параметры'!$C$7&gt;=0),'Параметры'!$C$7*C277/365,NA())</x:f>
        <x:v>0.005753424657534247</x:v>
      </x:c>
      <x:c r="J277" s="32" t="n">
        <x:f>J276/(1+I277)</x:f>
        <x:v>0.18494922582639514</x:v>
      </x:c>
      <x:c r="K277" s="33" t="n">
        <x:f>IF(AND(ISNUMBER('Параметры'!$C$8),'Параметры'!$C$8&gt;=0),'Параметры'!$C$8*C277/365,NA())</x:f>
        <x:v>0.005753424657534247</x:v>
      </x:c>
      <x:c r="L277" s="32" t="n">
        <x:f>L276/(1+K277)</x:f>
        <x:v>0.18494922582639514</x:v>
      </x:c>
      <x:c r="M277" s="30" t="n">
        <x:f>E277*L277</x:f>
        <x:v>1456.1866325905726</x:v>
      </x:c>
      <x:c r="N277" s="30" t="n">
        <x:f>F277*L277</x:f>
        <x:v>3353.085076418345</x:v>
      </x:c>
      <x:c r="O277" s="30" t="n">
        <x:f>G277*L277</x:f>
        <x:v>4809.271709008918</x:v>
      </x:c>
    </x:row>
    <x:row r="278" ht="21" customHeight="1">
      <x:c r="A278" s="28" t="n">
        <x:v>272</x:v>
      </x:c>
      <x:c r="B278" s="29" t="n">
        <x:v>53074</x:v>
      </x:c>
      <x:c r="C278" s="28" t="n">
        <x:f>B278-B277</x:f>
        <x:v>31</x:v>
      </x:c>
      <x:c r="D278" s="30" t="n">
        <x:f>H277</x:f>
        <x:v>1350349.78</x:v>
      </x:c>
      <x:c r="E278" s="30" t="n">
        <x:f>ROUND(D278*I278,2)</x:f>
        <x:v>8601.54</x:v>
      </x:c>
      <x:c r="F278" s="30" t="n">
        <x:f>IF(G278&gt;=E278,ROUND(G278-E278,2),NA())</x:f>
        <x:v>17401.66</x:v>
      </x:c>
      <x:c r="G278" s="30" t="n">
        <x:f>MIN('Параметры'!$C$14,ROUND(D278+E278,2))</x:f>
        <x:v>26003.2</x:v>
      </x:c>
      <x:c r="H278" s="30" t="n">
        <x:f>ROUND(D278-F278,2)</x:f>
        <x:v>1332948.12</x:v>
      </x:c>
      <x:c r="I278" s="33" t="n">
        <x:f>IF(AND(ISNUMBER('Параметры'!$C$7),'Параметры'!$C$7&gt;=0),'Параметры'!$C$7*C278/365,NA())</x:f>
        <x:v>0.00636986301369863</x:v>
      </x:c>
      <x:c r="J278" s="32" t="n">
        <x:f>J277/(1+I278)</x:f>
        <x:v>0.1837785814377846</x:v>
      </x:c>
      <x:c r="K278" s="33" t="n">
        <x:f>IF(AND(ISNUMBER('Параметры'!$C$8),'Параметры'!$C$8&gt;=0),'Параметры'!$C$8*C278/365,NA())</x:f>
        <x:v>0.00636986301369863</x:v>
      </x:c>
      <x:c r="L278" s="32" t="n">
        <x:f>L277/(1+K278)</x:f>
        <x:v>0.1837785814377846</x:v>
      </x:c>
      <x:c r="M278" s="30" t="n">
        <x:f>E278*L278</x:f>
        <x:v>1580.778819380362</x:v>
      </x:c>
      <x:c r="N278" s="30" t="n">
        <x:f>F278*L278</x:f>
        <x:v>3198.052389462639</x:v>
      </x:c>
      <x:c r="O278" s="30" t="n">
        <x:f>G278*L278</x:f>
        <x:v>4778.831208843001</x:v>
      </x:c>
    </x:row>
    <x:row r="279" ht="21" customHeight="1">
      <x:c r="A279" s="28" t="n">
        <x:v>273</x:v>
      </x:c>
      <x:c r="B279" s="29" t="n">
        <x:v>53104</x:v>
      </x:c>
      <x:c r="C279" s="28" t="n">
        <x:f>B279-B278</x:f>
        <x:v>30</x:v>
      </x:c>
      <x:c r="D279" s="30" t="n">
        <x:f>H278</x:f>
        <x:v>1332948.12</x:v>
      </x:c>
      <x:c r="E279" s="30" t="n">
        <x:f>ROUND(D279*I279,2)</x:f>
        <x:v>8216.8</x:v>
      </x:c>
      <x:c r="F279" s="30" t="n">
        <x:f>IF(G279&gt;=E279,ROUND(G279-E279,2),NA())</x:f>
        <x:v>17786.4</x:v>
      </x:c>
      <x:c r="G279" s="30" t="n">
        <x:f>MIN('Параметры'!$C$14,ROUND(D279+E279,2))</x:f>
        <x:v>26003.2</x:v>
      </x:c>
      <x:c r="H279" s="30" t="n">
        <x:f>ROUND(D279-F279,2)</x:f>
        <x:v>1315161.72</x:v>
      </x:c>
      <x:c r="I279" s="33" t="n">
        <x:f>IF(AND(ISNUMBER('Параметры'!$C$7),'Параметры'!$C$7&gt;=0),'Параметры'!$C$7*C279/365,NA())</x:f>
        <x:v>0.0061643835616438354</x:v>
      </x:c>
      <x:c r="J279" s="32" t="n">
        <x:f>J278/(1+I279)</x:f>
        <x:v>0.18265264050317598</x:v>
      </x:c>
      <x:c r="K279" s="33" t="n">
        <x:f>IF(AND(ISNUMBER('Параметры'!$C$8),'Параметры'!$C$8&gt;=0),'Параметры'!$C$8*C279/365,NA())</x:f>
        <x:v>0.0061643835616438354</x:v>
      </x:c>
      <x:c r="L279" s="32" t="n">
        <x:f>L278/(1+K279)</x:f>
        <x:v>0.18265264050317598</x:v>
      </x:c>
      <x:c r="M279" s="30" t="n">
        <x:f>E279*L279</x:f>
        <x:v>1500.8202164864963</x:v>
      </x:c>
      <x:c r="N279" s="30" t="n">
        <x:f>F279*L279</x:f>
        <x:v>3248.7329250456896</x:v>
      </x:c>
      <x:c r="O279" s="30" t="n">
        <x:f>G279*L279</x:f>
        <x:v>4749.553141532186</x:v>
      </x:c>
    </x:row>
    <x:row r="280" ht="21" customHeight="1">
      <x:c r="A280" s="28" t="n">
        <x:v>274</x:v>
      </x:c>
      <x:c r="B280" s="29" t="n">
        <x:v>53135</x:v>
      </x:c>
      <x:c r="C280" s="28" t="n">
        <x:f>B280-B279</x:f>
        <x:v>31</x:v>
      </x:c>
      <x:c r="D280" s="30" t="n">
        <x:f>H279</x:f>
        <x:v>1315161.72</x:v>
      </x:c>
      <x:c r="E280" s="30" t="n">
        <x:f>ROUND(D280*I280,2)</x:f>
        <x:v>8377.4</x:v>
      </x:c>
      <x:c r="F280" s="30" t="n">
        <x:f>IF(G280&gt;=E280,ROUND(G280-E280,2),NA())</x:f>
        <x:v>17625.8</x:v>
      </x:c>
      <x:c r="G280" s="30" t="n">
        <x:f>MIN('Параметры'!$C$14,ROUND(D280+E280,2))</x:f>
        <x:v>26003.2</x:v>
      </x:c>
      <x:c r="H280" s="30" t="n">
        <x:f>ROUND(D280-F280,2)</x:f>
        <x:v>1297535.92</x:v>
      </x:c>
      <x:c r="I280" s="33" t="n">
        <x:f>IF(AND(ISNUMBER('Параметры'!$C$7),'Параметры'!$C$7&gt;=0),'Параметры'!$C$7*C280/365,NA())</x:f>
        <x:v>0.00636986301369863</x:v>
      </x:c>
      <x:c r="J280" s="32" t="n">
        <x:f>J279/(1+I280)</x:f>
        <x:v>0.1814965324539828</x:v>
      </x:c>
      <x:c r="K280" s="33" t="n">
        <x:f>IF(AND(ISNUMBER('Параметры'!$C$8),'Параметры'!$C$8&gt;=0),'Параметры'!$C$8*C280/365,NA())</x:f>
        <x:v>0.00636986301369863</x:v>
      </x:c>
      <x:c r="L280" s="32" t="n">
        <x:f>L279/(1+K280)</x:f>
        <x:v>0.1814965324539828</x:v>
      </x:c>
      <x:c r="M280" s="30" t="n">
        <x:f>E280*L280</x:f>
        <x:v>1520.4690509799955</x:v>
      </x:c>
      <x:c r="N280" s="30" t="n">
        <x:f>F280*L280</x:f>
        <x:v>3199.02158172741</x:v>
      </x:c>
      <x:c r="O280" s="30" t="n">
        <x:f>G280*L280</x:f>
        <x:v>4719.490632707406</x:v>
      </x:c>
    </x:row>
    <x:row r="281" ht="21" customHeight="1">
      <x:c r="A281" s="28" t="n">
        <x:v>275</x:v>
      </x:c>
      <x:c r="B281" s="29" t="n">
        <x:v>53165</x:v>
      </x:c>
      <x:c r="C281" s="28" t="n">
        <x:f>B281-B280</x:f>
        <x:v>30</x:v>
      </x:c>
      <x:c r="D281" s="30" t="n">
        <x:f>H280</x:f>
        <x:v>1297535.92</x:v>
      </x:c>
      <x:c r="E281" s="30" t="n">
        <x:f>ROUND(D281*I281,2)</x:f>
        <x:v>7998.51</x:v>
      </x:c>
      <x:c r="F281" s="30" t="n">
        <x:f>IF(G281&gt;=E281,ROUND(G281-E281,2),NA())</x:f>
        <x:v>18004.69</x:v>
      </x:c>
      <x:c r="G281" s="30" t="n">
        <x:f>MIN('Параметры'!$C$14,ROUND(D281+E281,2))</x:f>
        <x:v>26003.2</x:v>
      </x:c>
      <x:c r="H281" s="30" t="n">
        <x:f>ROUND(D281-F281,2)</x:f>
        <x:v>1279531.23</x:v>
      </x:c>
      <x:c r="I281" s="33" t="n">
        <x:f>IF(AND(ISNUMBER('Параметры'!$C$7),'Параметры'!$C$7&gt;=0),'Параметры'!$C$7*C281/365,NA())</x:f>
        <x:v>0.0061643835616438354</x:v>
      </x:c>
      <x:c r="J281" s="32" t="n">
        <x:f>J280/(1+I281)</x:f>
        <x:v>0.18038457275889375</x:v>
      </x:c>
      <x:c r="K281" s="33" t="n">
        <x:f>IF(AND(ISNUMBER('Параметры'!$C$8),'Параметры'!$C$8&gt;=0),'Параметры'!$C$8*C281/365,NA())</x:f>
        <x:v>0.0061643835616438354</x:v>
      </x:c>
      <x:c r="L281" s="32" t="n">
        <x:f>L280/(1+K281)</x:f>
        <x:v>0.18038457275889375</x:v>
      </x:c>
      <x:c r="M281" s="30" t="n">
        <x:f>E281*L281</x:f>
        <x:v>1442.8078090577392</x:v>
      </x:c>
      <x:c r="N281" s="30" t="n">
        <x:f>F281*L281</x:f>
        <x:v>3247.7683133063265</x:v>
      </x:c>
      <x:c r="O281" s="30" t="n">
        <x:f>G281*L281</x:f>
        <x:v>4690.576122364066</x:v>
      </x:c>
    </x:row>
    <x:row r="282" ht="21" customHeight="1">
      <x:c r="A282" s="28" t="n">
        <x:v>276</x:v>
      </x:c>
      <x:c r="B282" s="29" t="n">
        <x:v>53196</x:v>
      </x:c>
      <x:c r="C282" s="28" t="n">
        <x:f>B282-B281</x:f>
        <x:v>31</x:v>
      </x:c>
      <x:c r="D282" s="30" t="n">
        <x:f>H281</x:f>
        <x:v>1279531.23</x:v>
      </x:c>
      <x:c r="E282" s="30" t="n">
        <x:f>ROUND(D282*I282,2)</x:f>
        <x:v>8150.44</x:v>
      </x:c>
      <x:c r="F282" s="30" t="n">
        <x:f>IF(G282&gt;=E282,ROUND(G282-E282,2),NA())</x:f>
        <x:v>17852.76</x:v>
      </x:c>
      <x:c r="G282" s="30" t="n">
        <x:f>MIN('Параметры'!$C$14,ROUND(D282+E282,2))</x:f>
        <x:v>26003.2</x:v>
      </x:c>
      <x:c r="H282" s="30" t="n">
        <x:f>ROUND(D282-F282,2)</x:f>
        <x:v>1261678.47</x:v>
      </x:c>
      <x:c r="I282" s="33" t="n">
        <x:f>IF(AND(ISNUMBER('Параметры'!$C$7),'Параметры'!$C$7&gt;=0),'Параметры'!$C$7*C282/365,NA())</x:f>
        <x:v>0.00636986301369863</x:v>
      </x:c>
      <x:c r="J282" s="32" t="n">
        <x:f>J281/(1+I282)</x:f>
        <x:v>0.17924282054582788</x:v>
      </x:c>
      <x:c r="K282" s="33" t="n">
        <x:f>IF(AND(ISNUMBER('Параметры'!$C$8),'Параметры'!$C$8&gt;=0),'Параметры'!$C$8*C282/365,NA())</x:f>
        <x:v>0.00636986301369863</x:v>
      </x:c>
      <x:c r="L282" s="32" t="n">
        <x:f>L281/(1+K282)</x:f>
        <x:v>0.17924282054582788</x:v>
      </x:c>
      <x:c r="M282" s="30" t="n">
        <x:f>E282*L282</x:f>
        <x:v>1460.9078542895372</x:v>
      </x:c>
      <x:c r="N282" s="30" t="n">
        <x:f>F282*L282</x:f>
        <x:v>3199.979056927734</x:v>
      </x:c>
      <x:c r="O282" s="30" t="n">
        <x:f>G282*L282</x:f>
        <x:v>4660.8869112172715</x:v>
      </x:c>
    </x:row>
    <x:row r="283" ht="21" customHeight="1">
      <x:c r="A283" s="28" t="n">
        <x:v>277</x:v>
      </x:c>
      <x:c r="B283" s="29" t="n">
        <x:v>53227</x:v>
      </x:c>
      <x:c r="C283" s="28" t="n">
        <x:f>B283-B282</x:f>
        <x:v>31</x:v>
      </x:c>
      <x:c r="D283" s="30" t="n">
        <x:f>H282</x:f>
        <x:v>1261678.47</x:v>
      </x:c>
      <x:c r="E283" s="30" t="n">
        <x:f>ROUND(D283*I283,2)</x:f>
        <x:v>8036.72</x:v>
      </x:c>
      <x:c r="F283" s="30" t="n">
        <x:f>IF(G283&gt;=E283,ROUND(G283-E283,2),NA())</x:f>
        <x:v>17966.48</x:v>
      </x:c>
      <x:c r="G283" s="30" t="n">
        <x:f>MIN('Параметры'!$C$14,ROUND(D283+E283,2))</x:f>
        <x:v>26003.2</x:v>
      </x:c>
      <x:c r="H283" s="30" t="n">
        <x:f>ROUND(D283-F283,2)</x:f>
        <x:v>1243711.99</x:v>
      </x:c>
      <x:c r="I283" s="33" t="n">
        <x:f>IF(AND(ISNUMBER('Параметры'!$C$7),'Параметры'!$C$7&gt;=0),'Параметры'!$C$7*C283/365,NA())</x:f>
        <x:v>0.00636986301369863</x:v>
      </x:c>
      <x:c r="J283" s="32" t="n">
        <x:f>J282/(1+I283)</x:f>
        <x:v>0.1781082951044094</x:v>
      </x:c>
      <x:c r="K283" s="33" t="n">
        <x:f>IF(AND(ISNUMBER('Параметры'!$C$8),'Параметры'!$C$8&gt;=0),'Параметры'!$C$8*C283/365,NA())</x:f>
        <x:v>0.00636986301369863</x:v>
      </x:c>
      <x:c r="L283" s="32" t="n">
        <x:f>L282/(1+K283)</x:f>
        <x:v>0.1781082951044094</x:v>
      </x:c>
      <x:c r="M283" s="30" t="n">
        <x:f>E283*L283</x:f>
        <x:v>1431.4064974315093</x:v>
      </x:c>
      <x:c r="N283" s="30" t="n">
        <x:f>F283*L283</x:f>
        <x:v>3199.9791218274695</x:v>
      </x:c>
      <x:c r="O283" s="30" t="n">
        <x:f>G283*L283</x:f>
        <x:v>4631.385619258978</x:v>
      </x:c>
    </x:row>
    <x:row r="284" ht="21" customHeight="1">
      <x:c r="A284" s="28" t="n">
        <x:v>278</x:v>
      </x:c>
      <x:c r="B284" s="29" t="n">
        <x:v>53257</x:v>
      </x:c>
      <x:c r="C284" s="28" t="n">
        <x:f>B284-B283</x:f>
        <x:v>30</x:v>
      </x:c>
      <x:c r="D284" s="30" t="n">
        <x:f>H283</x:f>
        <x:v>1243711.99</x:v>
      </x:c>
      <x:c r="E284" s="30" t="n">
        <x:f>ROUND(D284*I284,2)</x:f>
        <x:v>7666.72</x:v>
      </x:c>
      <x:c r="F284" s="30" t="n">
        <x:f>IF(G284&gt;=E284,ROUND(G284-E284,2),NA())</x:f>
        <x:v>18336.48</x:v>
      </x:c>
      <x:c r="G284" s="30" t="n">
        <x:f>MIN('Параметры'!$C$14,ROUND(D284+E284,2))</x:f>
        <x:v>26003.2</x:v>
      </x:c>
      <x:c r="H284" s="30" t="n">
        <x:f>ROUND(D284-F284,2)</x:f>
        <x:v>1225375.51</x:v>
      </x:c>
      <x:c r="I284" s="33" t="n">
        <x:f>IF(AND(ISNUMBER('Параметры'!$C$7),'Параметры'!$C$7&gt;=0),'Параметры'!$C$7*C284/365,NA())</x:f>
        <x:v>0.0061643835616438354</x:v>
      </x:c>
      <x:c r="J284" s="32" t="n">
        <x:f>J283/(1+I284)</x:f>
        <x:v>0.17701709384100595</x:v>
      </x:c>
      <x:c r="K284" s="33" t="n">
        <x:f>IF(AND(ISNUMBER('Параметры'!$C$8),'Параметры'!$C$8&gt;=0),'Параметры'!$C$8*C284/365,NA())</x:f>
        <x:v>0.0061643835616438354</x:v>
      </x:c>
      <x:c r="L284" s="32" t="n">
        <x:f>L283/(1+K284)</x:f>
        <x:v>0.17701709384100595</x:v>
      </x:c>
      <x:c r="M284" s="30" t="n">
        <x:f>E284*L284</x:f>
        <x:v>1357.1404936927172</x:v>
      </x:c>
      <x:c r="N284" s="30" t="n">
        <x:f>F284*L284</x:f>
        <x:v>3245.8704008737286</x:v>
      </x:c>
      <x:c r="O284" s="30" t="n">
        <x:f>G284*L284</x:f>
        <x:v>4603.010894566446</x:v>
      </x:c>
    </x:row>
    <x:row r="285" ht="21" customHeight="1">
      <x:c r="A285" s="28" t="n">
        <x:v>279</x:v>
      </x:c>
      <x:c r="B285" s="29" t="n">
        <x:v>53288</x:v>
      </x:c>
      <x:c r="C285" s="28" t="n">
        <x:f>B285-B284</x:f>
        <x:v>31</x:v>
      </x:c>
      <x:c r="D285" s="30" t="n">
        <x:f>H284</x:f>
        <x:v>1225375.51</x:v>
      </x:c>
      <x:c r="E285" s="30" t="n">
        <x:f>ROUND(D285*I285,2)</x:f>
        <x:v>7805.47</x:v>
      </x:c>
      <x:c r="F285" s="30" t="n">
        <x:f>IF(G285&gt;=E285,ROUND(G285-E285,2),NA())</x:f>
        <x:v>18197.73</x:v>
      </x:c>
      <x:c r="G285" s="30" t="n">
        <x:f>MIN('Параметры'!$C$14,ROUND(D285+E285,2))</x:f>
        <x:v>26003.2</x:v>
      </x:c>
      <x:c r="H285" s="30" t="n">
        <x:f>ROUND(D285-F285,2)</x:f>
        <x:v>1207177.78</x:v>
      </x:c>
      <x:c r="I285" s="33" t="n">
        <x:f>IF(AND(ISNUMBER('Параметры'!$C$7),'Параметры'!$C$7&gt;=0),'Параметры'!$C$7*C285/365,NA())</x:f>
        <x:v>0.00636986301369863</x:v>
      </x:c>
      <x:c r="J285" s="32" t="n">
        <x:f>J284/(1+I285)</x:f>
        <x:v>0.17589665623621364</x:v>
      </x:c>
      <x:c r="K285" s="33" t="n">
        <x:f>IF(AND(ISNUMBER('Параметры'!$C$8),'Параметры'!$C$8&gt;=0),'Параметры'!$C$8*C285/365,NA())</x:f>
        <x:v>0.00636986301369863</x:v>
      </x:c>
      <x:c r="L285" s="32" t="n">
        <x:f>L284/(1+K285)</x:f>
        <x:v>0.17589665623621364</x:v>
      </x:c>
      <x:c r="M285" s="30" t="n">
        <x:f>E285*L285</x:f>
        <x:v>1372.9560733520786</x:v>
      </x:c>
      <x:c r="N285" s="30" t="n">
        <x:f>F285*L285</x:f>
        <x:v>3200.919858089432</x:v>
      </x:c>
      <x:c r="O285" s="30" t="n">
        <x:f>G285*L285</x:f>
        <x:v>4573.875931441511</x:v>
      </x:c>
    </x:row>
    <x:row r="286" ht="21" customHeight="1">
      <x:c r="A286" s="28" t="n">
        <x:v>280</x:v>
      </x:c>
      <x:c r="B286" s="29" t="n">
        <x:v>53318</x:v>
      </x:c>
      <x:c r="C286" s="28" t="n">
        <x:f>B286-B285</x:f>
        <x:v>30</x:v>
      </x:c>
      <x:c r="D286" s="30" t="n">
        <x:f>H285</x:f>
        <x:v>1207177.78</x:v>
      </x:c>
      <x:c r="E286" s="30" t="n">
        <x:f>ROUND(D286*I286,2)</x:f>
        <x:v>7441.51</x:v>
      </x:c>
      <x:c r="F286" s="30" t="n">
        <x:f>IF(G286&gt;=E286,ROUND(G286-E286,2),NA())</x:f>
        <x:v>18561.69</x:v>
      </x:c>
      <x:c r="G286" s="30" t="n">
        <x:f>MIN('Параметры'!$C$14,ROUND(D286+E286,2))</x:f>
        <x:v>26003.2</x:v>
      </x:c>
      <x:c r="H286" s="30" t="n">
        <x:f>ROUND(D286-F286,2)</x:f>
        <x:v>1188616.09</x:v>
      </x:c>
      <x:c r="I286" s="33" t="n">
        <x:f>IF(AND(ISNUMBER('Параметры'!$C$7),'Параметры'!$C$7&gt;=0),'Параметры'!$C$7*C286/365,NA())</x:f>
        <x:v>0.0061643835616438354</x:v>
      </x:c>
      <x:c r="J286" s="32" t="n">
        <x:f>J285/(1+I286)</x:f>
        <x:v>0.17481900483653637</x:v>
      </x:c>
      <x:c r="K286" s="33" t="n">
        <x:f>IF(AND(ISNUMBER('Параметры'!$C$8),'Параметры'!$C$8&gt;=0),'Параметры'!$C$8*C286/365,NA())</x:f>
        <x:v>0.0061643835616438354</x:v>
      </x:c>
      <x:c r="L286" s="32" t="n">
        <x:f>L285/(1+K286)</x:f>
        <x:v>0.17481900483653637</x:v>
      </x:c>
      <x:c r="M286" s="30" t="n">
        <x:f>E286*L286</x:f>
        <x:v>1300.9173726811339</x:v>
      </x:c>
      <x:c r="N286" s="30" t="n">
        <x:f>F286*L286</x:f>
        <x:v>3244.9361738842886</x:v>
      </x:c>
      <x:c r="O286" s="30" t="n">
        <x:f>G286*L286</x:f>
        <x:v>4545.853546565422</x:v>
      </x:c>
    </x:row>
    <x:row r="287" ht="21" customHeight="1">
      <x:c r="A287" s="28" t="n">
        <x:v>281</x:v>
      </x:c>
      <x:c r="B287" s="29" t="n">
        <x:v>53349</x:v>
      </x:c>
      <x:c r="C287" s="28" t="n">
        <x:f>B287-B286</x:f>
        <x:v>31</x:v>
      </x:c>
      <x:c r="D287" s="30" t="n">
        <x:f>H286</x:f>
        <x:v>1188616.09</x:v>
      </x:c>
      <x:c r="E287" s="30" t="n">
        <x:f>ROUND(D287*I287,2)</x:f>
        <x:v>7571.32</x:v>
      </x:c>
      <x:c r="F287" s="30" t="n">
        <x:f>IF(G287&gt;=E287,ROUND(G287-E287,2),NA())</x:f>
        <x:v>18431.88</x:v>
      </x:c>
      <x:c r="G287" s="30" t="n">
        <x:f>MIN('Параметры'!$C$14,ROUND(D287+E287,2))</x:f>
        <x:v>26003.2</x:v>
      </x:c>
      <x:c r="H287" s="30" t="n">
        <x:f>ROUND(D287-F287,2)</x:f>
        <x:v>1170184.21</x:v>
      </x:c>
      <x:c r="I287" s="33" t="n">
        <x:f>IF(AND(ISNUMBER('Параметры'!$C$7),'Параметры'!$C$7&gt;=0),'Параметры'!$C$7*C287/365,NA())</x:f>
        <x:v>0.00636986301369863</x:v>
      </x:c>
      <x:c r="J287" s="32" t="n">
        <x:f>J286/(1+I287)</x:f>
        <x:v>0.17371248013431098</x:v>
      </x:c>
      <x:c r="K287" s="33" t="n">
        <x:f>IF(AND(ISNUMBER('Параметры'!$C$8),'Параметры'!$C$8&gt;=0),'Параметры'!$C$8*C287/365,NA())</x:f>
        <x:v>0.00636986301369863</x:v>
      </x:c>
      <x:c r="L287" s="32" t="n">
        <x:f>L286/(1+K287)</x:f>
        <x:v>0.17371248013431098</x:v>
      </x:c>
      <x:c r="M287" s="30" t="n">
        <x:f>E287*L287</x:f>
        <x:v>1315.2327750905113</x:v>
      </x:c>
      <x:c r="N287" s="30" t="n">
        <x:f>F287*L287</x:f>
        <x:v>3201.8475883380042</x:v>
      </x:c>
      <x:c r="O287" s="30" t="n">
        <x:f>G287*L287</x:f>
        <x:v>4517.080363428516</x:v>
      </x:c>
    </x:row>
    <x:row r="288" ht="21" customHeight="1">
      <x:c r="A288" s="28" t="n">
        <x:v>282</x:v>
      </x:c>
      <x:c r="B288" s="29" t="n">
        <x:v>53380</x:v>
      </x:c>
      <x:c r="C288" s="28" t="n">
        <x:f>B288-B287</x:f>
        <x:v>31</x:v>
      </x:c>
      <x:c r="D288" s="30" t="n">
        <x:f>H287</x:f>
        <x:v>1170184.21</x:v>
      </x:c>
      <x:c r="E288" s="30" t="n">
        <x:f>ROUND(D288*I288,2)</x:f>
        <x:v>7453.91</x:v>
      </x:c>
      <x:c r="F288" s="30" t="n">
        <x:f>IF(G288&gt;=E288,ROUND(G288-E288,2),NA())</x:f>
        <x:v>18549.29</x:v>
      </x:c>
      <x:c r="G288" s="30" t="n">
        <x:f>MIN('Параметры'!$C$14,ROUND(D288+E288,2))</x:f>
        <x:v>26003.2</x:v>
      </x:c>
      <x:c r="H288" s="30" t="n">
        <x:f>ROUND(D288-F288,2)</x:f>
        <x:v>1151634.92</x:v>
      </x:c>
      <x:c r="I288" s="33" t="n">
        <x:f>IF(AND(ISNUMBER('Параметры'!$C$7),'Параметры'!$C$7&gt;=0),'Параметры'!$C$7*C288/365,NA())</x:f>
        <x:v>0.00636986301369863</x:v>
      </x:c>
      <x:c r="J288" s="32" t="n">
        <x:f>J287/(1+I288)</x:f>
        <x:v>0.1726129592296291</x:v>
      </x:c>
      <x:c r="K288" s="33" t="n">
        <x:f>IF(AND(ISNUMBER('Параметры'!$C$8),'Параметры'!$C$8&gt;=0),'Параметры'!$C$8*C288/365,NA())</x:f>
        <x:v>0.00636986301369863</x:v>
      </x:c>
      <x:c r="L288" s="32" t="n">
        <x:f>L287/(1+K288)</x:f>
        <x:v>0.1726129592296291</x:v>
      </x:c>
      <x:c r="M288" s="30" t="n">
        <x:f>E288*L288</x:f>
        <x:v>1286.6414629313247</x:v>
      </x:c>
      <x:c r="N288" s="30" t="n">
        <x:f>F288*L288</x:f>
        <x:v>3201.847838508567</x:v>
      </x:c>
      <x:c r="O288" s="30" t="n">
        <x:f>G288*L288</x:f>
        <x:v>4488.489301439891</x:v>
      </x:c>
    </x:row>
    <x:row r="289" ht="21" customHeight="1">
      <x:c r="A289" s="28" t="n">
        <x:v>283</x:v>
      </x:c>
      <x:c r="B289" s="29" t="n">
        <x:v>53408</x:v>
      </x:c>
      <x:c r="C289" s="28" t="n">
        <x:f>B289-B288</x:f>
        <x:v>28</x:v>
      </x:c>
      <x:c r="D289" s="30" t="n">
        <x:f>H288</x:f>
        <x:v>1151634.92</x:v>
      </x:c>
      <x:c r="E289" s="30" t="n">
        <x:f>ROUND(D289*I289,2)</x:f>
        <x:v>6625.84</x:v>
      </x:c>
      <x:c r="F289" s="30" t="n">
        <x:f>IF(G289&gt;=E289,ROUND(G289-E289,2),NA())</x:f>
        <x:v>19377.36</x:v>
      </x:c>
      <x:c r="G289" s="30" t="n">
        <x:f>MIN('Параметры'!$C$14,ROUND(D289+E289,2))</x:f>
        <x:v>26003.2</x:v>
      </x:c>
      <x:c r="H289" s="30" t="n">
        <x:f>ROUND(D289-F289,2)</x:f>
        <x:v>1132257.56</x:v>
      </x:c>
      <x:c r="I289" s="33" t="n">
        <x:f>IF(AND(ISNUMBER('Параметры'!$C$7),'Параметры'!$C$7&gt;=0),'Параметры'!$C$7*C289/365,NA())</x:f>
        <x:v>0.005753424657534247</x:v>
      </x:c>
      <x:c r="J289" s="32" t="n">
        <x:f>J288/(1+I289)</x:f>
        <x:v>0.17162552470393524</x:v>
      </x:c>
      <x:c r="K289" s="33" t="n">
        <x:f>IF(AND(ISNUMBER('Параметры'!$C$8),'Параметры'!$C$8&gt;=0),'Параметры'!$C$8*C289/365,NA())</x:f>
        <x:v>0.005753424657534247</x:v>
      </x:c>
      <x:c r="L289" s="32" t="n">
        <x:f>L288/(1+K289)</x:f>
        <x:v>0.17162552470393524</x:v>
      </x:c>
      <x:c r="M289" s="30" t="n">
        <x:f>E289*L289</x:f>
        <x:v>1137.1632666043224</x:v>
      </x:c>
      <x:c r="N289" s="30" t="n">
        <x:f>F289*L289</x:f>
        <x:v>3325.6495773770466</x:v>
      </x:c>
      <x:c r="O289" s="30" t="n">
        <x:f>G289*L289</x:f>
        <x:v>4462.812843981369</x:v>
      </x:c>
    </x:row>
    <x:row r="290" ht="21" customHeight="1">
      <x:c r="A290" s="28" t="n">
        <x:v>284</x:v>
      </x:c>
      <x:c r="B290" s="29" t="n">
        <x:v>53439</x:v>
      </x:c>
      <x:c r="C290" s="28" t="n">
        <x:f>B290-B289</x:f>
        <x:v>31</x:v>
      </x:c>
      <x:c r="D290" s="30" t="n">
        <x:f>H289</x:f>
        <x:v>1132257.56</x:v>
      </x:c>
      <x:c r="E290" s="30" t="n">
        <x:f>ROUND(D290*I290,2)</x:f>
        <x:v>7212.33</x:v>
      </x:c>
      <x:c r="F290" s="30" t="n">
        <x:f>IF(G290&gt;=E290,ROUND(G290-E290,2),NA())</x:f>
        <x:v>18790.87</x:v>
      </x:c>
      <x:c r="G290" s="30" t="n">
        <x:f>MIN('Параметры'!$C$14,ROUND(D290+E290,2))</x:f>
        <x:v>26003.2</x:v>
      </x:c>
      <x:c r="H290" s="30" t="n">
        <x:f>ROUND(D290-F290,2)</x:f>
        <x:v>1113466.69</x:v>
      </x:c>
      <x:c r="I290" s="33" t="n">
        <x:f>IF(AND(ISNUMBER('Параметры'!$C$7),'Параметры'!$C$7&gt;=0),'Параметры'!$C$7*C290/365,NA())</x:f>
        <x:v>0.00636986301369863</x:v>
      </x:c>
      <x:c r="J290" s="32" t="n">
        <x:f>J289/(1+I290)</x:f>
        <x:v>0.17053921327689747</x:v>
      </x:c>
      <x:c r="K290" s="33" t="n">
        <x:f>IF(AND(ISNUMBER('Параметры'!$C$8),'Параметры'!$C$8&gt;=0),'Параметры'!$C$8*C290/365,NA())</x:f>
        <x:v>0.00636986301369863</x:v>
      </x:c>
      <x:c r="L290" s="32" t="n">
        <x:f>L289/(1+K290)</x:f>
        <x:v>0.17053921327689747</x:v>
      </x:c>
      <x:c r="M290" s="30" t="n">
        <x:f>E290*L290</x:f>
        <x:v>1229.985084093366</x:v>
      </x:c>
      <x:c r="N290" s="30" t="n">
        <x:f>F290*L290</x:f>
        <x:v>3204.580186588454</x:v>
      </x:c>
      <x:c r="O290" s="30" t="n">
        <x:f>G290*L290</x:f>
        <x:v>4434.56527068182</x:v>
      </x:c>
    </x:row>
    <x:row r="291" ht="21" customHeight="1">
      <x:c r="A291" s="28" t="n">
        <x:v>285</x:v>
      </x:c>
      <x:c r="B291" s="29" t="n">
        <x:v>53469</x:v>
      </x:c>
      <x:c r="C291" s="28" t="n">
        <x:f>B291-B290</x:f>
        <x:v>30</x:v>
      </x:c>
      <x:c r="D291" s="30" t="n">
        <x:f>H290</x:f>
        <x:v>1113466.69</x:v>
      </x:c>
      <x:c r="E291" s="30" t="n">
        <x:f>ROUND(D291*I291,2)</x:f>
        <x:v>6863.84</x:v>
      </x:c>
      <x:c r="F291" s="30" t="n">
        <x:f>IF(G291&gt;=E291,ROUND(G291-E291,2),NA())</x:f>
        <x:v>19139.36</x:v>
      </x:c>
      <x:c r="G291" s="30" t="n">
        <x:f>MIN('Параметры'!$C$14,ROUND(D291+E291,2))</x:f>
        <x:v>26003.2</x:v>
      </x:c>
      <x:c r="H291" s="30" t="n">
        <x:f>ROUND(D291-F291,2)</x:f>
        <x:v>1094327.33</x:v>
      </x:c>
      <x:c r="I291" s="33" t="n">
        <x:f>IF(AND(ISNUMBER('Параметры'!$C$7),'Параметры'!$C$7&gt;=0),'Параметры'!$C$7*C291/365,NA())</x:f>
        <x:v>0.0061643835616438354</x:v>
      </x:c>
      <x:c r="J291" s="32" t="n">
        <x:f>J290/(1+I291)</x:f>
        <x:v>0.16949438487697094</x:v>
      </x:c>
      <x:c r="K291" s="33" t="n">
        <x:f>IF(AND(ISNUMBER('Параметры'!$C$8),'Параметры'!$C$8&gt;=0),'Параметры'!$C$8*C291/365,NA())</x:f>
        <x:v>0.0061643835616438354</x:v>
      </x:c>
      <x:c r="L291" s="32" t="n">
        <x:f>L290/(1+K291)</x:f>
        <x:v>0.16949438487697094</x:v>
      </x:c>
      <x:c r="M291" s="30" t="n">
        <x:f>E291*L291</x:f>
        <x:v>1163.3823386939482</x:v>
      </x:c>
      <x:c r="N291" s="30" t="n">
        <x:f>F291*L291</x:f>
        <x:v>3244.014050138903</x:v>
      </x:c>
      <x:c r="O291" s="30" t="n">
        <x:f>G291*L291</x:f>
        <x:v>4407.396388832851</x:v>
      </x:c>
    </x:row>
    <x:row r="292" ht="21" customHeight="1">
      <x:c r="A292" s="28" t="n">
        <x:v>286</x:v>
      </x:c>
      <x:c r="B292" s="29" t="n">
        <x:v>53500</x:v>
      </x:c>
      <x:c r="C292" s="28" t="n">
        <x:f>B292-B291</x:f>
        <x:v>31</x:v>
      </x:c>
      <x:c r="D292" s="30" t="n">
        <x:f>H291</x:f>
        <x:v>1094327.33</x:v>
      </x:c>
      <x:c r="E292" s="30" t="n">
        <x:f>ROUND(D292*I292,2)</x:f>
        <x:v>6970.72</x:v>
      </x:c>
      <x:c r="F292" s="30" t="n">
        <x:f>IF(G292&gt;=E292,ROUND(G292-E292,2),NA())</x:f>
        <x:v>19032.48</x:v>
      </x:c>
      <x:c r="G292" s="30" t="n">
        <x:f>MIN('Параметры'!$C$14,ROUND(D292+E292,2))</x:f>
        <x:v>26003.2</x:v>
      </x:c>
      <x:c r="H292" s="30" t="n">
        <x:f>ROUND(D292-F292,2)</x:f>
        <x:v>1075294.85</x:v>
      </x:c>
      <x:c r="I292" s="33" t="n">
        <x:f>IF(AND(ISNUMBER('Параметры'!$C$7),'Параметры'!$C$7&gt;=0),'Параметры'!$C$7*C292/365,NA())</x:f>
        <x:v>0.00636986301369863</x:v>
      </x:c>
      <x:c r="J292" s="32" t="n">
        <x:f>J291/(1+I292)</x:f>
        <x:v>0.1684215625946897</x:v>
      </x:c>
      <x:c r="K292" s="33" t="n">
        <x:f>IF(AND(ISNUMBER('Параметры'!$C$8),'Параметры'!$C$8&gt;=0),'Параметры'!$C$8*C292/365,NA())</x:f>
        <x:v>0.00636986301369863</x:v>
      </x:c>
      <x:c r="L292" s="32" t="n">
        <x:f>L291/(1+K292)</x:f>
        <x:v>0.1684215625946897</x:v>
      </x:c>
      <x:c r="M292" s="30" t="n">
        <x:f>E292*L292</x:f>
        <x:v>1174.0195548100555</x:v>
      </x:c>
      <x:c r="N292" s="30" t="n">
        <x:f>F292*L292</x:f>
        <x:v>3205.48002165218</x:v>
      </x:c>
      <x:c r="O292" s="30" t="n">
        <x:f>G292*L292</x:f>
        <x:v>4379.499576462235</x:v>
      </x:c>
    </x:row>
    <x:row r="293" ht="21" customHeight="1">
      <x:c r="A293" s="28" t="n">
        <x:v>287</x:v>
      </x:c>
      <x:c r="B293" s="29" t="n">
        <x:v>53530</x:v>
      </x:c>
      <x:c r="C293" s="28" t="n">
        <x:f>B293-B292</x:f>
        <x:v>30</x:v>
      </x:c>
      <x:c r="D293" s="30" t="n">
        <x:f>H292</x:f>
        <x:v>1075294.85</x:v>
      </x:c>
      <x:c r="E293" s="30" t="n">
        <x:f>ROUND(D293*I293,2)</x:f>
        <x:v>6628.53</x:v>
      </x:c>
      <x:c r="F293" s="30" t="n">
        <x:f>IF(G293&gt;=E293,ROUND(G293-E293,2),NA())</x:f>
        <x:v>19374.67</x:v>
      </x:c>
      <x:c r="G293" s="30" t="n">
        <x:f>MIN('Параметры'!$C$14,ROUND(D293+E293,2))</x:f>
        <x:v>26003.2</x:v>
      </x:c>
      <x:c r="H293" s="30" t="n">
        <x:f>ROUND(D293-F293,2)</x:f>
        <x:v>1055920.18</x:v>
      </x:c>
      <x:c r="I293" s="33" t="n">
        <x:f>IF(AND(ISNUMBER('Параметры'!$C$7),'Параметры'!$C$7&gt;=0),'Параметры'!$C$7*C293/365,NA())</x:f>
        <x:v>0.0061643835616438354</x:v>
      </x:c>
      <x:c r="J293" s="32" t="n">
        <x:f>J292/(1+I293)</x:f>
        <x:v>0.16738970822889515</x:v>
      </x:c>
      <x:c r="K293" s="33" t="n">
        <x:f>IF(AND(ISNUMBER('Параметры'!$C$8),'Параметры'!$C$8&gt;=0),'Параметры'!$C$8*C293/365,NA())</x:f>
        <x:v>0.0061643835616438354</x:v>
      </x:c>
      <x:c r="L293" s="32" t="n">
        <x:f>L292/(1+K293)</x:f>
        <x:v>0.16738970822889515</x:v>
      </x:c>
      <x:c r="M293" s="30" t="n">
        <x:f>E293*L293</x:f>
        <x:v>1109.5477026864783</x:v>
      </x:c>
      <x:c r="N293" s="30" t="n">
        <x:f>F293*L293</x:f>
        <x:v>3243.1203583311276</x:v>
      </x:c>
      <x:c r="O293" s="30" t="n">
        <x:f>G293*L293</x:f>
        <x:v>4352.668061017606</x:v>
      </x:c>
    </x:row>
    <x:row r="294" ht="21" customHeight="1">
      <x:c r="A294" s="28" t="n">
        <x:v>288</x:v>
      </x:c>
      <x:c r="B294" s="29" t="n">
        <x:v>53561</x:v>
      </x:c>
      <x:c r="C294" s="28" t="n">
        <x:f>B294-B293</x:f>
        <x:v>31</x:v>
      </x:c>
      <x:c r="D294" s="30" t="n">
        <x:f>H293</x:f>
        <x:v>1055920.18</x:v>
      </x:c>
      <x:c r="E294" s="30" t="n">
        <x:f>ROUND(D294*I294,2)</x:f>
        <x:v>6726.07</x:v>
      </x:c>
      <x:c r="F294" s="30" t="n">
        <x:f>IF(G294&gt;=E294,ROUND(G294-E294,2),NA())</x:f>
        <x:v>19277.13</x:v>
      </x:c>
      <x:c r="G294" s="30" t="n">
        <x:f>MIN('Параметры'!$C$14,ROUND(D294+E294,2))</x:f>
        <x:v>26003.2</x:v>
      </x:c>
      <x:c r="H294" s="30" t="n">
        <x:f>ROUND(D294-F294,2)</x:f>
        <x:v>1036643.05</x:v>
      </x:c>
      <x:c r="I294" s="33" t="n">
        <x:f>IF(AND(ISNUMBER('Параметры'!$C$7),'Параметры'!$C$7&gt;=0),'Параметры'!$C$7*C294/365,NA())</x:f>
        <x:v>0.00636986301369863</x:v>
      </x:c>
      <x:c r="J294" s="32" t="n">
        <x:f>J293/(1+I294)</x:f>
        <x:v>0.16633020759149728</x:v>
      </x:c>
      <x:c r="K294" s="33" t="n">
        <x:f>IF(AND(ISNUMBER('Параметры'!$C$8),'Параметры'!$C$8&gt;=0),'Параметры'!$C$8*C294/365,NA())</x:f>
        <x:v>0.00636986301369863</x:v>
      </x:c>
      <x:c r="L294" s="32" t="n">
        <x:f>L293/(1+K294)</x:f>
        <x:v>0.16633020759149728</x:v>
      </x:c>
      <x:c r="M294" s="30" t="n">
        <x:f>E294*L294</x:f>
        <x:v>1118.748619374942</x:v>
      </x:c>
      <x:c r="N294" s="30" t="n">
        <x:f>F294*L294</x:f>
        <x:v>3206.36903466828</x:v>
      </x:c>
      <x:c r="O294" s="30" t="n">
        <x:f>G294*L294</x:f>
        <x:v>4325.1176540432225</x:v>
      </x:c>
    </x:row>
    <x:row r="295" ht="21" customHeight="1">
      <x:c r="A295" s="28" t="n">
        <x:v>289</x:v>
      </x:c>
      <x:c r="B295" s="29" t="n">
        <x:v>53592</x:v>
      </x:c>
      <x:c r="C295" s="28" t="n">
        <x:f>B295-B294</x:f>
        <x:v>31</x:v>
      </x:c>
      <x:c r="D295" s="30" t="n">
        <x:f>H294</x:f>
        <x:v>1036643.05</x:v>
      </x:c>
      <x:c r="E295" s="30" t="n">
        <x:f>ROUND(D295*I295,2)</x:f>
        <x:v>6603.27</x:v>
      </x:c>
      <x:c r="F295" s="30" t="n">
        <x:f>IF(G295&gt;=E295,ROUND(G295-E295,2),NA())</x:f>
        <x:v>19399.93</x:v>
      </x:c>
      <x:c r="G295" s="30" t="n">
        <x:f>MIN('Параметры'!$C$14,ROUND(D295+E295,2))</x:f>
        <x:v>26003.2</x:v>
      </x:c>
      <x:c r="H295" s="30" t="n">
        <x:f>ROUND(D295-F295,2)</x:f>
        <x:v>1017243.12</x:v>
      </x:c>
      <x:c r="I295" s="33" t="n">
        <x:f>IF(AND(ISNUMBER('Параметры'!$C$7),'Параметры'!$C$7&gt;=0),'Параметры'!$C$7*C295/365,NA())</x:f>
        <x:v>0.00636986301369863</x:v>
      </x:c>
      <x:c r="J295" s="32" t="n">
        <x:f>J294/(1+I295)</x:f>
        <x:v>0.1652774131107235</x:v>
      </x:c>
      <x:c r="K295" s="33" t="n">
        <x:f>IF(AND(ISNUMBER('Параметры'!$C$8),'Параметры'!$C$8&gt;=0),'Параметры'!$C$8*C295/365,NA())</x:f>
        <x:v>0.00636986301369863</x:v>
      </x:c>
      <x:c r="L295" s="32" t="n">
        <x:f>L294/(1+K295)</x:f>
        <x:v>0.1652774131107235</x:v>
      </x:c>
      <x:c r="M295" s="30" t="n">
        <x:f>E295*L295</x:f>
        <x:v>1091.3713836716472</x:v>
      </x:c>
      <x:c r="N295" s="30" t="n">
        <x:f>F295*L295</x:f>
        <x:v>3206.370244929118</x:v>
      </x:c>
      <x:c r="O295" s="30" t="n">
        <x:f>G295*L295</x:f>
        <x:v>4297.741628600766</x:v>
      </x:c>
    </x:row>
    <x:row r="296" ht="21" customHeight="1">
      <x:c r="A296" s="28" t="n">
        <x:v>290</x:v>
      </x:c>
      <x:c r="B296" s="29" t="n">
        <x:v>53622</x:v>
      </x:c>
      <x:c r="C296" s="28" t="n">
        <x:f>B296-B295</x:f>
        <x:v>30</x:v>
      </x:c>
      <x:c r="D296" s="30" t="n">
        <x:f>H295</x:f>
        <x:v>1017243.12</x:v>
      </x:c>
      <x:c r="E296" s="30" t="n">
        <x:f>ROUND(D296*I296,2)</x:f>
        <x:v>6270.68</x:v>
      </x:c>
      <x:c r="F296" s="30" t="n">
        <x:f>IF(G296&gt;=E296,ROUND(G296-E296,2),NA())</x:f>
        <x:v>19732.52</x:v>
      </x:c>
      <x:c r="G296" s="30" t="n">
        <x:f>MIN('Параметры'!$C$14,ROUND(D296+E296,2))</x:f>
        <x:v>26003.2</x:v>
      </x:c>
      <x:c r="H296" s="30" t="n">
        <x:f>ROUND(D296-F296,2)</x:f>
        <x:v>997510.6</x:v>
      </x:c>
      <x:c r="I296" s="33" t="n">
        <x:f>IF(AND(ISNUMBER('Параметры'!$C$7),'Параметры'!$C$7&gt;=0),'Параметры'!$C$7*C296/365,NA())</x:f>
        <x:v>0.0061643835616438354</x:v>
      </x:c>
      <x:c r="J296" s="32" t="n">
        <x:f>J295/(1+I296)</x:f>
        <x:v>0.1642648217438096</x:v>
      </x:c>
      <x:c r="K296" s="33" t="n">
        <x:f>IF(AND(ISNUMBER('Параметры'!$C$8),'Параметры'!$C$8&gt;=0),'Параметры'!$C$8*C296/365,NA())</x:f>
        <x:v>0.0061643835616438354</x:v>
      </x:c>
      <x:c r="L296" s="32" t="n">
        <x:f>L295/(1+K296)</x:f>
        <x:v>0.1642648217438096</x:v>
      </x:c>
      <x:c r="M296" s="30" t="n">
        <x:f>E296*L296</x:f>
        <x:v>1030.052132412472</x:v>
      </x:c>
      <x:c r="N296" s="30" t="n">
        <x:f>F296*L296</x:f>
        <x:v>3241.358880356158</x:v>
      </x:c>
      <x:c r="O296" s="30" t="n">
        <x:f>G296*L296</x:f>
        <x:v>4271.41101276863</x:v>
      </x:c>
    </x:row>
    <x:row r="297" ht="21" customHeight="1">
      <x:c r="A297" s="28" t="n">
        <x:v>291</x:v>
      </x:c>
      <x:c r="B297" s="29" t="n">
        <x:v>53653</x:v>
      </x:c>
      <x:c r="C297" s="28" t="n">
        <x:f>B297-B296</x:f>
        <x:v>31</x:v>
      </x:c>
      <x:c r="D297" s="30" t="n">
        <x:f>H296</x:f>
        <x:v>997510.6</x:v>
      </x:c>
      <x:c r="E297" s="30" t="n">
        <x:f>ROUND(D297*I297,2)</x:f>
        <x:v>6354.01</x:v>
      </x:c>
      <x:c r="F297" s="30" t="n">
        <x:f>IF(G297&gt;=E297,ROUND(G297-E297,2),NA())</x:f>
        <x:v>19649.19</x:v>
      </x:c>
      <x:c r="G297" s="30" t="n">
        <x:f>MIN('Параметры'!$C$14,ROUND(D297+E297,2))</x:f>
        <x:v>26003.2</x:v>
      </x:c>
      <x:c r="H297" s="30" t="n">
        <x:f>ROUND(D297-F297,2)</x:f>
        <x:v>977861.41</x:v>
      </x:c>
      <x:c r="I297" s="33" t="n">
        <x:f>IF(AND(ISNUMBER('Параметры'!$C$7),'Параметры'!$C$7&gt;=0),'Параметры'!$C$7*C297/365,NA())</x:f>
        <x:v>0.00636986301369863</x:v>
      </x:c>
      <x:c r="J297" s="32" t="n">
        <x:f>J296/(1+I297)</x:f>
        <x:v>0.16322510021504255</x:v>
      </x:c>
      <x:c r="K297" s="33" t="n">
        <x:f>IF(AND(ISNUMBER('Параметры'!$C$8),'Параметры'!$C$8&gt;=0),'Параметры'!$C$8*C297/365,NA())</x:f>
        <x:v>0.00636986301369863</x:v>
      </x:c>
      <x:c r="L297" s="32" t="n">
        <x:f>L296/(1+K297)</x:f>
        <x:v>0.16322510021504255</x:v>
      </x:c>
      <x:c r="M297" s="30" t="n">
        <x:f>E297*L297</x:f>
        <x:v>1037.1339190173826</x:v>
      </x:c>
      <x:c r="N297" s="30" t="n">
        <x:f>F297*L297</x:f>
        <x:v>3207.241006894412</x:v>
      </x:c>
      <x:c r="O297" s="30" t="n">
        <x:f>G297*L297</x:f>
        <x:v>4244.374925911795</x:v>
      </x:c>
    </x:row>
    <x:row r="298" ht="21" customHeight="1">
      <x:c r="A298" s="28" t="n">
        <x:v>292</x:v>
      </x:c>
      <x:c r="B298" s="29" t="n">
        <x:v>53683</x:v>
      </x:c>
      <x:c r="C298" s="28" t="n">
        <x:f>B298-B297</x:f>
        <x:v>30</x:v>
      </x:c>
      <x:c r="D298" s="30" t="n">
        <x:f>H297</x:f>
        <x:v>977861.41</x:v>
      </x:c>
      <x:c r="E298" s="30" t="n">
        <x:f>ROUND(D298*I298,2)</x:f>
        <x:v>6027.91</x:v>
      </x:c>
      <x:c r="F298" s="30" t="n">
        <x:f>IF(G298&gt;=E298,ROUND(G298-E298,2),NA())</x:f>
        <x:v>19975.29</x:v>
      </x:c>
      <x:c r="G298" s="30" t="n">
        <x:f>MIN('Параметры'!$C$14,ROUND(D298+E298,2))</x:f>
        <x:v>26003.2</x:v>
      </x:c>
      <x:c r="H298" s="30" t="n">
        <x:f>ROUND(D298-F298,2)</x:f>
        <x:v>957886.12</x:v>
      </x:c>
      <x:c r="I298" s="33" t="n">
        <x:f>IF(AND(ISNUMBER('Параметры'!$C$7),'Параметры'!$C$7&gt;=0),'Параметры'!$C$7*C298/365,NA())</x:f>
        <x:v>0.0061643835616438354</x:v>
      </x:c>
      <x:c r="J298" s="32" t="n">
        <x:f>J297/(1+I298)</x:f>
        <x:v>0.16222508258268353</x:v>
      </x:c>
      <x:c r="K298" s="33" t="n">
        <x:f>IF(AND(ISNUMBER('Параметры'!$C$8),'Параметры'!$C$8&gt;=0),'Параметры'!$C$8*C298/365,NA())</x:f>
        <x:v>0.0061643835616438354</x:v>
      </x:c>
      <x:c r="L298" s="32" t="n">
        <x:f>L297/(1+K298)</x:f>
        <x:v>0.16222508258268353</x:v>
      </x:c>
      <x:c r="M298" s="30" t="n">
        <x:f>E298*L298</x:f>
        <x:v>977.8781975509838</x:v>
      </x:c>
      <x:c r="N298" s="30" t="n">
        <x:f>F298*L298</x:f>
        <x:v>3240.493069863053</x:v>
      </x:c>
      <x:c r="O298" s="30" t="n">
        <x:f>G298*L298</x:f>
        <x:v>4218.371267414037</x:v>
      </x:c>
    </x:row>
    <x:row r="299" ht="21" customHeight="1">
      <x:c r="A299" s="28" t="n">
        <x:v>293</x:v>
      </x:c>
      <x:c r="B299" s="29" t="n">
        <x:v>53714</x:v>
      </x:c>
      <x:c r="C299" s="28" t="n">
        <x:f>B299-B298</x:f>
        <x:v>31</x:v>
      </x:c>
      <x:c r="D299" s="30" t="n">
        <x:f>H298</x:f>
        <x:v>957886.12</x:v>
      </x:c>
      <x:c r="E299" s="30" t="n">
        <x:f>ROUND(D299*I299,2)</x:f>
        <x:v>6101.6</x:v>
      </x:c>
      <x:c r="F299" s="30" t="n">
        <x:f>IF(G299&gt;=E299,ROUND(G299-E299,2),NA())</x:f>
        <x:v>19901.6</x:v>
      </x:c>
      <x:c r="G299" s="30" t="n">
        <x:f>MIN('Параметры'!$C$14,ROUND(D299+E299,2))</x:f>
        <x:v>26003.2</x:v>
      </x:c>
      <x:c r="H299" s="30" t="n">
        <x:f>ROUND(D299-F299,2)</x:f>
        <x:v>937984.52</x:v>
      </x:c>
      <x:c r="I299" s="33" t="n">
        <x:f>IF(AND(ISNUMBER('Параметры'!$C$7),'Параметры'!$C$7&gt;=0),'Параметры'!$C$7*C299/365,NA())</x:f>
        <x:v>0.00636986301369863</x:v>
      </x:c>
      <x:c r="J299" s="32" t="n">
        <x:f>J298/(1+I299)</x:f>
        <x:v>0.16119827167407472</x:v>
      </x:c>
      <x:c r="K299" s="33" t="n">
        <x:f>IF(AND(ISNUMBER('Параметры'!$C$8),'Параметры'!$C$8&gt;=0),'Параметры'!$C$8*C299/365,NA())</x:f>
        <x:v>0.00636986301369863</x:v>
      </x:c>
      <x:c r="L299" s="32" t="n">
        <x:f>L298/(1+K299)</x:f>
        <x:v>0.16119827167407472</x:v>
      </x:c>
      <x:c r="M299" s="30" t="n">
        <x:f>E299*L299</x:f>
        <x:v>983.5673744465344</x:v>
      </x:c>
      <x:c r="N299" s="30" t="n">
        <x:f>F299*L299</x:f>
        <x:v>3208.103523548765</x:v>
      </x:c>
      <x:c r="O299" s="30" t="n">
        <x:f>G299*L299</x:f>
        <x:v>4191.6708979953</x:v>
      </x:c>
    </x:row>
    <x:row r="300" ht="21" customHeight="1">
      <x:c r="A300" s="28" t="n">
        <x:v>294</x:v>
      </x:c>
      <x:c r="B300" s="29" t="n">
        <x:v>53745</x:v>
      </x:c>
      <x:c r="C300" s="28" t="n">
        <x:f>B300-B299</x:f>
        <x:v>31</x:v>
      </x:c>
      <x:c r="D300" s="30" t="n">
        <x:f>H299</x:f>
        <x:v>937984.52</x:v>
      </x:c>
      <x:c r="E300" s="30" t="n">
        <x:f>ROUND(D300*I300,2)</x:f>
        <x:v>5974.83</x:v>
      </x:c>
      <x:c r="F300" s="30" t="n">
        <x:f>IF(G300&gt;=E300,ROUND(G300-E300,2),NA())</x:f>
        <x:v>20028.37</x:v>
      </x:c>
      <x:c r="G300" s="30" t="n">
        <x:f>MIN('Параметры'!$C$14,ROUND(D300+E300,2))</x:f>
        <x:v>26003.2</x:v>
      </x:c>
      <x:c r="H300" s="30" t="n">
        <x:f>ROUND(D300-F300,2)</x:f>
        <x:v>917956.15</x:v>
      </x:c>
      <x:c r="I300" s="33" t="n">
        <x:f>IF(AND(ISNUMBER('Параметры'!$C$7),'Параметры'!$C$7&gt;=0),'Параметры'!$C$7*C300/365,NA())</x:f>
        <x:v>0.00636986301369863</x:v>
      </x:c>
      <x:c r="J300" s="32" t="n">
        <x:f>J299/(1+I300)</x:f>
        <x:v>0.16017796001099102</x:v>
      </x:c>
      <x:c r="K300" s="33" t="n">
        <x:f>IF(AND(ISNUMBER('Параметры'!$C$8),'Параметры'!$C$8&gt;=0),'Параметры'!$C$8*C300/365,NA())</x:f>
        <x:v>0.00636986301369863</x:v>
      </x:c>
      <x:c r="L300" s="32" t="n">
        <x:f>L299/(1+K300)</x:f>
        <x:v>0.16017796001099102</x:v>
      </x:c>
      <x:c r="M300" s="30" t="n">
        <x:f>E300*L300</x:f>
        <x:v>957.0360808124694</x:v>
      </x:c>
      <x:c r="N300" s="30" t="n">
        <x:f>F300*L300</x:f>
        <x:v>3208.1034489453323</x:v>
      </x:c>
      <x:c r="O300" s="30" t="n">
        <x:f>G300*L300</x:f>
        <x:v>4165.139529757802</x:v>
      </x:c>
    </x:row>
    <x:row r="301" ht="21" customHeight="1">
      <x:c r="A301" s="28" t="n">
        <x:v>295</x:v>
      </x:c>
      <x:c r="B301" s="29" t="n">
        <x:v>53773</x:v>
      </x:c>
      <x:c r="C301" s="28" t="n">
        <x:f>B301-B300</x:f>
        <x:v>28</x:v>
      </x:c>
      <x:c r="D301" s="30" t="n">
        <x:f>H300</x:f>
        <x:v>917956.15</x:v>
      </x:c>
      <x:c r="E301" s="30" t="n">
        <x:f>ROUND(D301*I301,2)</x:f>
        <x:v>5281.39</x:v>
      </x:c>
      <x:c r="F301" s="30" t="n">
        <x:f>IF(G301&gt;=E301,ROUND(G301-E301,2),NA())</x:f>
        <x:v>20721.81</x:v>
      </x:c>
      <x:c r="G301" s="30" t="n">
        <x:f>MIN('Параметры'!$C$14,ROUND(D301+E301,2))</x:f>
        <x:v>26003.2</x:v>
      </x:c>
      <x:c r="H301" s="30" t="n">
        <x:f>ROUND(D301-F301,2)</x:f>
        <x:v>897234.34</x:v>
      </x:c>
      <x:c r="I301" s="33" t="n">
        <x:f>IF(AND(ISNUMBER('Параметры'!$C$7),'Параметры'!$C$7&gt;=0),'Параметры'!$C$7*C301/365,NA())</x:f>
        <x:v>0.005753424657534247</x:v>
      </x:c>
      <x:c r="J301" s="32" t="n">
        <x:f>J300/(1+I301)</x:f>
        <x:v>0.15926166004906492</x:v>
      </x:c>
      <x:c r="K301" s="33" t="n">
        <x:f>IF(AND(ISNUMBER('Параметры'!$C$8),'Параметры'!$C$8&gt;=0),'Параметры'!$C$8*C301/365,NA())</x:f>
        <x:v>0.005753424657534247</x:v>
      </x:c>
      <x:c r="L301" s="32" t="n">
        <x:f>L300/(1+K301)</x:f>
        <x:v>0.15926166004906492</x:v>
      </x:c>
      <x:c r="M301" s="30" t="n">
        <x:f>E301*L301</x:f>
        <x:v>841.122938766531</x:v>
      </x:c>
      <x:c r="N301" s="30" t="n">
        <x:f>F301*L301</x:f>
        <x:v>3300.1898598213143</x:v>
      </x:c>
      <x:c r="O301" s="30" t="n">
        <x:f>G301*L301</x:f>
        <x:v>4141.312798587845</x:v>
      </x:c>
    </x:row>
    <x:row r="302" ht="21" customHeight="1">
      <x:c r="A302" s="28" t="n">
        <x:v>296</x:v>
      </x:c>
      <x:c r="B302" s="29" t="n">
        <x:v>53804</x:v>
      </x:c>
      <x:c r="C302" s="28" t="n">
        <x:f>B302-B301</x:f>
        <x:v>31</x:v>
      </x:c>
      <x:c r="D302" s="30" t="n">
        <x:f>H301</x:f>
        <x:v>897234.34</x:v>
      </x:c>
      <x:c r="E302" s="30" t="n">
        <x:f>ROUND(D302*I302,2)</x:f>
        <x:v>5715.26</x:v>
      </x:c>
      <x:c r="F302" s="30" t="n">
        <x:f>IF(G302&gt;=E302,ROUND(G302-E302,2),NA())</x:f>
        <x:v>20287.94</x:v>
      </x:c>
      <x:c r="G302" s="30" t="n">
        <x:f>MIN('Параметры'!$C$14,ROUND(D302+E302,2))</x:f>
        <x:v>26003.2</x:v>
      </x:c>
      <x:c r="H302" s="30" t="n">
        <x:f>ROUND(D302-F302,2)</x:f>
        <x:v>876946.4</x:v>
      </x:c>
      <x:c r="I302" s="33" t="n">
        <x:f>IF(AND(ISNUMBER('Параметры'!$C$7),'Параметры'!$C$7&gt;=0),'Параметры'!$C$7*C302/365,NA())</x:f>
        <x:v>0.00636986301369863</x:v>
      </x:c>
      <x:c r="J302" s="32" t="n">
        <x:f>J301/(1+I302)</x:f>
        <x:v>0.15825360625579174</x:v>
      </x:c>
      <x:c r="K302" s="33" t="n">
        <x:f>IF(AND(ISNUMBER('Параметры'!$C$8),'Параметры'!$C$8&gt;=0),'Параметры'!$C$8*C302/365,NA())</x:f>
        <x:v>0.00636986301369863</x:v>
      </x:c>
      <x:c r="L302" s="32" t="n">
        <x:f>L301/(1+K302)</x:f>
        <x:v>0.15825360625579174</x:v>
      </x:c>
      <x:c r="M302" s="30" t="n">
        <x:f>E302*L302</x:f>
        <x:v>904.4605056894763</x:v>
      </x:c>
      <x:c r="N302" s="30" t="n">
        <x:f>F302*L302</x:f>
        <x:v>3210.6396685011273</x:v>
      </x:c>
      <x:c r="O302" s="30" t="n">
        <x:f>G302*L302</x:f>
        <x:v>4115.100174190604</x:v>
      </x:c>
    </x:row>
    <x:row r="303" ht="21" customHeight="1">
      <x:c r="A303" s="28" t="n">
        <x:v>297</x:v>
      </x:c>
      <x:c r="B303" s="29" t="n">
        <x:v>53834</x:v>
      </x:c>
      <x:c r="C303" s="28" t="n">
        <x:f>B303-B302</x:f>
        <x:v>30</x:v>
      </x:c>
      <x:c r="D303" s="30" t="n">
        <x:f>H302</x:f>
        <x:v>876946.4</x:v>
      </x:c>
      <x:c r="E303" s="30" t="n">
        <x:f>ROUND(D303*I303,2)</x:f>
        <x:v>5405.83</x:v>
      </x:c>
      <x:c r="F303" s="30" t="n">
        <x:f>IF(G303&gt;=E303,ROUND(G303-E303,2),NA())</x:f>
        <x:v>20597.37</x:v>
      </x:c>
      <x:c r="G303" s="30" t="n">
        <x:f>MIN('Параметры'!$C$14,ROUND(D303+E303,2))</x:f>
        <x:v>26003.2</x:v>
      </x:c>
      <x:c r="H303" s="30" t="n">
        <x:f>ROUND(D303-F303,2)</x:f>
        <x:v>856349.03</x:v>
      </x:c>
      <x:c r="I303" s="33" t="n">
        <x:f>IF(AND(ISNUMBER('Параметры'!$C$7),'Параметры'!$C$7&gt;=0),'Параметры'!$C$7*C303/365,NA())</x:f>
        <x:v>0.0061643835616438354</x:v>
      </x:c>
      <x:c r="J303" s="32" t="n">
        <x:f>J302/(1+I303)</x:f>
        <x:v>0.15728404706157653</x:v>
      </x:c>
      <x:c r="K303" s="33" t="n">
        <x:f>IF(AND(ISNUMBER('Параметры'!$C$8),'Параметры'!$C$8&gt;=0),'Параметры'!$C$8*C303/365,NA())</x:f>
        <x:v>0.0061643835616438354</x:v>
      </x:c>
      <x:c r="L303" s="32" t="n">
        <x:f>L302/(1+K303)</x:f>
        <x:v>0.15728404706157653</x:v>
      </x:c>
      <x:c r="M303" s="30" t="n">
        <x:f>E303*L303</x:f>
        <x:v>850.2508201268822</x:v>
      </x:c>
      <x:c r="N303" s="30" t="n">
        <x:f>F303*L303</x:f>
        <x:v>3239.6377124247047</x:v>
      </x:c>
      <x:c r="O303" s="30" t="n">
        <x:f>G303*L303</x:f>
        <x:v>4089.888532551587</x:v>
      </x:c>
    </x:row>
    <x:row r="304" ht="21" customHeight="1">
      <x:c r="A304" s="28" t="n">
        <x:v>298</x:v>
      </x:c>
      <x:c r="B304" s="29" t="n">
        <x:v>53865</x:v>
      </x:c>
      <x:c r="C304" s="28" t="n">
        <x:f>B304-B303</x:f>
        <x:v>31</x:v>
      </x:c>
      <x:c r="D304" s="30" t="n">
        <x:f>H303</x:f>
        <x:v>856349.03</x:v>
      </x:c>
      <x:c r="E304" s="30" t="n">
        <x:f>ROUND(D304*I304,2)</x:f>
        <x:v>5454.83</x:v>
      </x:c>
      <x:c r="F304" s="30" t="n">
        <x:f>IF(G304&gt;=E304,ROUND(G304-E304,2),NA())</x:f>
        <x:v>20548.37</x:v>
      </x:c>
      <x:c r="G304" s="30" t="n">
        <x:f>MIN('Параметры'!$C$14,ROUND(D304+E304,2))</x:f>
        <x:v>26003.2</x:v>
      </x:c>
      <x:c r="H304" s="30" t="n">
        <x:f>ROUND(D304-F304,2)</x:f>
        <x:v>835800.66</x:v>
      </x:c>
      <x:c r="I304" s="33" t="n">
        <x:f>IF(AND(ISNUMBER('Параметры'!$C$7),'Параметры'!$C$7&gt;=0),'Параметры'!$C$7*C304/365,NA())</x:f>
        <x:v>0.00636986301369863</x:v>
      </x:c>
      <x:c r="J304" s="32" t="n">
        <x:f>J303/(1+I304)</x:f>
        <x:v>0.15628851065806965</x:v>
      </x:c>
      <x:c r="K304" s="33" t="n">
        <x:f>IF(AND(ISNUMBER('Параметры'!$C$8),'Параметры'!$C$8&gt;=0),'Параметры'!$C$8*C304/365,NA())</x:f>
        <x:v>0.00636986301369863</x:v>
      </x:c>
      <x:c r="L304" s="32" t="n">
        <x:f>L303/(1+K304)</x:f>
        <x:v>0.15628851065806965</x:v>
      </x:c>
      <x:c r="M304" s="30" t="n">
        <x:f>E304*L304</x:f>
        <x:v>852.527256592958</x:v>
      </x:c>
      <x:c r="N304" s="30" t="n">
        <x:f>F304*L304</x:f>
        <x:v>3211.4741437509583</x:v>
      </x:c>
      <x:c r="O304" s="30" t="n">
        <x:f>G304*L304</x:f>
        <x:v>4064.001400343917</x:v>
      </x:c>
    </x:row>
    <x:row r="305" ht="21" customHeight="1">
      <x:c r="A305" s="28" t="n">
        <x:v>299</x:v>
      </x:c>
      <x:c r="B305" s="29" t="n">
        <x:v>53895</x:v>
      </x:c>
      <x:c r="C305" s="28" t="n">
        <x:f>B305-B304</x:f>
        <x:v>30</x:v>
      </x:c>
      <x:c r="D305" s="30" t="n">
        <x:f>H304</x:f>
        <x:v>835800.66</x:v>
      </x:c>
      <x:c r="E305" s="30" t="n">
        <x:f>ROUND(D305*I305,2)</x:f>
        <x:v>5152.2</x:v>
      </x:c>
      <x:c r="F305" s="30" t="n">
        <x:f>IF(G305&gt;=E305,ROUND(G305-E305,2),NA())</x:f>
        <x:v>20851</x:v>
      </x:c>
      <x:c r="G305" s="30" t="n">
        <x:f>MIN('Параметры'!$C$14,ROUND(D305+E305,2))</x:f>
        <x:v>26003.2</x:v>
      </x:c>
      <x:c r="H305" s="30" t="n">
        <x:f>ROUND(D305-F305,2)</x:f>
        <x:v>814949.66</x:v>
      </x:c>
      <x:c r="I305" s="33" t="n">
        <x:f>IF(AND(ISNUMBER('Параметры'!$C$7),'Параметры'!$C$7&gt;=0),'Параметры'!$C$7*C305/365,NA())</x:f>
        <x:v>0.0061643835616438354</x:v>
      </x:c>
      <x:c r="J305" s="32" t="n">
        <x:f>J304/(1+I305)</x:f>
        <x:v>0.1553309908514511</x:v>
      </x:c>
      <x:c r="K305" s="33" t="n">
        <x:f>IF(AND(ISNUMBER('Параметры'!$C$8),'Параметры'!$C$8&gt;=0),'Параметры'!$C$8*C305/365,NA())</x:f>
        <x:v>0.0061643835616438354</x:v>
      </x:c>
      <x:c r="L305" s="32" t="n">
        <x:f>L304/(1+K305)</x:f>
        <x:v>0.1553309908514511</x:v>
      </x:c>
      <x:c r="M305" s="30" t="n">
        <x:f>E305*L305</x:f>
        <x:v>800.2963310648464</x:v>
      </x:c>
      <x:c r="N305" s="30" t="n">
        <x:f>F305*L305</x:f>
        <x:v>3238.806490243607</x:v>
      </x:c>
      <x:c r="O305" s="30" t="n">
        <x:f>G305*L305</x:f>
        <x:v>4039.1028213084537</x:v>
      </x:c>
    </x:row>
    <x:row r="306" ht="21" customHeight="1">
      <x:c r="A306" s="28" t="n">
        <x:v>300</x:v>
      </x:c>
      <x:c r="B306" s="29" t="n">
        <x:v>53926</x:v>
      </x:c>
      <x:c r="C306" s="28" t="n">
        <x:f>B306-B305</x:f>
        <x:v>31</x:v>
      </x:c>
      <x:c r="D306" s="30" t="n">
        <x:f>H305</x:f>
        <x:v>814949.66</x:v>
      </x:c>
      <x:c r="E306" s="30" t="n">
        <x:f>ROUND(D306*I306,2)</x:f>
        <x:v>5191.12</x:v>
      </x:c>
      <x:c r="F306" s="30" t="n">
        <x:f>IF(G306&gt;=E306,ROUND(G306-E306,2),NA())</x:f>
        <x:v>20812.08</x:v>
      </x:c>
      <x:c r="G306" s="30" t="n">
        <x:f>MIN('Параметры'!$C$14,ROUND(D306+E306,2))</x:f>
        <x:v>26003.2</x:v>
      </x:c>
      <x:c r="H306" s="30" t="n">
        <x:f>ROUND(D306-F306,2)</x:f>
        <x:v>794137.58</x:v>
      </x:c>
      <x:c r="I306" s="33" t="n">
        <x:f>IF(AND(ISNUMBER('Параметры'!$C$7),'Параметры'!$C$7&gt;=0),'Параметры'!$C$7*C306/365,NA())</x:f>
        <x:v>0.00636986301369863</x:v>
      </x:c>
      <x:c r="J306" s="32" t="n">
        <x:f>J305/(1+I306)</x:f>
        <x:v>0.154347816404491</x:v>
      </x:c>
      <x:c r="K306" s="33" t="n">
        <x:f>IF(AND(ISNUMBER('Параметры'!$C$8),'Параметры'!$C$8&gt;=0),'Параметры'!$C$8*C306/365,NA())</x:f>
        <x:v>0.00636986301369863</x:v>
      </x:c>
      <x:c r="L306" s="32" t="n">
        <x:f>L305/(1+K306)</x:f>
        <x:v>0.154347816404491</x:v>
      </x:c>
      <x:c r="M306" s="30" t="n">
        <x:f>E306*L306</x:f>
        <x:v>801.2380366936812</x:v>
      </x:c>
      <x:c r="N306" s="30" t="n">
        <x:f>F306*L306</x:f>
        <x:v>3212.299102835579</x:v>
      </x:c>
      <x:c r="O306" s="30" t="n">
        <x:f>G306*L306</x:f>
        <x:v>4013.5371395292605</x:v>
      </x:c>
    </x:row>
    <x:row r="307" ht="21" customHeight="1">
      <x:c r="A307" s="28" t="n">
        <x:v>301</x:v>
      </x:c>
      <x:c r="B307" s="29" t="n">
        <x:v>53957</x:v>
      </x:c>
      <x:c r="C307" s="28" t="n">
        <x:f>B307-B306</x:f>
        <x:v>31</x:v>
      </x:c>
      <x:c r="D307" s="30" t="n">
        <x:f>H306</x:f>
        <x:v>794137.58</x:v>
      </x:c>
      <x:c r="E307" s="30" t="n">
        <x:f>ROUND(D307*I307,2)</x:f>
        <x:v>5058.55</x:v>
      </x:c>
      <x:c r="F307" s="30" t="n">
        <x:f>IF(G307&gt;=E307,ROUND(G307-E307,2),NA())</x:f>
        <x:v>20944.65</x:v>
      </x:c>
      <x:c r="G307" s="30" t="n">
        <x:f>MIN('Параметры'!$C$14,ROUND(D307+E307,2))</x:f>
        <x:v>26003.2</x:v>
      </x:c>
      <x:c r="H307" s="30" t="n">
        <x:f>ROUND(D307-F307,2)</x:f>
        <x:v>773192.93</x:v>
      </x:c>
      <x:c r="I307" s="33" t="n">
        <x:f>IF(AND(ISNUMBER('Параметры'!$C$7),'Параметры'!$C$7&gt;=0),'Параметры'!$C$7*C307/365,NA())</x:f>
        <x:v>0.00636986301369863</x:v>
      </x:c>
      <x:c r="J307" s="32" t="n">
        <x:f>J306/(1+I307)</x:f>
        <x:v>0.15337086500412228</x:v>
      </x:c>
      <x:c r="K307" s="33" t="n">
        <x:f>IF(AND(ISNUMBER('Параметры'!$C$8),'Параметры'!$C$8&gt;=0),'Параметры'!$C$8*C307/365,NA())</x:f>
        <x:v>0.00636986301369863</x:v>
      </x:c>
      <x:c r="L307" s="32" t="n">
        <x:f>L306/(1+K307)</x:f>
        <x:v>0.15337086500412228</x:v>
      </x:c>
      <x:c r="M307" s="30" t="n">
        <x:f>E307*L307</x:f>
        <x:v>775.8341891666028</x:v>
      </x:c>
      <x:c r="N307" s="30" t="n">
        <x:f>F307*L307</x:f>
        <x:v>3212.29908770859</x:v>
      </x:c>
      <x:c r="O307" s="30" t="n">
        <x:f>G307*L307</x:f>
        <x:v>3988.1332768751927</x:v>
      </x:c>
    </x:row>
    <x:row r="308" ht="21" customHeight="1">
      <x:c r="A308" s="28" t="n">
        <x:v>302</x:v>
      </x:c>
      <x:c r="B308" s="29" t="n">
        <x:v>53987</x:v>
      </x:c>
      <x:c r="C308" s="28" t="n">
        <x:f>B308-B307</x:f>
        <x:v>30</x:v>
      </x:c>
      <x:c r="D308" s="30" t="n">
        <x:f>H307</x:f>
        <x:v>773192.93</x:v>
      </x:c>
      <x:c r="E308" s="30" t="n">
        <x:f>ROUND(D308*I308,2)</x:f>
        <x:v>4766.26</x:v>
      </x:c>
      <x:c r="F308" s="30" t="n">
        <x:f>IF(G308&gt;=E308,ROUND(G308-E308,2),NA())</x:f>
        <x:v>21236.94</x:v>
      </x:c>
      <x:c r="G308" s="30" t="n">
        <x:f>MIN('Параметры'!$C$14,ROUND(D308+E308,2))</x:f>
        <x:v>26003.2</x:v>
      </x:c>
      <x:c r="H308" s="30" t="n">
        <x:f>ROUND(D308-F308,2)</x:f>
        <x:v>751955.99</x:v>
      </x:c>
      <x:c r="I308" s="33" t="n">
        <x:f>IF(AND(ISNUMBER('Параметры'!$C$7),'Параметры'!$C$7&gt;=0),'Параметры'!$C$7*C308/365,NA())</x:f>
        <x:v>0.0061643835616438354</x:v>
      </x:c>
      <x:c r="J308" s="32" t="n">
        <x:f>J307/(1+I308)</x:f>
        <x:v>0.15243122049422636</x:v>
      </x:c>
      <x:c r="K308" s="33" t="n">
        <x:f>IF(AND(ISNUMBER('Параметры'!$C$8),'Параметры'!$C$8&gt;=0),'Параметры'!$C$8*C308/365,NA())</x:f>
        <x:v>0.0061643835616438354</x:v>
      </x:c>
      <x:c r="L308" s="32" t="n">
        <x:f>L307/(1+K308)</x:f>
        <x:v>0.15243122049422636</x:v>
      </x:c>
      <x:c r="M308" s="30" t="n">
        <x:f>E308*L308</x:f>
        <x:v>726.5268289928114</x:v>
      </x:c>
      <x:c r="N308" s="30" t="n">
        <x:f>F308*L308</x:f>
        <x:v>3237.172683762655</x:v>
      </x:c>
      <x:c r="O308" s="30" t="n">
        <x:f>G308*L308</x:f>
        <x:v>3963.699512755467</x:v>
      </x:c>
    </x:row>
    <x:row r="309" ht="21" customHeight="1">
      <x:c r="A309" s="28" t="n">
        <x:v>303</x:v>
      </x:c>
      <x:c r="B309" s="29" t="n">
        <x:v>54018</x:v>
      </x:c>
      <x:c r="C309" s="28" t="n">
        <x:f>B309-B308</x:f>
        <x:v>31</x:v>
      </x:c>
      <x:c r="D309" s="30" t="n">
        <x:f>H308</x:f>
        <x:v>751955.99</x:v>
      </x:c>
      <x:c r="E309" s="30" t="n">
        <x:f>ROUND(D309*I309,2)</x:f>
        <x:v>4789.86</x:v>
      </x:c>
      <x:c r="F309" s="30" t="n">
        <x:f>IF(G309&gt;=E309,ROUND(G309-E309,2),NA())</x:f>
        <x:v>21213.34</x:v>
      </x:c>
      <x:c r="G309" s="30" t="n">
        <x:f>MIN('Параметры'!$C$14,ROUND(D309+E309,2))</x:f>
        <x:v>26003.2</x:v>
      </x:c>
      <x:c r="H309" s="30" t="n">
        <x:f>ROUND(D309-F309,2)</x:f>
        <x:v>730742.65</x:v>
      </x:c>
      <x:c r="I309" s="33" t="n">
        <x:f>IF(AND(ISNUMBER('Параметры'!$C$7),'Параметры'!$C$7&gt;=0),'Параметры'!$C$7*C309/365,NA())</x:f>
        <x:v>0.00636986301369863</x:v>
      </x:c>
      <x:c r="J309" s="32" t="n">
        <x:f>J308/(1+I309)</x:f>
        <x:v>0.15146640027330735</x:v>
      </x:c>
      <x:c r="K309" s="33" t="n">
        <x:f>IF(AND(ISNUMBER('Параметры'!$C$8),'Параметры'!$C$8&gt;=0),'Параметры'!$C$8*C309/365,NA())</x:f>
        <x:v>0.00636986301369863</x:v>
      </x:c>
      <x:c r="L309" s="32" t="n">
        <x:f>L308/(1+K309)</x:f>
        <x:v>0.15146640027330735</x:v>
      </x:c>
      <x:c r="M309" s="30" t="n">
        <x:f>E309*L309</x:f>
        <x:v>725.5028520131038</x:v>
      </x:c>
      <x:c r="N309" s="30" t="n">
        <x:f>F309*L309</x:f>
        <x:v>3213.1082475737617</x:v>
      </x:c>
      <x:c r="O309" s="30" t="n">
        <x:f>G309*L309</x:f>
        <x:v>3938.6110995868657</x:v>
      </x:c>
    </x:row>
    <x:row r="310" ht="21" customHeight="1">
      <x:c r="A310" s="28" t="n">
        <x:v>304</x:v>
      </x:c>
      <x:c r="B310" s="29" t="n">
        <x:v>54048</x:v>
      </x:c>
      <x:c r="C310" s="28" t="n">
        <x:f>B310-B309</x:f>
        <x:v>30</x:v>
      </x:c>
      <x:c r="D310" s="30" t="n">
        <x:f>H309</x:f>
        <x:v>730742.65</x:v>
      </x:c>
      <x:c r="E310" s="30" t="n">
        <x:f>ROUND(D310*I310,2)</x:f>
        <x:v>4504.58</x:v>
      </x:c>
      <x:c r="F310" s="30" t="n">
        <x:f>IF(G310&gt;=E310,ROUND(G310-E310,2),NA())</x:f>
        <x:v>21498.62</x:v>
      </x:c>
      <x:c r="G310" s="30" t="n">
        <x:f>MIN('Параметры'!$C$14,ROUND(D310+E310,2))</x:f>
        <x:v>26003.2</x:v>
      </x:c>
      <x:c r="H310" s="30" t="n">
        <x:f>ROUND(D310-F310,2)</x:f>
        <x:v>709244.03</x:v>
      </x:c>
      <x:c r="I310" s="33" t="n">
        <x:f>IF(AND(ISNUMBER('Параметры'!$C$7),'Параметры'!$C$7&gt;=0),'Параметры'!$C$7*C310/365,NA())</x:f>
        <x:v>0.0061643835616438354</x:v>
      </x:c>
      <x:c r="J310" s="32" t="n">
        <x:f>J309/(1+I310)</x:f>
        <x:v>0.15053842368892356</x:v>
      </x:c>
      <x:c r="K310" s="33" t="n">
        <x:f>IF(AND(ISNUMBER('Параметры'!$C$8),'Параметры'!$C$8&gt;=0),'Параметры'!$C$8*C310/365,NA())</x:f>
        <x:v>0.0061643835616438354</x:v>
      </x:c>
      <x:c r="L310" s="32" t="n">
        <x:f>L309/(1+K310)</x:f>
        <x:v>0.15053842368892356</x:v>
      </x:c>
      <x:c r="M310" s="30" t="n">
        <x:f>E310*L310</x:f>
        <x:v>678.1123725806513</x:v>
      </x:c>
      <x:c r="N310" s="30" t="n">
        <x:f>F310*L310</x:f>
        <x:v>3236.368366287166</x:v>
      </x:c>
      <x:c r="O310" s="30" t="n">
        <x:f>G310*L310</x:f>
        <x:v>3914.4807388678173</x:v>
      </x:c>
    </x:row>
    <x:row r="311" ht="21" customHeight="1">
      <x:c r="A311" s="28" t="n">
        <x:v>305</x:v>
      </x:c>
      <x:c r="B311" s="29" t="n">
        <x:v>54079</x:v>
      </x:c>
      <x:c r="C311" s="28" t="n">
        <x:f>B311-B310</x:f>
        <x:v>31</x:v>
      </x:c>
      <x:c r="D311" s="30" t="n">
        <x:f>H310</x:f>
        <x:v>709244.03</x:v>
      </x:c>
      <x:c r="E311" s="30" t="n">
        <x:f>ROUND(D311*I311,2)</x:f>
        <x:v>4517.79</x:v>
      </x:c>
      <x:c r="F311" s="30" t="n">
        <x:f>IF(G311&gt;=E311,ROUND(G311-E311,2),NA())</x:f>
        <x:v>21485.41</x:v>
      </x:c>
      <x:c r="G311" s="30" t="n">
        <x:f>MIN('Параметры'!$C$14,ROUND(D311+E311,2))</x:f>
        <x:v>26003.2</x:v>
      </x:c>
      <x:c r="H311" s="30" t="n">
        <x:f>ROUND(D311-F311,2)</x:f>
        <x:v>687758.62</x:v>
      </x:c>
      <x:c r="I311" s="33" t="n">
        <x:f>IF(AND(ISNUMBER('Параметры'!$C$7),'Параметры'!$C$7&gt;=0),'Параметры'!$C$7*C311/365,NA())</x:f>
        <x:v>0.00636986301369863</x:v>
      </x:c>
      <x:c r="J311" s="32" t="n">
        <x:f>J310/(1+I311)</x:f>
        <x:v>0.14958558400995603</x:v>
      </x:c>
      <x:c r="K311" s="33" t="n">
        <x:f>IF(AND(ISNUMBER('Параметры'!$C$8),'Параметры'!$C$8&gt;=0),'Параметры'!$C$8*C311/365,NA())</x:f>
        <x:v>0.00636986301369863</x:v>
      </x:c>
      <x:c r="L311" s="32" t="n">
        <x:f>L310/(1+K311)</x:f>
        <x:v>0.14958558400995603</x:v>
      </x:c>
      <x:c r="M311" s="30" t="n">
        <x:f>E311*L311</x:f>
        <x:v>675.7962555843393</x:v>
      </x:c>
      <x:c r="N311" s="30" t="n">
        <x:f>F311*L311</x:f>
        <x:v>3213.907602543349</x:v>
      </x:c>
      <x:c r="O311" s="30" t="n">
        <x:f>G311*L311</x:f>
        <x:v>3889.703858127689</x:v>
      </x:c>
    </x:row>
    <x:row r="312" ht="21" customHeight="1">
      <x:c r="A312" s="28" t="n">
        <x:v>306</x:v>
      </x:c>
      <x:c r="B312" s="29" t="n">
        <x:v>54110</x:v>
      </x:c>
      <x:c r="C312" s="28" t="n">
        <x:f>B312-B311</x:f>
        <x:v>31</x:v>
      </x:c>
      <x:c r="D312" s="30" t="n">
        <x:f>H311</x:f>
        <x:v>687758.62</x:v>
      </x:c>
      <x:c r="E312" s="30" t="n">
        <x:f>ROUND(D312*I312,2)</x:f>
        <x:v>4380.93</x:v>
      </x:c>
      <x:c r="F312" s="30" t="n">
        <x:f>IF(G312&gt;=E312,ROUND(G312-E312,2),NA())</x:f>
        <x:v>21622.27</x:v>
      </x:c>
      <x:c r="G312" s="30" t="n">
        <x:f>MIN('Параметры'!$C$14,ROUND(D312+E312,2))</x:f>
        <x:v>26003.2</x:v>
      </x:c>
      <x:c r="H312" s="30" t="n">
        <x:f>ROUND(D312-F312,2)</x:f>
        <x:v>666136.35</x:v>
      </x:c>
      <x:c r="I312" s="33" t="n">
        <x:f>IF(AND(ISNUMBER('Параметры'!$C$7),'Параметры'!$C$7&gt;=0),'Параметры'!$C$7*C312/365,NA())</x:f>
        <x:v>0.00636986301369863</x:v>
      </x:c>
      <x:c r="J312" s="32" t="n">
        <x:f>J311/(1+I312)</x:f>
        <x:v>0.1486387753723105</x:v>
      </x:c>
      <x:c r="K312" s="33" t="n">
        <x:f>IF(AND(ISNUMBER('Параметры'!$C$8),'Параметры'!$C$8&gt;=0),'Параметры'!$C$8*C312/365,NA())</x:f>
        <x:v>0.00636986301369863</x:v>
      </x:c>
      <x:c r="L312" s="32" t="n">
        <x:f>L311/(1+K312)</x:f>
        <x:v>0.1486387753723105</x:v>
      </x:c>
      <x:c r="M312" s="30" t="n">
        <x:f>E312*L312</x:f>
        <x:v>651.1760701918163</x:v>
      </x:c>
      <x:c r="N312" s="30" t="n">
        <x:f>F312*L312</x:f>
        <x:v>3213.907733569448</x:v>
      </x:c>
      <x:c r="O312" s="30" t="n">
        <x:f>G312*L312</x:f>
        <x:v>3865.0838037612643</x:v>
      </x:c>
    </x:row>
    <x:row r="313" ht="21" customHeight="1">
      <x:c r="A313" s="28" t="n">
        <x:v>307</x:v>
      </x:c>
      <x:c r="B313" s="29" t="n">
        <x:v>54139</x:v>
      </x:c>
      <x:c r="C313" s="28" t="n">
        <x:f>B313-B312</x:f>
        <x:v>29</x:v>
      </x:c>
      <x:c r="D313" s="30" t="n">
        <x:f>H312</x:f>
        <x:v>666136.35</x:v>
      </x:c>
      <x:c r="E313" s="30" t="n">
        <x:f>ROUND(D313*I313,2)</x:f>
        <x:v>3969.44</x:v>
      </x:c>
      <x:c r="F313" s="30" t="n">
        <x:f>IF(G313&gt;=E313,ROUND(G313-E313,2),NA())</x:f>
        <x:v>22033.76</x:v>
      </x:c>
      <x:c r="G313" s="30" t="n">
        <x:f>MIN('Параметры'!$C$14,ROUND(D313+E313,2))</x:f>
        <x:v>26003.2</x:v>
      </x:c>
      <x:c r="H313" s="30" t="n">
        <x:f>ROUND(D313-F313,2)</x:f>
        <x:v>644102.59</x:v>
      </x:c>
      <x:c r="I313" s="33" t="n">
        <x:f>IF(AND(ISNUMBER('Параметры'!$C$7),'Параметры'!$C$7&gt;=0),'Параметры'!$C$7*C313/365,NA())</x:f>
        <x:v>0.00595890410958904</x:v>
      </x:c>
      <x:c r="J313" s="32" t="n">
        <x:f>J312/(1+I313)</x:f>
        <x:v>0.1477582978440616</x:v>
      </x:c>
      <x:c r="K313" s="33" t="n">
        <x:f>IF(AND(ISNUMBER('Параметры'!$C$8),'Параметры'!$C$8&gt;=0),'Параметры'!$C$8*C313/365,NA())</x:f>
        <x:v>0.00595890410958904</x:v>
      </x:c>
      <x:c r="L313" s="32" t="n">
        <x:f>L312/(1+K313)</x:f>
        <x:v>0.1477582978440616</x:v>
      </x:c>
      <x:c r="M313" s="30" t="n">
        <x:f>E313*L313</x:f>
        <x:v>586.5176977941319</x:v>
      </x:c>
      <x:c r="N313" s="30" t="n">
        <x:f>F313*L313</x:f>
        <x:v>3255.6708727045707</x:v>
      </x:c>
      <x:c r="O313" s="30" t="n">
        <x:f>G313*L313</x:f>
        <x:v>3842.188570498703</x:v>
      </x:c>
    </x:row>
    <x:row r="314" ht="21" customHeight="1">
      <x:c r="A314" s="28" t="n">
        <x:v>308</x:v>
      </x:c>
      <x:c r="B314" s="29" t="n">
        <x:v>54170</x:v>
      </x:c>
      <x:c r="C314" s="28" t="n">
        <x:f>B314-B313</x:f>
        <x:v>31</x:v>
      </x:c>
      <x:c r="D314" s="30" t="n">
        <x:f>H313</x:f>
        <x:v>644102.59</x:v>
      </x:c>
      <x:c r="E314" s="30" t="n">
        <x:f>ROUND(D314*I314,2)</x:f>
        <x:v>4102.85</x:v>
      </x:c>
      <x:c r="F314" s="30" t="n">
        <x:f>IF(G314&gt;=E314,ROUND(G314-E314,2),NA())</x:f>
        <x:v>21900.35</x:v>
      </x:c>
      <x:c r="G314" s="30" t="n">
        <x:f>MIN('Параметры'!$C$14,ROUND(D314+E314,2))</x:f>
        <x:v>26003.2</x:v>
      </x:c>
      <x:c r="H314" s="30" t="n">
        <x:f>ROUND(D314-F314,2)</x:f>
        <x:v>622202.24</x:v>
      </x:c>
      <x:c r="I314" s="33" t="n">
        <x:f>IF(AND(ISNUMBER('Параметры'!$C$7),'Параметры'!$C$7&gt;=0),'Параметры'!$C$7*C314/365,NA())</x:f>
        <x:v>0.00636986301369863</x:v>
      </x:c>
      <x:c r="J314" s="32" t="n">
        <x:f>J313/(1+I314)</x:f>
        <x:v>0.14682305509584834</x:v>
      </x:c>
      <x:c r="K314" s="33" t="n">
        <x:f>IF(AND(ISNUMBER('Параметры'!$C$8),'Параметры'!$C$8&gt;=0),'Параметры'!$C$8*C314/365,NA())</x:f>
        <x:v>0.00636986301369863</x:v>
      </x:c>
      <x:c r="L314" s="32" t="n">
        <x:f>L313/(1+K314)</x:f>
        <x:v>0.14682305509584834</x:v>
      </x:c>
      <x:c r="M314" s="30" t="n">
        <x:f>E314*L314</x:f>
        <x:v>602.3929716000014</x:v>
      </x:c>
      <x:c r="N314" s="30" t="n">
        <x:f>F314*L314</x:f>
        <x:v>3215.476294668362</x:v>
      </x:c>
      <x:c r="O314" s="30" t="n">
        <x:f>G314*L314</x:f>
        <x:v>3817.8692662683634</x:v>
      </x:c>
    </x:row>
    <x:row r="315" ht="21" customHeight="1">
      <x:c r="A315" s="28" t="n">
        <x:v>309</x:v>
      </x:c>
      <x:c r="B315" s="29" t="n">
        <x:v>54200</x:v>
      </x:c>
      <x:c r="C315" s="28" t="n">
        <x:f>B315-B314</x:f>
        <x:v>30</x:v>
      </x:c>
      <x:c r="D315" s="30" t="n">
        <x:f>H314</x:f>
        <x:v>622202.24</x:v>
      </x:c>
      <x:c r="E315" s="30" t="n">
        <x:f>ROUND(D315*I315,2)</x:f>
        <x:v>3835.49</x:v>
      </x:c>
      <x:c r="F315" s="30" t="n">
        <x:f>IF(G315&gt;=E315,ROUND(G315-E315,2),NA())</x:f>
        <x:v>22167.71</x:v>
      </x:c>
      <x:c r="G315" s="30" t="n">
        <x:f>MIN('Параметры'!$C$14,ROUND(D315+E315,2))</x:f>
        <x:v>26003.2</x:v>
      </x:c>
      <x:c r="H315" s="30" t="n">
        <x:f>ROUND(D315-F315,2)</x:f>
        <x:v>600034.53</x:v>
      </x:c>
      <x:c r="I315" s="33" t="n">
        <x:f>IF(AND(ISNUMBER('Параметры'!$C$7),'Параметры'!$C$7&gt;=0),'Параметры'!$C$7*C315/365,NA())</x:f>
        <x:v>0.0061643835616438354</x:v>
      </x:c>
      <x:c r="J315" s="32" t="n">
        <x:f>J314/(1+I315)</x:f>
        <x:v>0.14592352650778664</x:v>
      </x:c>
      <x:c r="K315" s="33" t="n">
        <x:f>IF(AND(ISNUMBER('Параметры'!$C$8),'Параметры'!$C$8&gt;=0),'Параметры'!$C$8*C315/365,NA())</x:f>
        <x:v>0.0061643835616438354</x:v>
      </x:c>
      <x:c r="L315" s="32" t="n">
        <x:f>L314/(1+K315)</x:f>
        <x:v>0.14592352650778664</x:v>
      </x:c>
      <x:c r="M315" s="30" t="n">
        <x:f>E315*L315</x:f>
        <x:v>559.6882266853505</x:v>
      </x:c>
      <x:c r="N315" s="30" t="n">
        <x:f>F315*L315</x:f>
        <x:v>3234.790417801927</x:v>
      </x:c>
      <x:c r="O315" s="30" t="n">
        <x:f>G315*L315</x:f>
        <x:v>3794.478644487278</x:v>
      </x:c>
    </x:row>
    <x:row r="316" ht="21" customHeight="1">
      <x:c r="A316" s="28" t="n">
        <x:v>310</x:v>
      </x:c>
      <x:c r="B316" s="29" t="n">
        <x:v>54231</x:v>
      </x:c>
      <x:c r="C316" s="28" t="n">
        <x:f>B316-B315</x:f>
        <x:v>31</x:v>
      </x:c>
      <x:c r="D316" s="30" t="n">
        <x:f>H315</x:f>
        <x:v>600034.53</x:v>
      </x:c>
      <x:c r="E316" s="30" t="n">
        <x:f>ROUND(D316*I316,2)</x:f>
        <x:v>3822.14</x:v>
      </x:c>
      <x:c r="F316" s="30" t="n">
        <x:f>IF(G316&gt;=E316,ROUND(G316-E316,2),NA())</x:f>
        <x:v>22181.06</x:v>
      </x:c>
      <x:c r="G316" s="30" t="n">
        <x:f>MIN('Параметры'!$C$14,ROUND(D316+E316,2))</x:f>
        <x:v>26003.2</x:v>
      </x:c>
      <x:c r="H316" s="30" t="n">
        <x:f>ROUND(D316-F316,2)</x:f>
        <x:v>577853.47</x:v>
      </x:c>
      <x:c r="I316" s="33" t="n">
        <x:f>IF(AND(ISNUMBER('Параметры'!$C$7),'Параметры'!$C$7&gt;=0),'Параметры'!$C$7*C316/365,NA())</x:f>
        <x:v>0.00636986301369863</x:v>
      </x:c>
      <x:c r="J316" s="32" t="n">
        <x:f>J315/(1+I316)</x:f>
        <x:v>0.144999897026726</x:v>
      </x:c>
      <x:c r="K316" s="33" t="n">
        <x:f>IF(AND(ISNUMBER('Параметры'!$C$8),'Параметры'!$C$8&gt;=0),'Параметры'!$C$8*C316/365,NA())</x:f>
        <x:v>0.00636986301369863</x:v>
      </x:c>
      <x:c r="L316" s="32" t="n">
        <x:f>L315/(1+K316)</x:f>
        <x:v>0.144999897026726</x:v>
      </x:c>
      <x:c r="M316" s="30" t="n">
        <x:f>E316*L316</x:f>
        <x:v>554.2099064217305</x:v>
      </x:c>
      <x:c r="N316" s="30" t="n">
        <x:f>F316*L316</x:f>
        <x:v>3216.2514159436314</x:v>
      </x:c>
      <x:c r="O316" s="30" t="n">
        <x:f>G316*L316</x:f>
        <x:v>3770.4613223653614</x:v>
      </x:c>
    </x:row>
    <x:row r="317" ht="21" customHeight="1">
      <x:c r="A317" s="28" t="n">
        <x:v>311</x:v>
      </x:c>
      <x:c r="B317" s="29" t="n">
        <x:v>54261</x:v>
      </x:c>
      <x:c r="C317" s="28" t="n">
        <x:f>B317-B316</x:f>
        <x:v>30</x:v>
      </x:c>
      <x:c r="D317" s="30" t="n">
        <x:f>H316</x:f>
        <x:v>577853.47</x:v>
      </x:c>
      <x:c r="E317" s="30" t="n">
        <x:f>ROUND(D317*I317,2)</x:f>
        <x:v>3562.11</x:v>
      </x:c>
      <x:c r="F317" s="30" t="n">
        <x:f>IF(G317&gt;=E317,ROUND(G317-E317,2),NA())</x:f>
        <x:v>22441.09</x:v>
      </x:c>
      <x:c r="G317" s="30" t="n">
        <x:f>MIN('Параметры'!$C$14,ROUND(D317+E317,2))</x:f>
        <x:v>26003.2</x:v>
      </x:c>
      <x:c r="H317" s="30" t="n">
        <x:f>ROUND(D317-F317,2)</x:f>
        <x:v>555412.38</x:v>
      </x:c>
      <x:c r="I317" s="33" t="n">
        <x:f>IF(AND(ISNUMBER('Параметры'!$C$7),'Параметры'!$C$7&gt;=0),'Параметры'!$C$7*C317/365,NA())</x:f>
        <x:v>0.0061643835616438354</x:v>
      </x:c>
      <x:c r="J317" s="32" t="n">
        <x:f>J316/(1+I317)</x:f>
        <x:v>0.14411153822942135</x:v>
      </x:c>
      <x:c r="K317" s="33" t="n">
        <x:f>IF(AND(ISNUMBER('Параметры'!$C$8),'Параметры'!$C$8&gt;=0),'Параметры'!$C$8*C317/365,NA())</x:f>
        <x:v>0.0061643835616438354</x:v>
      </x:c>
      <x:c r="L317" s="32" t="n">
        <x:f>L316/(1+K317)</x:f>
        <x:v>0.14411153822942135</x:v>
      </x:c>
      <x:c r="M317" s="30" t="n">
        <x:f>E317*L317</x:f>
        <x:v>513.3411514424041</x:v>
      </x:c>
      <x:c r="N317" s="30" t="n">
        <x:f>F317*L317</x:f>
        <x:v>3234.0199994448853</x:v>
      </x:c>
      <x:c r="O317" s="30" t="n">
        <x:f>G317*L317</x:f>
        <x:v>3747.3611508872896</x:v>
      </x:c>
    </x:row>
    <x:row r="318" ht="21" customHeight="1">
      <x:c r="A318" s="28" t="n">
        <x:v>312</x:v>
      </x:c>
      <x:c r="B318" s="29" t="n">
        <x:v>54292</x:v>
      </x:c>
      <x:c r="C318" s="28" t="n">
        <x:f>B318-B317</x:f>
        <x:v>31</x:v>
      </x:c>
      <x:c r="D318" s="30" t="n">
        <x:f>H317</x:f>
        <x:v>555412.38</x:v>
      </x:c>
      <x:c r="E318" s="30" t="n">
        <x:f>ROUND(D318*I318,2)</x:f>
        <x:v>3537.9</x:v>
      </x:c>
      <x:c r="F318" s="30" t="n">
        <x:f>IF(G318&gt;=E318,ROUND(G318-E318,2),NA())</x:f>
        <x:v>22465.3</x:v>
      </x:c>
      <x:c r="G318" s="30" t="n">
        <x:f>MIN('Параметры'!$C$14,ROUND(D318+E318,2))</x:f>
        <x:v>26003.2</x:v>
      </x:c>
      <x:c r="H318" s="30" t="n">
        <x:f>ROUND(D318-F318,2)</x:f>
        <x:v>532947.08</x:v>
      </x:c>
      <x:c r="I318" s="33" t="n">
        <x:f>IF(AND(ISNUMBER('Параметры'!$C$7),'Параметры'!$C$7&gt;=0),'Параметры'!$C$7*C318/365,NA())</x:f>
        <x:v>0.00636986301369863</x:v>
      </x:c>
      <x:c r="J318" s="32" t="n">
        <x:f>J317/(1+I318)</x:f>
        <x:v>0.14319937780913033</x:v>
      </x:c>
      <x:c r="K318" s="33" t="n">
        <x:f>IF(AND(ISNUMBER('Параметры'!$C$8),'Параметры'!$C$8&gt;=0),'Параметры'!$C$8*C318/365,NA())</x:f>
        <x:v>0.00636986301369863</x:v>
      </x:c>
      <x:c r="L318" s="32" t="n">
        <x:f>L317/(1+K318)</x:f>
        <x:v>0.14319937780913033</x:v>
      </x:c>
      <x:c r="M318" s="30" t="n">
        <x:f>E318*L318</x:f>
        <x:v>506.6250787509222</x:v>
      </x:c>
      <x:c r="N318" s="30" t="n">
        <x:f>F318*L318</x:f>
        <x:v>3217.016982295456</x:v>
      </x:c>
      <x:c r="O318" s="30" t="n">
        <x:f>G318*L318</x:f>
        <x:v>3723.642061046378</x:v>
      </x:c>
    </x:row>
    <x:row r="319" ht="21" customHeight="1">
      <x:c r="A319" s="28" t="n">
        <x:v>313</x:v>
      </x:c>
      <x:c r="B319" s="29" t="n">
        <x:v>54323</x:v>
      </x:c>
      <x:c r="C319" s="28" t="n">
        <x:f>B319-B318</x:f>
        <x:v>31</x:v>
      </x:c>
      <x:c r="D319" s="30" t="n">
        <x:f>H318</x:f>
        <x:v>532947.08</x:v>
      </x:c>
      <x:c r="E319" s="30" t="n">
        <x:f>ROUND(D319*I319,2)</x:f>
        <x:v>3394.8</x:v>
      </x:c>
      <x:c r="F319" s="30" t="n">
        <x:f>IF(G319&gt;=E319,ROUND(G319-E319,2),NA())</x:f>
        <x:v>22608.4</x:v>
      </x:c>
      <x:c r="G319" s="30" t="n">
        <x:f>MIN('Параметры'!$C$14,ROUND(D319+E319,2))</x:f>
        <x:v>26003.2</x:v>
      </x:c>
      <x:c r="H319" s="30" t="n">
        <x:f>ROUND(D319-F319,2)</x:f>
        <x:v>510338.68</x:v>
      </x:c>
      <x:c r="I319" s="33" t="n">
        <x:f>IF(AND(ISNUMBER('Параметры'!$C$7),'Параметры'!$C$7&gt;=0),'Параметры'!$C$7*C319/365,NA())</x:f>
        <x:v>0.00636986301369863</x:v>
      </x:c>
      <x:c r="J319" s="32" t="n">
        <x:f>J318/(1+I319)</x:f>
        <x:v>0.1422929909489759</x:v>
      </x:c>
      <x:c r="K319" s="33" t="n">
        <x:f>IF(AND(ISNUMBER('Параметры'!$C$8),'Параметры'!$C$8&gt;=0),'Параметры'!$C$8*C319/365,NA())</x:f>
        <x:v>0.00636986301369863</x:v>
      </x:c>
      <x:c r="L319" s="32" t="n">
        <x:f>L318/(1+K319)</x:f>
        <x:v>0.1422929909489759</x:v>
      </x:c>
      <x:c r="M319" s="30" t="n">
        <x:f>E319*L319</x:f>
        <x:v>483.0562456735834</x:v>
      </x:c>
      <x:c r="N319" s="30" t="n">
        <x:f>F319*L319</x:f>
        <x:v>3217.0168565708273</x:v>
      </x:c>
      <x:c r="O319" s="30" t="n">
        <x:f>G319*L319</x:f>
        <x:v>3700.07310224441</x:v>
      </x:c>
    </x:row>
    <x:row r="320" ht="21" customHeight="1">
      <x:c r="A320" s="28" t="n">
        <x:v>314</x:v>
      </x:c>
      <x:c r="B320" s="29" t="n">
        <x:v>54353</x:v>
      </x:c>
      <x:c r="C320" s="28" t="n">
        <x:f>B320-B319</x:f>
        <x:v>30</x:v>
      </x:c>
      <x:c r="D320" s="30" t="n">
        <x:f>H319</x:f>
        <x:v>510338.68</x:v>
      </x:c>
      <x:c r="E320" s="30" t="n">
        <x:f>ROUND(D320*I320,2)</x:f>
        <x:v>3145.92</x:v>
      </x:c>
      <x:c r="F320" s="30" t="n">
        <x:f>IF(G320&gt;=E320,ROUND(G320-E320,2),NA())</x:f>
        <x:v>22857.28</x:v>
      </x:c>
      <x:c r="G320" s="30" t="n">
        <x:f>MIN('Параметры'!$C$14,ROUND(D320+E320,2))</x:f>
        <x:v>26003.2</x:v>
      </x:c>
      <x:c r="H320" s="30" t="n">
        <x:f>ROUND(D320-F320,2)</x:f>
        <x:v>487481.4</x:v>
      </x:c>
      <x:c r="I320" s="33" t="n">
        <x:f>IF(AND(ISNUMBER('Параметры'!$C$7),'Параметры'!$C$7&gt;=0),'Параметры'!$C$7*C320/365,NA())</x:f>
        <x:v>0.0061643835616438354</x:v>
      </x:c>
      <x:c r="J320" s="32" t="n">
        <x:f>J319/(1+I320)</x:f>
        <x:v>0.14142121632777727</x:v>
      </x:c>
      <x:c r="K320" s="33" t="n">
        <x:f>IF(AND(ISNUMBER('Параметры'!$C$8),'Параметры'!$C$8&gt;=0),'Параметры'!$C$8*C320/365,NA())</x:f>
        <x:v>0.0061643835616438354</x:v>
      </x:c>
      <x:c r="L320" s="32" t="n">
        <x:f>L319/(1+K320)</x:f>
        <x:v>0.14142121632777727</x:v>
      </x:c>
      <x:c r="M320" s="30" t="n">
        <x:f>E320*L320</x:f>
        <x:v>444.8998328698811</x:v>
      </x:c>
      <x:c r="N320" s="30" t="n">
        <x:f>F320*L320</x:f>
        <x:v>3232.5043395445764</x:v>
      </x:c>
      <x:c r="O320" s="30" t="n">
        <x:f>G320*L320</x:f>
        <x:v>3677.404172414458</x:v>
      </x:c>
    </x:row>
    <x:row r="321" ht="21" customHeight="1">
      <x:c r="A321" s="28" t="n">
        <x:v>315</x:v>
      </x:c>
      <x:c r="B321" s="29" t="n">
        <x:v>54384</x:v>
      </x:c>
      <x:c r="C321" s="28" t="n">
        <x:f>B321-B320</x:f>
        <x:v>31</x:v>
      </x:c>
      <x:c r="D321" s="30" t="n">
        <x:f>H320</x:f>
        <x:v>487481.4</x:v>
      </x:c>
      <x:c r="E321" s="30" t="n">
        <x:f>ROUND(D321*I321,2)</x:f>
        <x:v>3105.19</x:v>
      </x:c>
      <x:c r="F321" s="30" t="n">
        <x:f>IF(G321&gt;=E321,ROUND(G321-E321,2),NA())</x:f>
        <x:v>22898.01</x:v>
      </x:c>
      <x:c r="G321" s="30" t="n">
        <x:f>MIN('Параметры'!$C$14,ROUND(D321+E321,2))</x:f>
        <x:v>26003.2</x:v>
      </x:c>
      <x:c r="H321" s="30" t="n">
        <x:f>ROUND(D321-F321,2)</x:f>
        <x:v>464583.39</x:v>
      </x:c>
      <x:c r="I321" s="33" t="n">
        <x:f>IF(AND(ISNUMBER('Параметры'!$C$7),'Параметры'!$C$7&gt;=0),'Параметры'!$C$7*C321/365,NA())</x:f>
        <x:v>0.00636986301369863</x:v>
      </x:c>
      <x:c r="J321" s="32" t="n">
        <x:f>J320/(1+I321)</x:f>
        <x:v>0.14052608442016934</x:v>
      </x:c>
      <x:c r="K321" s="33" t="n">
        <x:f>IF(AND(ISNUMBER('Параметры'!$C$8),'Параметры'!$C$8&gt;=0),'Параметры'!$C$8*C321/365,NA())</x:f>
        <x:v>0.00636986301369863</x:v>
      </x:c>
      <x:c r="L321" s="32" t="n">
        <x:f>L320/(1+K321)</x:f>
        <x:v>0.14052608442016934</x:v>
      </x:c>
      <x:c r="M321" s="30" t="n">
        <x:f>E321*L321</x:f>
        <x:v>436.3601920806656</x:v>
      </x:c>
      <x:c r="N321" s="30" t="n">
        <x:f>F321*L321</x:f>
        <x:v>3217.7676863138813</x:v>
      </x:c>
      <x:c r="O321" s="30" t="n">
        <x:f>G321*L321</x:f>
        <x:v>3654.1278783945477</x:v>
      </x:c>
    </x:row>
    <x:row r="322" ht="21" customHeight="1">
      <x:c r="A322" s="28" t="n">
        <x:v>316</x:v>
      </x:c>
      <x:c r="B322" s="29" t="n">
        <x:v>54414</x:v>
      </x:c>
      <x:c r="C322" s="28" t="n">
        <x:f>B322-B321</x:f>
        <x:v>30</x:v>
      </x:c>
      <x:c r="D322" s="30" t="n">
        <x:f>H321</x:f>
        <x:v>464583.39</x:v>
      </x:c>
      <x:c r="E322" s="30" t="n">
        <x:f>ROUND(D322*I322,2)</x:f>
        <x:v>2863.87</x:v>
      </x:c>
      <x:c r="F322" s="30" t="n">
        <x:f>IF(G322&gt;=E322,ROUND(G322-E322,2),NA())</x:f>
        <x:v>23139.33</x:v>
      </x:c>
      <x:c r="G322" s="30" t="n">
        <x:f>MIN('Параметры'!$C$14,ROUND(D322+E322,2))</x:f>
        <x:v>26003.2</x:v>
      </x:c>
      <x:c r="H322" s="30" t="n">
        <x:f>ROUND(D322-F322,2)</x:f>
        <x:v>441444.06</x:v>
      </x:c>
      <x:c r="I322" s="33" t="n">
        <x:f>IF(AND(ISNUMBER('Параметры'!$C$7),'Параметры'!$C$7&gt;=0),'Параметры'!$C$7*C322/365,NA())</x:f>
        <x:v>0.0061643835616438354</x:v>
      </x:c>
      <x:c r="J322" s="32" t="n">
        <x:f>J321/(1+I322)</x:f>
        <x:v>0.13966513495809887</x:v>
      </x:c>
      <x:c r="K322" s="33" t="n">
        <x:f>IF(AND(ISNUMBER('Параметры'!$C$8),'Параметры'!$C$8&gt;=0),'Параметры'!$C$8*C322/365,NA())</x:f>
        <x:v>0.0061643835616438354</x:v>
      </x:c>
      <x:c r="L322" s="32" t="n">
        <x:f>L321/(1+K322)</x:f>
        <x:v>0.13966513495809887</x:v>
      </x:c>
      <x:c r="M322" s="30" t="n">
        <x:f>E322*L322</x:f>
        <x:v>399.9827900524506</x:v>
      </x:c>
      <x:c r="N322" s="30" t="n">
        <x:f>F322*L322</x:f>
        <x:v>3231.7576472899864</x:v>
      </x:c>
      <x:c r="O322" s="30" t="n">
        <x:f>G322*L322</x:f>
        <x:v>3631.740437342437</x:v>
      </x:c>
    </x:row>
    <x:row r="323" ht="21" customHeight="1">
      <x:c r="A323" s="28" t="n">
        <x:v>317</x:v>
      </x:c>
      <x:c r="B323" s="29" t="n">
        <x:v>54445</x:v>
      </x:c>
      <x:c r="C323" s="28" t="n">
        <x:f>B323-B322</x:f>
        <x:v>31</x:v>
      </x:c>
      <x:c r="D323" s="30" t="n">
        <x:f>H322</x:f>
        <x:v>441444.06</x:v>
      </x:c>
      <x:c r="E323" s="30" t="n">
        <x:f>ROUND(D323*I323,2)</x:f>
        <x:v>2811.94</x:v>
      </x:c>
      <x:c r="F323" s="30" t="n">
        <x:f>IF(G323&gt;=E323,ROUND(G323-E323,2),NA())</x:f>
        <x:v>23191.26</x:v>
      </x:c>
      <x:c r="G323" s="30" t="n">
        <x:f>MIN('Параметры'!$C$14,ROUND(D323+E323,2))</x:f>
        <x:v>26003.2</x:v>
      </x:c>
      <x:c r="H323" s="30" t="n">
        <x:f>ROUND(D323-F323,2)</x:f>
        <x:v>418252.8</x:v>
      </x:c>
      <x:c r="I323" s="33" t="n">
        <x:f>IF(AND(ISNUMBER('Параметры'!$C$7),'Параметры'!$C$7&gt;=0),'Параметры'!$C$7*C323/365,NA())</x:f>
        <x:v>0.00636986301369863</x:v>
      </x:c>
      <x:c r="J323" s="32" t="n">
        <x:f>J322/(1+I323)</x:f>
        <x:v>0.13878111824598405</x:v>
      </x:c>
      <x:c r="K323" s="33" t="n">
        <x:f>IF(AND(ISNUMBER('Параметры'!$C$8),'Параметры'!$C$8&gt;=0),'Параметры'!$C$8*C323/365,NA())</x:f>
        <x:v>0.00636986301369863</x:v>
      </x:c>
      <x:c r="L323" s="32" t="n">
        <x:f>L322/(1+K323)</x:f>
        <x:v>0.13878111824598405</x:v>
      </x:c>
      <x:c r="M323" s="30" t="n">
        <x:f>E323*L323</x:f>
        <x:v>390.2441776406124</x:v>
      </x:c>
      <x:c r="N323" s="30" t="n">
        <x:f>F323*L323</x:f>
        <x:v>3218.50899633336</x:v>
      </x:c>
      <x:c r="O323" s="30" t="n">
        <x:f>G323*L323</x:f>
        <x:v>3608.7531739739725</x:v>
      </x:c>
    </x:row>
    <x:row r="324" ht="21" customHeight="1">
      <x:c r="A324" s="28" t="n">
        <x:v>318</x:v>
      </x:c>
      <x:c r="B324" s="29" t="n">
        <x:v>54476</x:v>
      </x:c>
      <x:c r="C324" s="28" t="n">
        <x:f>B324-B323</x:f>
        <x:v>31</x:v>
      </x:c>
      <x:c r="D324" s="30" t="n">
        <x:f>H323</x:f>
        <x:v>418252.8</x:v>
      </x:c>
      <x:c r="E324" s="30" t="n">
        <x:f>ROUND(D324*I324,2)</x:f>
        <x:v>2664.21</x:v>
      </x:c>
      <x:c r="F324" s="30" t="n">
        <x:f>IF(G324&gt;=E324,ROUND(G324-E324,2),NA())</x:f>
        <x:v>23338.99</x:v>
      </x:c>
      <x:c r="G324" s="30" t="n">
        <x:f>MIN('Параметры'!$C$14,ROUND(D324+E324,2))</x:f>
        <x:v>26003.2</x:v>
      </x:c>
      <x:c r="H324" s="30" t="n">
        <x:f>ROUND(D324-F324,2)</x:f>
        <x:v>394913.81</x:v>
      </x:c>
      <x:c r="I324" s="33" t="n">
        <x:f>IF(AND(ISNUMBER('Параметры'!$C$7),'Параметры'!$C$7&gt;=0),'Параметры'!$C$7*C324/365,NA())</x:f>
        <x:v>0.00636986301369863</x:v>
      </x:c>
      <x:c r="J324" s="32" t="n">
        <x:f>J323/(1+I324)</x:f>
        <x:v>0.13790269695714744</x:v>
      </x:c>
      <x:c r="K324" s="33" t="n">
        <x:f>IF(AND(ISNUMBER('Параметры'!$C$8),'Параметры'!$C$8&gt;=0),'Параметры'!$C$8*C324/365,NA())</x:f>
        <x:v>0.00636986301369863</x:v>
      </x:c>
      <x:c r="L324" s="32" t="n">
        <x:f>L323/(1+K324)</x:f>
        <x:v>0.13790269695714744</x:v>
      </x:c>
      <x:c r="M324" s="30" t="n">
        <x:f>E324*L324</x:f>
        <x:v>367.4017442602018</x:v>
      </x:c>
      <x:c r="N324" s="30" t="n">
        <x:f>F324*L324</x:f>
        <x:v>3218.5096652558946</x:v>
      </x:c>
      <x:c r="O324" s="30" t="n">
        <x:f>G324*L324</x:f>
        <x:v>3585.9114095160962</x:v>
      </x:c>
    </x:row>
    <x:row r="325" ht="21" customHeight="1">
      <x:c r="A325" s="28" t="n">
        <x:v>319</x:v>
      </x:c>
      <x:c r="B325" s="29" t="n">
        <x:v>54504</x:v>
      </x:c>
      <x:c r="C325" s="28" t="n">
        <x:f>B325-B324</x:f>
        <x:v>28</x:v>
      </x:c>
      <x:c r="D325" s="30" t="n">
        <x:f>H324</x:f>
        <x:v>394913.81</x:v>
      </x:c>
      <x:c r="E325" s="30" t="n">
        <x:f>ROUND(D325*I325,2)</x:f>
        <x:v>2272.11</x:v>
      </x:c>
      <x:c r="F325" s="30" t="n">
        <x:f>IF(G325&gt;=E325,ROUND(G325-E325,2),NA())</x:f>
        <x:v>23731.09</x:v>
      </x:c>
      <x:c r="G325" s="30" t="n">
        <x:f>MIN('Параметры'!$C$14,ROUND(D325+E325,2))</x:f>
        <x:v>26003.2</x:v>
      </x:c>
      <x:c r="H325" s="30" t="n">
        <x:f>ROUND(D325-F325,2)</x:f>
        <x:v>371182.72</x:v>
      </x:c>
      <x:c r="I325" s="33" t="n">
        <x:f>IF(AND(ISNUMBER('Параметры'!$C$7),'Параметры'!$C$7&gt;=0),'Параметры'!$C$7*C325/365,NA())</x:f>
        <x:v>0.005753424657534247</x:v>
      </x:c>
      <x:c r="J325" s="32" t="n">
        <x:f>J324/(1+I325)</x:f>
        <x:v>0.1371138229075424</x:v>
      </x:c>
      <x:c r="K325" s="33" t="n">
        <x:f>IF(AND(ISNUMBER('Параметры'!$C$8),'Параметры'!$C$8&gt;=0),'Параметры'!$C$8*C325/365,NA())</x:f>
        <x:v>0.005753424657534247</x:v>
      </x:c>
      <x:c r="L325" s="32" t="n">
        <x:f>L324/(1+K325)</x:f>
        <x:v>0.1371138229075424</x:v>
      </x:c>
      <x:c r="M325" s="30" t="n">
        <x:f>E325*L325</x:f>
        <x:v>311.5376881664562</x:v>
      </x:c>
      <x:c r="N325" s="30" t="n">
        <x:f>F325*L325</x:f>
        <x:v>3253.86047166295</x:v>
      </x:c>
      <x:c r="O325" s="30" t="n">
        <x:f>G325*L325</x:f>
        <x:v>3565.3981598294067</x:v>
      </x:c>
    </x:row>
    <x:row r="326" ht="21" customHeight="1">
      <x:c r="A326" s="28" t="n">
        <x:v>320</x:v>
      </x:c>
      <x:c r="B326" s="29" t="n">
        <x:v>54535</x:v>
      </x:c>
      <x:c r="C326" s="28" t="n">
        <x:f>B326-B325</x:f>
        <x:v>31</x:v>
      </x:c>
      <x:c r="D326" s="30" t="n">
        <x:f>H325</x:f>
        <x:v>371182.72</x:v>
      </x:c>
      <x:c r="E326" s="30" t="n">
        <x:f>ROUND(D326*I326,2)</x:f>
        <x:v>2364.38</x:v>
      </x:c>
      <x:c r="F326" s="30" t="n">
        <x:f>IF(G326&gt;=E326,ROUND(G326-E326,2),NA())</x:f>
        <x:v>23638.82</x:v>
      </x:c>
      <x:c r="G326" s="30" t="n">
        <x:f>MIN('Параметры'!$C$14,ROUND(D326+E326,2))</x:f>
        <x:v>26003.2</x:v>
      </x:c>
      <x:c r="H326" s="30" t="n">
        <x:f>ROUND(D326-F326,2)</x:f>
        <x:v>347543.9</x:v>
      </x:c>
      <x:c r="I326" s="33" t="n">
        <x:f>IF(AND(ISNUMBER('Параметры'!$C$7),'Параметры'!$C$7&gt;=0),'Параметры'!$C$7*C326/365,NA())</x:f>
        <x:v>0.00636986301369863</x:v>
      </x:c>
      <x:c r="J326" s="32" t="n">
        <x:f>J325/(1+I326)</x:f>
        <x:v>0.1362459548390471</x:v>
      </x:c>
      <x:c r="K326" s="33" t="n">
        <x:f>IF(AND(ISNUMBER('Параметры'!$C$8),'Параметры'!$C$8&gt;=0),'Параметры'!$C$8*C326/365,NA())</x:f>
        <x:v>0.00636986301369863</x:v>
      </x:c>
      <x:c r="L326" s="32" t="n">
        <x:f>L325/(1+K326)</x:f>
        <x:v>0.1362459548390471</x:v>
      </x:c>
      <x:c r="M326" s="30" t="n">
        <x:f>E326*L326</x:f>
        <x:v>322.13721070234624</x:v>
      </x:c>
      <x:c r="N326" s="30" t="n">
        <x:f>F326*L326</x:f>
        <x:v>3220.6936021683637</x:v>
      </x:c>
      <x:c r="O326" s="30" t="n">
        <x:f>G326*L326</x:f>
        <x:v>3542.83081287071</x:v>
      </x:c>
    </x:row>
    <x:row r="327" ht="21" customHeight="1">
      <x:c r="A327" s="28" t="n">
        <x:v>321</x:v>
      </x:c>
      <x:c r="B327" s="29" t="n">
        <x:v>54565</x:v>
      </x:c>
      <x:c r="C327" s="28" t="n">
        <x:f>B327-B326</x:f>
        <x:v>30</x:v>
      </x:c>
      <x:c r="D327" s="30" t="n">
        <x:f>H326</x:f>
        <x:v>347543.9</x:v>
      </x:c>
      <x:c r="E327" s="30" t="n">
        <x:f>ROUND(D327*I327,2)</x:f>
        <x:v>2142.39</x:v>
      </x:c>
      <x:c r="F327" s="30" t="n">
        <x:f>IF(G327&gt;=E327,ROUND(G327-E327,2),NA())</x:f>
        <x:v>23860.81</x:v>
      </x:c>
      <x:c r="G327" s="30" t="n">
        <x:f>MIN('Параметры'!$C$14,ROUND(D327+E327,2))</x:f>
        <x:v>26003.2</x:v>
      </x:c>
      <x:c r="H327" s="30" t="n">
        <x:f>ROUND(D327-F327,2)</x:f>
        <x:v>323683.09</x:v>
      </x:c>
      <x:c r="I327" s="33" t="n">
        <x:f>IF(AND(ISNUMBER('Параметры'!$C$7),'Параметры'!$C$7&gt;=0),'Параметры'!$C$7*C327/365,NA())</x:f>
        <x:v>0.0061643835616438354</x:v>
      </x:c>
      <x:c r="J327" s="32" t="n">
        <x:f>J326/(1+I327)</x:f>
        <x:v>0.13541122809054376</x:v>
      </x:c>
      <x:c r="K327" s="33" t="n">
        <x:f>IF(AND(ISNUMBER('Параметры'!$C$8),'Параметры'!$C$8&gt;=0),'Параметры'!$C$8*C327/365,NA())</x:f>
        <x:v>0.0061643835616438354</x:v>
      </x:c>
      <x:c r="L327" s="32" t="n">
        <x:f>L326/(1+K327)</x:f>
        <x:v>0.13541122809054376</x:v>
      </x:c>
      <x:c r="M327" s="30" t="n">
        <x:f>E327*L327</x:f>
        <x:v>290.1036609489</x:v>
      </x:c>
      <x:c r="N327" s="30" t="n">
        <x:f>F327*L327</x:f>
        <x:v>3231.021585335128</x:v>
      </x:c>
      <x:c r="O327" s="30" t="n">
        <x:f>G327*L327</x:f>
        <x:v>3521.1252462840275</x:v>
      </x:c>
    </x:row>
    <x:row r="328" ht="21" customHeight="1">
      <x:c r="A328" s="28" t="n">
        <x:v>322</x:v>
      </x:c>
      <x:c r="B328" s="29" t="n">
        <x:v>54596</x:v>
      </x:c>
      <x:c r="C328" s="28" t="n">
        <x:f>B328-B327</x:f>
        <x:v>31</x:v>
      </x:c>
      <x:c r="D328" s="30" t="n">
        <x:f>H327</x:f>
        <x:v>323683.09</x:v>
      </x:c>
      <x:c r="E328" s="30" t="n">
        <x:f>ROUND(D328*I328,2)</x:f>
        <x:v>2061.82</x:v>
      </x:c>
      <x:c r="F328" s="30" t="n">
        <x:f>IF(G328&gt;=E328,ROUND(G328-E328,2),NA())</x:f>
        <x:v>23941.38</x:v>
      </x:c>
      <x:c r="G328" s="30" t="n">
        <x:f>MIN('Параметры'!$C$14,ROUND(D328+E328,2))</x:f>
        <x:v>26003.2</x:v>
      </x:c>
      <x:c r="H328" s="30" t="n">
        <x:f>ROUND(D328-F328,2)</x:f>
        <x:v>299741.71</x:v>
      </x:c>
      <x:c r="I328" s="33" t="n">
        <x:f>IF(AND(ISNUMBER('Параметры'!$C$7),'Параметры'!$C$7&gt;=0),'Параметры'!$C$7*C328/365,NA())</x:f>
        <x:v>0.00636986301369863</x:v>
      </x:c>
      <x:c r="J328" s="32" t="n">
        <x:f>J327/(1+I328)</x:f>
        <x:v>0.13455413667201654</x:v>
      </x:c>
      <x:c r="K328" s="33" t="n">
        <x:f>IF(AND(ISNUMBER('Параметры'!$C$8),'Параметры'!$C$8&gt;=0),'Параметры'!$C$8*C328/365,NA())</x:f>
        <x:v>0.00636986301369863</x:v>
      </x:c>
      <x:c r="L328" s="32" t="n">
        <x:f>L327/(1+K328)</x:f>
        <x:v>0.13455413667201654</x:v>
      </x:c>
      <x:c r="M328" s="30" t="n">
        <x:f>E328*L328</x:f>
        <x:v>277.4264100730972</x:v>
      </x:c>
      <x:c r="N328" s="30" t="n">
        <x:f>F328*L328</x:f>
        <x:v>3221.4117166366836</x:v>
      </x:c>
      <x:c r="O328" s="30" t="n">
        <x:f>G328*L328</x:f>
        <x:v>3498.8381267097807</x:v>
      </x:c>
    </x:row>
    <x:row r="329" ht="21" customHeight="1">
      <x:c r="A329" s="28" t="n">
        <x:v>323</x:v>
      </x:c>
      <x:c r="B329" s="29" t="n">
        <x:v>54626</x:v>
      </x:c>
      <x:c r="C329" s="28" t="n">
        <x:f>B329-B328</x:f>
        <x:v>30</x:v>
      </x:c>
      <x:c r="D329" s="30" t="n">
        <x:f>H328</x:f>
        <x:v>299741.71</x:v>
      </x:c>
      <x:c r="E329" s="30" t="n">
        <x:f>ROUND(D329*I329,2)</x:f>
        <x:v>1847.72</x:v>
      </x:c>
      <x:c r="F329" s="30" t="n">
        <x:f>IF(G329&gt;=E329,ROUND(G329-E329,2),NA())</x:f>
        <x:v>24155.48</x:v>
      </x:c>
      <x:c r="G329" s="30" t="n">
        <x:f>MIN('Параметры'!$C$14,ROUND(D329+E329,2))</x:f>
        <x:v>26003.2</x:v>
      </x:c>
      <x:c r="H329" s="30" t="n">
        <x:f>ROUND(D329-F329,2)</x:f>
        <x:v>275586.23</x:v>
      </x:c>
      <x:c r="I329" s="33" t="n">
        <x:f>IF(AND(ISNUMBER('Параметры'!$C$7),'Параметры'!$C$7&gt;=0),'Параметры'!$C$7*C329/365,NA())</x:f>
        <x:v>0.0061643835616438354</x:v>
      </x:c>
      <x:c r="J329" s="32" t="n">
        <x:f>J328/(1+I329)</x:f>
        <x:v>0.13372977504502664</x:v>
      </x:c>
      <x:c r="K329" s="33" t="n">
        <x:f>IF(AND(ISNUMBER('Параметры'!$C$8),'Параметры'!$C$8&gt;=0),'Параметры'!$C$8*C329/365,NA())</x:f>
        <x:v>0.0061643835616438354</x:v>
      </x:c>
      <x:c r="L329" s="32" t="n">
        <x:f>L328/(1+K329)</x:f>
        <x:v>0.13372977504502664</x:v>
      </x:c>
      <x:c r="M329" s="30" t="n">
        <x:f>E329*L329</x:f>
        <x:v>247.09517994619662</x:v>
      </x:c>
      <x:c r="N329" s="30" t="n">
        <x:f>F329*L329</x:f>
        <x:v>3230.30690650464</x:v>
      </x:c>
      <x:c r="O329" s="30" t="n">
        <x:f>G329*L329</x:f>
        <x:v>3477.402086450837</x:v>
      </x:c>
    </x:row>
    <x:row r="330" ht="21" customHeight="1">
      <x:c r="A330" s="28" t="n">
        <x:v>324</x:v>
      </x:c>
      <x:c r="B330" s="29" t="n">
        <x:v>54657</x:v>
      </x:c>
      <x:c r="C330" s="28" t="n">
        <x:f>B330-B329</x:f>
        <x:v>31</x:v>
      </x:c>
      <x:c r="D330" s="30" t="n">
        <x:f>H329</x:f>
        <x:v>275586.23</x:v>
      </x:c>
      <x:c r="E330" s="30" t="n">
        <x:f>ROUND(D330*I330,2)</x:f>
        <x:v>1755.45</x:v>
      </x:c>
      <x:c r="F330" s="30" t="n">
        <x:f>IF(G330&gt;=E330,ROUND(G330-E330,2),NA())</x:f>
        <x:v>24247.75</x:v>
      </x:c>
      <x:c r="G330" s="30" t="n">
        <x:f>MIN('Параметры'!$C$14,ROUND(D330+E330,2))</x:f>
        <x:v>26003.2</x:v>
      </x:c>
      <x:c r="H330" s="30" t="n">
        <x:f>ROUND(D330-F330,2)</x:f>
        <x:v>251338.48</x:v>
      </x:c>
      <x:c r="I330" s="33" t="n">
        <x:f>IF(AND(ISNUMBER('Параметры'!$C$7),'Параметры'!$C$7&gt;=0),'Параметры'!$C$7*C330/365,NA())</x:f>
        <x:v>0.00636986301369863</x:v>
      </x:c>
      <x:c r="J330" s="32" t="n">
        <x:f>J329/(1+I330)</x:f>
        <x:v>0.13288332645868026</x:v>
      </x:c>
      <x:c r="K330" s="33" t="n">
        <x:f>IF(AND(ISNUMBER('Параметры'!$C$8),'Параметры'!$C$8&gt;=0),'Параметры'!$C$8*C330/365,NA())</x:f>
        <x:v>0.00636986301369863</x:v>
      </x:c>
      <x:c r="L330" s="32" t="n">
        <x:f>L329/(1+K330)</x:f>
        <x:v>0.13288332645868026</x:v>
      </x:c>
      <x:c r="M330" s="30" t="n">
        <x:f>E330*L330</x:f>
        <x:v>233.27003543189025</x:v>
      </x:c>
      <x:c r="N330" s="30" t="n">
        <x:f>F330*L330</x:f>
        <x:v>3222.121679138464</x:v>
      </x:c>
      <x:c r="O330" s="30" t="n">
        <x:f>G330*L330</x:f>
        <x:v>3455.3917145703545</x:v>
      </x:c>
    </x:row>
    <x:row r="331" ht="21" customHeight="1">
      <x:c r="A331" s="28" t="n">
        <x:v>325</x:v>
      </x:c>
      <x:c r="B331" s="29" t="n">
        <x:v>54688</x:v>
      </x:c>
      <x:c r="C331" s="28" t="n">
        <x:f>B331-B330</x:f>
        <x:v>31</x:v>
      </x:c>
      <x:c r="D331" s="30" t="n">
        <x:f>H330</x:f>
        <x:v>251338.48</x:v>
      </x:c>
      <x:c r="E331" s="30" t="n">
        <x:f>ROUND(D331*I331,2)</x:f>
        <x:v>1600.99</x:v>
      </x:c>
      <x:c r="F331" s="30" t="n">
        <x:f>IF(G331&gt;=E331,ROUND(G331-E331,2),NA())</x:f>
        <x:v>24402.21</x:v>
      </x:c>
      <x:c r="G331" s="30" t="n">
        <x:f>MIN('Параметры'!$C$14,ROUND(D331+E331,2))</x:f>
        <x:v>26003.2</x:v>
      </x:c>
      <x:c r="H331" s="30" t="n">
        <x:f>ROUND(D331-F331,2)</x:f>
        <x:v>226936.27</x:v>
      </x:c>
      <x:c r="I331" s="33" t="n">
        <x:f>IF(AND(ISNUMBER('Параметры'!$C$7),'Параметры'!$C$7&gt;=0),'Параметры'!$C$7*C331/365,NA())</x:f>
        <x:v>0.00636986301369863</x:v>
      </x:c>
      <x:c r="J331" s="32" t="n">
        <x:f>J330/(1+I331)</x:f>
        <x:v>0.13204223550648145</x:v>
      </x:c>
      <x:c r="K331" s="33" t="n">
        <x:f>IF(AND(ISNUMBER('Параметры'!$C$8),'Параметры'!$C$8&gt;=0),'Параметры'!$C$8*C331/365,NA())</x:f>
        <x:v>0.00636986301369863</x:v>
      </x:c>
      <x:c r="L331" s="32" t="n">
        <x:f>L330/(1+K331)</x:f>
        <x:v>0.13204223550648145</x:v>
      </x:c>
      <x:c r="M331" s="30" t="n">
        <x:f>E331*L331</x:f>
        <x:v>211.39829862352173</x:v>
      </x:c>
      <x:c r="N331" s="30" t="n">
        <x:f>F331*L331</x:f>
        <x:v>3222.1223596986165</x:v>
      </x:c>
      <x:c r="O331" s="30" t="n">
        <x:f>G331*L331</x:f>
        <x:v>3433.5206583221384</x:v>
      </x:c>
    </x:row>
    <x:row r="332" ht="21" customHeight="1">
      <x:c r="A332" s="28" t="n">
        <x:v>326</x:v>
      </x:c>
      <x:c r="B332" s="29" t="n">
        <x:v>54718</x:v>
      </x:c>
      <x:c r="C332" s="28" t="n">
        <x:f>B332-B331</x:f>
        <x:v>30</x:v>
      </x:c>
      <x:c r="D332" s="30" t="n">
        <x:f>H331</x:f>
        <x:v>226936.27</x:v>
      </x:c>
      <x:c r="E332" s="30" t="n">
        <x:f>ROUND(D332*I332,2)</x:f>
        <x:v>1398.92</x:v>
      </x:c>
      <x:c r="F332" s="30" t="n">
        <x:f>IF(G332&gt;=E332,ROUND(G332-E332,2),NA())</x:f>
        <x:v>24604.28</x:v>
      </x:c>
      <x:c r="G332" s="30" t="n">
        <x:f>MIN('Параметры'!$C$14,ROUND(D332+E332,2))</x:f>
        <x:v>26003.2</x:v>
      </x:c>
      <x:c r="H332" s="30" t="n">
        <x:f>ROUND(D332-F332,2)</x:f>
        <x:v>202331.99</x:v>
      </x:c>
      <x:c r="I332" s="33" t="n">
        <x:f>IF(AND(ISNUMBER('Параметры'!$C$7),'Параметры'!$C$7&gt;=0),'Параметры'!$C$7*C332/365,NA())</x:f>
        <x:v>0.0061643835616438354</x:v>
      </x:c>
      <x:c r="J332" s="32" t="n">
        <x:f>J331/(1+I332)</x:f>
        <x:v>0.13123326333523683</x:v>
      </x:c>
      <x:c r="K332" s="33" t="n">
        <x:f>IF(AND(ISNUMBER('Параметры'!$C$8),'Параметры'!$C$8&gt;=0),'Параметры'!$C$8*C332/365,NA())</x:f>
        <x:v>0.0061643835616438354</x:v>
      </x:c>
      <x:c r="L332" s="32" t="n">
        <x:f>L331/(1+K332)</x:f>
        <x:v>0.13123326333523683</x:v>
      </x:c>
      <x:c r="M332" s="30" t="n">
        <x:f>E332*L332</x:f>
        <x:v>183.5848367449295</x:v>
      </x:c>
      <x:c r="N332" s="30" t="n">
        <x:f>F332*L332</x:f>
        <x:v>3228.899956413901</x:v>
      </x:c>
      <x:c r="O332" s="30" t="n">
        <x:f>G332*L332</x:f>
        <x:v>3412.48479315883</x:v>
      </x:c>
    </x:row>
    <x:row r="333" ht="21" customHeight="1">
      <x:c r="A333" s="28" t="n">
        <x:v>327</x:v>
      </x:c>
      <x:c r="B333" s="29" t="n">
        <x:v>54749</x:v>
      </x:c>
      <x:c r="C333" s="28" t="n">
        <x:f>B333-B332</x:f>
        <x:v>31</x:v>
      </x:c>
      <x:c r="D333" s="30" t="n">
        <x:f>H332</x:f>
        <x:v>202331.99</x:v>
      </x:c>
      <x:c r="E333" s="30" t="n">
        <x:f>ROUND(D333*I333,2)</x:f>
        <x:v>1288.83</x:v>
      </x:c>
      <x:c r="F333" s="30" t="n">
        <x:f>IF(G333&gt;=E333,ROUND(G333-E333,2),NA())</x:f>
        <x:v>24714.37</x:v>
      </x:c>
      <x:c r="G333" s="30" t="n">
        <x:f>MIN('Параметры'!$C$14,ROUND(D333+E333,2))</x:f>
        <x:v>26003.2</x:v>
      </x:c>
      <x:c r="H333" s="30" t="n">
        <x:f>ROUND(D333-F333,2)</x:f>
        <x:v>177617.62</x:v>
      </x:c>
      <x:c r="I333" s="33" t="n">
        <x:f>IF(AND(ISNUMBER('Параметры'!$C$7),'Параметры'!$C$7&gt;=0),'Параметры'!$C$7*C333/365,NA())</x:f>
        <x:v>0.00636986301369863</x:v>
      </x:c>
      <x:c r="J333" s="32" t="n">
        <x:f>J332/(1+I333)</x:f>
        <x:v>0.13040261653130455</x:v>
      </x:c>
      <x:c r="K333" s="33" t="n">
        <x:f>IF(AND(ISNUMBER('Параметры'!$C$8),'Параметры'!$C$8&gt;=0),'Параметры'!$C$8*C333/365,NA())</x:f>
        <x:v>0.00636986301369863</x:v>
      </x:c>
      <x:c r="L333" s="32" t="n">
        <x:f>L332/(1+K333)</x:f>
        <x:v>0.13040261653130455</x:v>
      </x:c>
      <x:c r="M333" s="30" t="n">
        <x:f>E333*L333</x:f>
        <x:v>168.06680426404125</x:v>
      </x:c>
      <x:c r="N333" s="30" t="n">
        <x:f>F333*L333</x:f>
        <x:v>3222.818513922777</x:v>
      </x:c>
      <x:c r="O333" s="30" t="n">
        <x:f>G333*L333</x:f>
        <x:v>3390.8853181868185</x:v>
      </x:c>
    </x:row>
    <x:row r="334" ht="21" customHeight="1">
      <x:c r="A334" s="28" t="n">
        <x:v>328</x:v>
      </x:c>
      <x:c r="B334" s="29" t="n">
        <x:v>54779</x:v>
      </x:c>
      <x:c r="C334" s="28" t="n">
        <x:f>B334-B333</x:f>
        <x:v>30</x:v>
      </x:c>
      <x:c r="D334" s="30" t="n">
        <x:f>H333</x:f>
        <x:v>177617.62</x:v>
      </x:c>
      <x:c r="E334" s="30" t="n">
        <x:f>ROUND(D334*I334,2)</x:f>
        <x:v>1094.9</x:v>
      </x:c>
      <x:c r="F334" s="30" t="n">
        <x:f>IF(G334&gt;=E334,ROUND(G334-E334,2),NA())</x:f>
        <x:v>24908.3</x:v>
      </x:c>
      <x:c r="G334" s="30" t="n">
        <x:f>MIN('Параметры'!$C$14,ROUND(D334+E334,2))</x:f>
        <x:v>26003.2</x:v>
      </x:c>
      <x:c r="H334" s="30" t="n">
        <x:f>ROUND(D334-F334,2)</x:f>
        <x:v>152709.32</x:v>
      </x:c>
      <x:c r="I334" s="33" t="n">
        <x:f>IF(AND(ISNUMBER('Параметры'!$C$7),'Параметры'!$C$7&gt;=0),'Параметры'!$C$7*C334/365,NA())</x:f>
        <x:v>0.0061643835616438354</x:v>
      </x:c>
      <x:c r="J334" s="32" t="n">
        <x:f>J333/(1+I334)</x:f>
        <x:v>0.12960368967713046</x:v>
      </x:c>
      <x:c r="K334" s="33" t="n">
        <x:f>IF(AND(ISNUMBER('Параметры'!$C$8),'Параметры'!$C$8&gt;=0),'Параметры'!$C$8*C334/365,NA())</x:f>
        <x:v>0.0061643835616438354</x:v>
      </x:c>
      <x:c r="L334" s="32" t="n">
        <x:f>L333/(1+K334)</x:f>
        <x:v>0.12960368967713046</x:v>
      </x:c>
      <x:c r="M334" s="30" t="n">
        <x:f>E334*L334</x:f>
        <x:v>141.90307982749016</x:v>
      </x:c>
      <x:c r="N334" s="30" t="n">
        <x:f>F334*L334</x:f>
        <x:v>3228.2075835848686</x:v>
      </x:c>
      <x:c r="O334" s="30" t="n">
        <x:f>G334*L334</x:f>
        <x:v>3370.110663412359</x:v>
      </x:c>
    </x:row>
    <x:row r="335" ht="21" customHeight="1">
      <x:c r="A335" s="28" t="n">
        <x:v>329</x:v>
      </x:c>
      <x:c r="B335" s="29" t="n">
        <x:v>54810</x:v>
      </x:c>
      <x:c r="C335" s="28" t="n">
        <x:f>B335-B334</x:f>
        <x:v>31</x:v>
      </x:c>
      <x:c r="D335" s="30" t="n">
        <x:f>H334</x:f>
        <x:v>152709.32</x:v>
      </x:c>
      <x:c r="E335" s="30" t="n">
        <x:f>ROUND(D335*I335,2)</x:f>
        <x:v>972.74</x:v>
      </x:c>
      <x:c r="F335" s="30" t="n">
        <x:f>IF(G335&gt;=E335,ROUND(G335-E335,2),NA())</x:f>
        <x:v>25030.46</x:v>
      </x:c>
      <x:c r="G335" s="30" t="n">
        <x:f>MIN('Параметры'!$C$14,ROUND(D335+E335,2))</x:f>
        <x:v>26003.2</x:v>
      </x:c>
      <x:c r="H335" s="30" t="n">
        <x:f>ROUND(D335-F335,2)</x:f>
        <x:v>127678.86</x:v>
      </x:c>
      <x:c r="I335" s="33" t="n">
        <x:f>IF(AND(ISNUMBER('Параметры'!$C$7),'Параметры'!$C$7&gt;=0),'Параметры'!$C$7*C335/365,NA())</x:f>
        <x:v>0.00636986301369863</x:v>
      </x:c>
      <x:c r="J335" s="32" t="n">
        <x:f>J334/(1+I335)</x:f>
        <x:v>0.12878335733247837</x:v>
      </x:c>
      <x:c r="K335" s="33" t="n">
        <x:f>IF(AND(ISNUMBER('Параметры'!$C$8),'Параметры'!$C$8&gt;=0),'Параметры'!$C$8*C335/365,NA())</x:f>
        <x:v>0.00636986301369863</x:v>
      </x:c>
      <x:c r="L335" s="32" t="n">
        <x:f>L334/(1+K335)</x:f>
        <x:v>0.12878335733247837</x:v>
      </x:c>
      <x:c r="M335" s="30" t="n">
        <x:f>E335*L335</x:f>
        <x:v>125.272723011595</x:v>
      </x:c>
      <x:c r="N335" s="30" t="n">
        <x:f>F335*L335</x:f>
        <x:v>3223.5066743763064</x:v>
      </x:c>
      <x:c r="O335" s="30" t="n">
        <x:f>G335*L335</x:f>
        <x:v>3348.7793973879016</x:v>
      </x:c>
    </x:row>
    <x:row r="336" ht="21" customHeight="1">
      <x:c r="A336" s="28" t="n">
        <x:v>330</x:v>
      </x:c>
      <x:c r="B336" s="29" t="n">
        <x:v>54841</x:v>
      </x:c>
      <x:c r="C336" s="28" t="n">
        <x:f>B336-B335</x:f>
        <x:v>31</x:v>
      </x:c>
      <x:c r="D336" s="30" t="n">
        <x:f>H335</x:f>
        <x:v>127678.86</x:v>
      </x:c>
      <x:c r="E336" s="30" t="n">
        <x:f>ROUND(D336*I336,2)</x:f>
        <x:v>813.3</x:v>
      </x:c>
      <x:c r="F336" s="30" t="n">
        <x:f>IF(G336&gt;=E336,ROUND(G336-E336,2),NA())</x:f>
        <x:v>25189.9</x:v>
      </x:c>
      <x:c r="G336" s="30" t="n">
        <x:f>MIN('Параметры'!$C$14,ROUND(D336+E336,2))</x:f>
        <x:v>26003.2</x:v>
      </x:c>
      <x:c r="H336" s="30" t="n">
        <x:f>ROUND(D336-F336,2)</x:f>
        <x:v>102488.96</x:v>
      </x:c>
      <x:c r="I336" s="33" t="n">
        <x:f>IF(AND(ISNUMBER('Параметры'!$C$7),'Параметры'!$C$7&gt;=0),'Параметры'!$C$7*C336/365,NA())</x:f>
        <x:v>0.00636986301369863</x:v>
      </x:c>
      <x:c r="J336" s="32" t="n">
        <x:f>J335/(1+I336)</x:f>
        <x:v>0.12796821731805513</x:v>
      </x:c>
      <x:c r="K336" s="33" t="n">
        <x:f>IF(AND(ISNUMBER('Параметры'!$C$8),'Параметры'!$C$8&gt;=0),'Параметры'!$C$8*C336/365,NA())</x:f>
        <x:v>0.00636986301369863</x:v>
      </x:c>
      <x:c r="L336" s="32" t="n">
        <x:f>L335/(1+K336)</x:f>
        <x:v>0.12796821731805513</x:v>
      </x:c>
      <x:c r="M336" s="30" t="n">
        <x:f>E336*L336</x:f>
        <x:v>104.07655114477423</x:v>
      </x:c>
      <x:c r="N336" s="30" t="n">
        <x:f>F336*L336</x:f>
        <x:v>3223.506597420077</x:v>
      </x:c>
      <x:c r="O336" s="30" t="n">
        <x:f>G336*L336</x:f>
        <x:v>3327.5831485648514</x:v>
      </x:c>
    </x:row>
    <x:row r="337" ht="21" customHeight="1">
      <x:c r="A337" s="28" t="n">
        <x:v>331</x:v>
      </x:c>
      <x:c r="B337" s="29" t="n">
        <x:v>54869</x:v>
      </x:c>
      <x:c r="C337" s="28" t="n">
        <x:f>B337-B336</x:f>
        <x:v>28</x:v>
      </x:c>
      <x:c r="D337" s="30" t="n">
        <x:f>H336</x:f>
        <x:v>102488.96</x:v>
      </x:c>
      <x:c r="E337" s="30" t="n">
        <x:f>ROUND(D337*I337,2)</x:f>
        <x:v>589.66</x:v>
      </x:c>
      <x:c r="F337" s="30" t="n">
        <x:f>IF(G337&gt;=E337,ROUND(G337-E337,2),NA())</x:f>
        <x:v>25413.54</x:v>
      </x:c>
      <x:c r="G337" s="30" t="n">
        <x:f>MIN('Параметры'!$C$14,ROUND(D337+E337,2))</x:f>
        <x:v>26003.2</x:v>
      </x:c>
      <x:c r="H337" s="30" t="n">
        <x:f>ROUND(D337-F337,2)</x:f>
        <x:v>77075.42</x:v>
      </x:c>
      <x:c r="I337" s="33" t="n">
        <x:f>IF(AND(ISNUMBER('Параметры'!$C$7),'Параметры'!$C$7&gt;=0),'Параметры'!$C$7*C337/365,NA())</x:f>
        <x:v>0.005753424657534247</x:v>
      </x:c>
      <x:c r="J337" s="32" t="n">
        <x:f>J336/(1+I337)</x:f>
        <x:v>0.12723617357965167</x:v>
      </x:c>
      <x:c r="K337" s="33" t="n">
        <x:f>IF(AND(ISNUMBER('Параметры'!$C$8),'Параметры'!$C$8&gt;=0),'Параметры'!$C$8*C337/365,NA())</x:f>
        <x:v>0.005753424657534247</x:v>
      </x:c>
      <x:c r="L337" s="32" t="n">
        <x:f>L336/(1+K337)</x:f>
        <x:v>0.12723617357965167</x:v>
      </x:c>
      <x:c r="M337" s="30" t="n">
        <x:f>E337*L337</x:f>
        <x:v>75.02608211297739</x:v>
      </x:c>
      <x:c r="N337" s="30" t="n">
        <x:f>F337*L337</x:f>
        <x:v>3233.521586713421</x:v>
      </x:c>
      <x:c r="O337" s="30" t="n">
        <x:f>G337*L337</x:f>
        <x:v>3308.5476688263984</x:v>
      </x:c>
    </x:row>
    <x:row r="338" ht="21" customHeight="1">
      <x:c r="A338" s="28" t="n">
        <x:v>332</x:v>
      </x:c>
      <x:c r="B338" s="29" t="n">
        <x:v>54900</x:v>
      </x:c>
      <x:c r="C338" s="28" t="n">
        <x:f>B338-B337</x:f>
        <x:v>31</x:v>
      </x:c>
      <x:c r="D338" s="30" t="n">
        <x:f>H337</x:f>
        <x:v>77075.42</x:v>
      </x:c>
      <x:c r="E338" s="30" t="n">
        <x:f>ROUND(D338*I338,2)</x:f>
        <x:v>490.96</x:v>
      </x:c>
      <x:c r="F338" s="30" t="n">
        <x:f>IF(G338&gt;=E338,ROUND(G338-E338,2),NA())</x:f>
        <x:v>25512.24</x:v>
      </x:c>
      <x:c r="G338" s="30" t="n">
        <x:f>MIN('Параметры'!$C$14,ROUND(D338+E338,2))</x:f>
        <x:v>26003.2</x:v>
      </x:c>
      <x:c r="H338" s="30" t="n">
        <x:f>ROUND(D338-F338,2)</x:f>
        <x:v>51563.18</x:v>
      </x:c>
      <x:c r="I338" s="33" t="n">
        <x:f>IF(AND(ISNUMBER('Параметры'!$C$7),'Параметры'!$C$7&gt;=0),'Параметры'!$C$7*C338/365,NA())</x:f>
        <x:v>0.00636986301369863</x:v>
      </x:c>
      <x:c r="J338" s="32" t="n">
        <x:f>J337/(1+I338)</x:f>
        <x:v>0.1264308265339219</x:v>
      </x:c>
      <x:c r="K338" s="33" t="n">
        <x:f>IF(AND(ISNUMBER('Параметры'!$C$8),'Параметры'!$C$8&gt;=0),'Параметры'!$C$8*C338/365,NA())</x:f>
        <x:v>0.00636986301369863</x:v>
      </x:c>
      <x:c r="L338" s="32" t="n">
        <x:f>L337/(1+K338)</x:f>
        <x:v>0.1264308265339219</x:v>
      </x:c>
      <x:c r="M338" s="30" t="n">
        <x:f>E338*L338</x:f>
        <x:v>62.072478595094296</x:v>
      </x:c>
      <x:c r="N338" s="30" t="n">
        <x:f>F338*L338</x:f>
        <x:v>3225.533589931784</x:v>
      </x:c>
      <x:c r="O338" s="30" t="n">
        <x:f>G338*L338</x:f>
        <x:v>3287.606068526878</x:v>
      </x:c>
    </x:row>
    <x:row r="339" ht="21" customHeight="1">
      <x:c r="A339" s="28" t="n">
        <x:v>333</x:v>
      </x:c>
      <x:c r="B339" s="29" t="n">
        <x:v>54930</x:v>
      </x:c>
      <x:c r="C339" s="28" t="n">
        <x:f>B339-B338</x:f>
        <x:v>30</x:v>
      </x:c>
      <x:c r="D339" s="30" t="n">
        <x:f>H338</x:f>
        <x:v>51563.18</x:v>
      </x:c>
      <x:c r="E339" s="30" t="n">
        <x:f>ROUND(D339*I339,2)</x:f>
        <x:v>317.86</x:v>
      </x:c>
      <x:c r="F339" s="30" t="n">
        <x:f>IF(G339&gt;=E339,ROUND(G339-E339,2),NA())</x:f>
        <x:v>25685.34</x:v>
      </x:c>
      <x:c r="G339" s="30" t="n">
        <x:f>MIN('Параметры'!$C$14,ROUND(D339+E339,2))</x:f>
        <x:v>26003.2</x:v>
      </x:c>
      <x:c r="H339" s="30" t="n">
        <x:f>ROUND(D339-F339,2)</x:f>
        <x:v>25877.84</x:v>
      </x:c>
      <x:c r="I339" s="33" t="n">
        <x:f>IF(AND(ISNUMBER('Параметры'!$C$7),'Параметры'!$C$7&gt;=0),'Параметры'!$C$7*C339/365,NA())</x:f>
        <x:v>0.0061643835616438354</x:v>
      </x:c>
      <x:c r="J339" s="32" t="n">
        <x:f>J338/(1+I339)</x:f>
        <x:v>0.1256562333148577</x:v>
      </x:c>
      <x:c r="K339" s="33" t="n">
        <x:f>IF(AND(ISNUMBER('Параметры'!$C$8),'Параметры'!$C$8&gt;=0),'Параметры'!$C$8*C339/365,NA())</x:f>
        <x:v>0.0061643835616438354</x:v>
      </x:c>
      <x:c r="L339" s="32" t="n">
        <x:f>L338/(1+K339)</x:f>
        <x:v>0.1256562333148577</x:v>
      </x:c>
      <x:c r="M339" s="30" t="n">
        <x:f>E339*L339</x:f>
        <x:v>39.94109032146067</x:v>
      </x:c>
      <x:c r="N339" s="30" t="n">
        <x:f>F339*L339</x:f>
        <x:v>3227.523075811447</x:v>
      </x:c>
      <x:c r="O339" s="30" t="n">
        <x:f>G339*L339</x:f>
        <x:v>3267.464166132908</x:v>
      </x:c>
    </x:row>
    <x:row r="340" ht="21" customHeight="1">
      <x:c r="A340" s="28" t="n">
        <x:v>334</x:v>
      </x:c>
      <x:c r="B340" s="29" t="n">
        <x:v>54954</x:v>
      </x:c>
      <x:c r="C340" s="28" t="n">
        <x:f>B340-B339</x:f>
        <x:v>24</x:v>
      </x:c>
      <x:c r="D340" s="37" t="n">
        <x:f>H339</x:f>
        <x:v>25877.84</x:v>
      </x:c>
      <x:c r="E340" s="37" t="n">
        <x:f>ROUND(D340*I340,2)</x:f>
        <x:v>127.62</x:v>
      </x:c>
      <x:c r="F340" s="37" t="n">
        <x:f>IF(G340&gt;=E340,ROUND(G340-E340,2),NA())</x:f>
        <x:v>25877.84</x:v>
      </x:c>
      <x:c r="G340" s="37" t="n">
        <x:f>ROUND(D340+E340,2)</x:f>
        <x:v>26005.46</x:v>
      </x:c>
      <x:c r="H340" s="37" t="n">
        <x:f>ROUND(D340-F340,2)</x:f>
        <x:v>0</x:v>
      </x:c>
      <x:c r="I340" s="38" t="n">
        <x:f>IF(AND(ISNUMBER('Параметры'!$C$7),'Параметры'!$C$7&gt;=0),'Параметры'!$C$7*C340/365,NA())</x:f>
        <x:v>0.004931506849315068</x:v>
      </x:c>
      <x:c r="J340" s="39" t="n">
        <x:f>J339/(1+I340)</x:f>
        <x:v>0.1250395996726365</x:v>
      </x:c>
      <x:c r="K340" s="38" t="n">
        <x:f>IF(AND(ISNUMBER('Параметры'!$C$8),'Параметры'!$C$8&gt;=0),'Параметры'!$C$8*C340/365,NA())</x:f>
        <x:v>0.004931506849315068</x:v>
      </x:c>
      <x:c r="L340" s="39" t="n">
        <x:f>L339/(1+K340)</x:f>
        <x:v>0.1250395996726365</x:v>
      </x:c>
      <x:c r="M340" s="37" t="n">
        <x:f>E340*L340</x:f>
        <x:v>15.957553710221871</x:v>
      </x:c>
      <x:c r="N340" s="37" t="n">
        <x:f>F340*L340</x:f>
        <x:v>3235.75475399254</x:v>
      </x:c>
      <x:c r="O340" s="37" t="n">
        <x:f>G340*L340</x:f>
        <x:v>3251.712307702762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7" hidden="0" customWidth="1"/>
    <x:col min="2" max="2" width="14" hidden="0" customWidth="1"/>
    <x:col min="3" max="3" width="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8" hidden="0" customWidth="1"/>
    <x:col min="14" max="14" width="18" hidden="0" customWidth="1"/>
    <x:col min="15" max="15" width="18" hidden="0" customWidth="1"/>
  </x:cols>
  <x:sheetData>
    <x:row r="1" ht="21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28" customHeight="1">
      <x:c r="A2" s="2"/>
      <x:c r="B2" s="4" t="str">
        <x:v>SIMPLE — график и приведённая стоимость</x:v>
      </x:c>
      <x:c r="C2" s="5"/>
      <x:c r="D2" s="5"/>
      <x:c r="E2" s="5"/>
      <x:c r="F2" s="5"/>
      <x:c r="G2" s="5"/>
      <x:c r="H2" s="5"/>
      <x:c r="I2" s="5"/>
      <x:c r="J2" s="5"/>
      <x:c r="K2" s="5"/>
      <x:c r="L2" s="2"/>
      <x:c r="M2" s="2"/>
      <x:c r="N2" s="2"/>
      <x:c r="O2" s="2"/>
    </x:row>
    <x:row r="3" ht="21" customHeight="1">
      <x:c r="A3" s="2"/>
      <x:c r="B3" s="2" t="str">
        <x:v>Суммы в RUB; ACT/365F; деньги округлены до копеек.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ht="21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 ht="36" customHeight="1">
      <x:c r="A5" s="13" t="str">
        <x:v>№</x:v>
      </x:c>
      <x:c r="B5" s="25" t="str">
        <x:v>Дата</x:v>
      </x:c>
      <x:c r="C5" s="25" t="str">
        <x:v>Дней</x:v>
      </x:c>
      <x:c r="D5" s="25" t="str">
        <x:v>Долг до</x:v>
      </x:c>
      <x:c r="E5" s="25" t="str">
        <x:v>Проценты</x:v>
      </x:c>
      <x:c r="F5" s="25" t="str">
        <x:v>Тело</x:v>
      </x:c>
      <x:c r="G5" s="25" t="str">
        <x:v>Платёж</x:v>
      </x:c>
      <x:c r="H5" s="25" t="str">
        <x:v>Долг после</x:v>
      </x:c>
      <x:c r="I5" s="25" t="str">
        <x:v>Ставка кредита за период</x:v>
      </x:c>
      <x:c r="J5" s="25" t="str">
        <x:v>DF кредита</x:v>
      </x:c>
      <x:c r="K5" s="25" t="str">
        <x:v>Ставка дисконта за период</x:v>
      </x:c>
      <x:c r="L5" s="25" t="str">
        <x:v>DF дисконта</x:v>
      </x:c>
      <x:c r="M5" s="25" t="str">
        <x:v>PV процентов</x:v>
      </x:c>
      <x:c r="N5" s="25" t="str">
        <x:v>PV тела</x:v>
      </x:c>
      <x:c r="O5" s="14" t="str">
        <x:v>PV платежа</x:v>
      </x:c>
    </x:row>
    <x:row r="6" ht="21" customHeight="1">
      <x:c r="A6" s="28" t="n">
        <x:v>0</x:v>
      </x:c>
      <x:c r="B6" s="29" t="n">
        <x:v>44804</x:v>
      </x:c>
      <x:c r="C6" s="28" t="n">
        <x:v>0</x:v>
      </x:c>
      <x:c r="D6" s="30" t="n">
        <x:v>0</x:v>
      </x:c>
      <x:c r="E6" s="30" t="n">
        <x:v>0</x:v>
      </x:c>
      <x:c r="F6" s="30" t="n">
        <x:v>0</x:v>
      </x:c>
      <x:c r="G6" s="30" t="n">
        <x:v>0</x:v>
      </x:c>
      <x:c r="H6" s="31" t="n">
        <x:f>IF(AND(ISNUMBER('Параметры'!$C$6),'Параметры'!$C$6&gt;0,ROUND('Параметры'!$C$6,2)='Параметры'!$C$6),'Параметры'!$C$6,NA())</x:f>
        <x:v>3646037.89</x:v>
      </x:c>
      <x:c r="I6" s="32" t="n">
        <x:v>0</x:v>
      </x:c>
      <x:c r="J6" s="32" t="n">
        <x:v>1</x:v>
      </x:c>
      <x:c r="K6" s="32" t="n">
        <x:v>0</x:v>
      </x:c>
      <x:c r="L6" s="32" t="n">
        <x:v>1</x:v>
      </x:c>
      <x:c r="M6" s="30" t="n">
        <x:v>0</x:v>
      </x:c>
      <x:c r="N6" s="30" t="n">
        <x:v>0</x:v>
      </x:c>
      <x:c r="O6" s="30" t="n">
        <x:v>0</x:v>
      </x:c>
    </x:row>
    <x:row r="7" ht="21" customHeight="1">
      <x:c r="A7" s="28" t="n">
        <x:v>1</x:v>
      </x:c>
      <x:c r="B7" s="29" t="n">
        <x:v>44826</x:v>
      </x:c>
      <x:c r="C7" s="28" t="n">
        <x:f>B7-B6</x:f>
        <x:v>22</x:v>
      </x:c>
      <x:c r="D7" s="30" t="n">
        <x:f>H6</x:f>
        <x:v>3646037.89</x:v>
      </x:c>
      <x:c r="E7" s="30" t="n">
        <x:f>ROUND(D7*I7,2)</x:f>
        <x:v>16482.09</x:v>
      </x:c>
      <x:c r="F7" s="30" t="n">
        <x:f>0</x:f>
        <x:v>0</x:v>
      </x:c>
      <x:c r="G7" s="30" t="n">
        <x:f>ROUND(E7+F7,2)</x:f>
        <x:v>16482.09</x:v>
      </x:c>
      <x:c r="H7" s="30" t="n">
        <x:f>ROUND(D7-F7,2)</x:f>
        <x:v>3646037.89</x:v>
      </x:c>
      <x:c r="I7" s="33" t="n">
        <x:f>IF(AND(ISNUMBER('Параметры'!$C$7),'Параметры'!$C$7&gt;=0),'Параметры'!$C$7*C7/365,NA())</x:f>
        <x:v>0.00452054794520548</x:v>
      </x:c>
      <x:c r="J7" s="32" t="n">
        <x:f>J6/(1+I7)</x:f>
        <x:v>0.9954997954452475</x:v>
      </x:c>
      <x:c r="K7" s="33" t="n">
        <x:f>IF(AND(ISNUMBER('Параметры'!$C$8),'Параметры'!$C$8&gt;=0),'Параметры'!$C$8*C7/365,NA())</x:f>
        <x:v>0.00452054794520548</x:v>
      </x:c>
      <x:c r="L7" s="32" t="n">
        <x:f>L6/(1+K7)</x:f>
        <x:v>0.9954997954452475</x:v>
      </x:c>
      <x:c r="M7" s="30" t="n">
        <x:f>E7*L7</x:f>
        <x:v>16407.917223510158</x:v>
      </x:c>
      <x:c r="N7" s="30" t="n">
        <x:f>F7*L7</x:f>
        <x:v>0</x:v>
      </x:c>
      <x:c r="O7" s="30" t="n">
        <x:f>G7*L7</x:f>
        <x:v>16407.917223510158</x:v>
      </x:c>
    </x:row>
    <x:row r="8" ht="21" customHeight="1">
      <x:c r="A8" s="28" t="n">
        <x:v>2</x:v>
      </x:c>
      <x:c r="B8" s="29" t="n">
        <x:v>44856</x:v>
      </x:c>
      <x:c r="C8" s="28" t="n">
        <x:f>B8-B7</x:f>
        <x:v>30</x:v>
      </x:c>
      <x:c r="D8" s="30" t="n">
        <x:f>H7</x:f>
        <x:v>3646037.89</x:v>
      </x:c>
      <x:c r="E8" s="30" t="n">
        <x:f>ROUND(D8*I8,2)</x:f>
        <x:v>22475.58</x:v>
      </x:c>
      <x:c r="F8" s="30" t="n">
        <x:f>0</x:f>
        <x:v>0</x:v>
      </x:c>
      <x:c r="G8" s="30" t="n">
        <x:f>ROUND(E8+F8,2)</x:f>
        <x:v>22475.58</x:v>
      </x:c>
      <x:c r="H8" s="30" t="n">
        <x:f>ROUND(D8-F8,2)</x:f>
        <x:v>3646037.89</x:v>
      </x:c>
      <x:c r="I8" s="33" t="n">
        <x:f>IF(AND(ISNUMBER('Параметры'!$C$7),'Параметры'!$C$7&gt;=0),'Параметры'!$C$7*C8/365,NA())</x:f>
        <x:v>0.0061643835616438354</x:v>
      </x:c>
      <x:c r="J8" s="32" t="n">
        <x:f>J7/(1+I8)</x:f>
        <x:v>0.9894007497277476</x:v>
      </x:c>
      <x:c r="K8" s="33" t="n">
        <x:f>IF(AND(ISNUMBER('Параметры'!$C$8),'Параметры'!$C$8&gt;=0),'Параметры'!$C$8*C8/365,NA())</x:f>
        <x:v>0.0061643835616438354</x:v>
      </x:c>
      <x:c r="L8" s="32" t="n">
        <x:f>L7/(1+K8)</x:f>
        <x:v>0.9894007497277476</x:v>
      </x:c>
      <x:c r="M8" s="30" t="n">
        <x:f>E8*L8</x:f>
        <x:v>22237.355702565972</x:v>
      </x:c>
      <x:c r="N8" s="30" t="n">
        <x:f>F8*L8</x:f>
        <x:v>0</x:v>
      </x:c>
      <x:c r="O8" s="30" t="n">
        <x:f>G8*L8</x:f>
        <x:v>22237.355702565972</x:v>
      </x:c>
    </x:row>
    <x:row r="9" ht="21" customHeight="1">
      <x:c r="A9" s="28" t="n">
        <x:v>3</x:v>
      </x:c>
      <x:c r="B9" s="29" t="n">
        <x:v>44887</x:v>
      </x:c>
      <x:c r="C9" s="28" t="n">
        <x:f>B9-B8</x:f>
        <x:v>31</x:v>
      </x:c>
      <x:c r="D9" s="30" t="n">
        <x:f>H8</x:f>
        <x:v>3646037.89</x:v>
      </x:c>
      <x:c r="E9" s="30" t="n">
        <x:f>ROUND(D9*I9,2)</x:f>
        <x:v>23224.76</x:v>
      </x:c>
      <x:c r="F9" s="30" t="n">
        <x:f>0</x:f>
        <x:v>0</x:v>
      </x:c>
      <x:c r="G9" s="30" t="n">
        <x:f>ROUND(E9+F9,2)</x:f>
        <x:v>23224.76</x:v>
      </x:c>
      <x:c r="H9" s="30" t="n">
        <x:f>ROUND(D9-F9,2)</x:f>
        <x:v>3646037.89</x:v>
      </x:c>
      <x:c r="I9" s="33" t="n">
        <x:f>IF(AND(ISNUMBER('Параметры'!$C$7),'Параметры'!$C$7&gt;=0),'Параметры'!$C$7*C9/365,NA())</x:f>
        <x:v>0.00636986301369863</x:v>
      </x:c>
      <x:c r="J9" s="32" t="n">
        <x:f>J8/(1+I9)</x:f>
        <x:v>0.9831382934747918</x:v>
      </x:c>
      <x:c r="K9" s="33" t="n">
        <x:f>IF(AND(ISNUMBER('Параметры'!$C$8),'Параметры'!$C$8&gt;=0),'Параметры'!$C$8*C9/365,NA())</x:f>
        <x:v>0.00636986301369863</x:v>
      </x:c>
      <x:c r="L9" s="32" t="n">
        <x:f>L8/(1+K9)</x:f>
        <x:v>0.9831382934747918</x:v>
      </x:c>
      <x:c r="M9" s="30" t="n">
        <x:f>E9*L9</x:f>
        <x:v>22833.150912761605</x:v>
      </x:c>
      <x:c r="N9" s="30" t="n">
        <x:f>F9*L9</x:f>
        <x:v>0</x:v>
      </x:c>
      <x:c r="O9" s="30" t="n">
        <x:f>G9*L9</x:f>
        <x:v>22833.150912761605</x:v>
      </x:c>
    </x:row>
    <x:row r="10" ht="21" customHeight="1">
      <x:c r="A10" s="28" t="n">
        <x:v>4</x:v>
      </x:c>
      <x:c r="B10" s="29" t="n">
        <x:v>44917</x:v>
      </x:c>
      <x:c r="C10" s="28" t="n">
        <x:f>B10-B9</x:f>
        <x:v>30</x:v>
      </x:c>
      <x:c r="D10" s="30" t="n">
        <x:f>H9</x:f>
        <x:v>3646037.89</x:v>
      </x:c>
      <x:c r="E10" s="30" t="n">
        <x:f>ROUND(D10*I10,2)</x:f>
        <x:v>22475.58</x:v>
      </x:c>
      <x:c r="F10" s="30" t="n">
        <x:f>0</x:f>
        <x:v>0</x:v>
      </x:c>
      <x:c r="G10" s="30" t="n">
        <x:f>ROUND(E10+F10,2)</x:f>
        <x:v>22475.58</x:v>
      </x:c>
      <x:c r="H10" s="30" t="n">
        <x:f>ROUND(D10-F10,2)</x:f>
        <x:v>3646037.89</x:v>
      </x:c>
      <x:c r="I10" s="33" t="n">
        <x:f>IF(AND(ISNUMBER('Параметры'!$C$7),'Параметры'!$C$7&gt;=0),'Параметры'!$C$7*C10/365,NA())</x:f>
        <x:v>0.0061643835616438354</x:v>
      </x:c>
      <x:c r="J10" s="32" t="n">
        <x:f>J9/(1+I10)</x:f>
        <x:v>0.9771149819422709</x:v>
      </x:c>
      <x:c r="K10" s="33" t="n">
        <x:f>IF(AND(ISNUMBER('Параметры'!$C$8),'Параметры'!$C$8&gt;=0),'Параметры'!$C$8*C10/365,NA())</x:f>
        <x:v>0.0061643835616438354</x:v>
      </x:c>
      <x:c r="L10" s="32" t="n">
        <x:f>L9/(1+K10)</x:f>
        <x:v>0.9771149819422709</x:v>
      </x:c>
      <x:c r="M10" s="30" t="n">
        <x:f>E10*L10</x:f>
        <x:v>21961.225945842067</x:v>
      </x:c>
      <x:c r="N10" s="30" t="n">
        <x:f>F10*L10</x:f>
        <x:v>0</x:v>
      </x:c>
      <x:c r="O10" s="30" t="n">
        <x:f>G10*L10</x:f>
        <x:v>21961.225945842067</x:v>
      </x:c>
    </x:row>
    <x:row r="11" ht="21" customHeight="1">
      <x:c r="A11" s="28" t="n">
        <x:v>5</x:v>
      </x:c>
      <x:c r="B11" s="29" t="n">
        <x:v>44948</x:v>
      </x:c>
      <x:c r="C11" s="28" t="n">
        <x:f>B11-B10</x:f>
        <x:v>31</x:v>
      </x:c>
      <x:c r="D11" s="30" t="n">
        <x:f>H10</x:f>
        <x:v>3646037.89</x:v>
      </x:c>
      <x:c r="E11" s="30" t="n">
        <x:f>ROUND(D11*I11,2)</x:f>
        <x:v>23224.76</x:v>
      </x:c>
      <x:c r="F11" s="30" t="n">
        <x:f>0</x:f>
        <x:v>0</x:v>
      </x:c>
      <x:c r="G11" s="30" t="n">
        <x:f>ROUND(E11+F11,2)</x:f>
        <x:v>23224.76</x:v>
      </x:c>
      <x:c r="H11" s="30" t="n">
        <x:f>ROUND(D11-F11,2)</x:f>
        <x:v>3646037.89</x:v>
      </x:c>
      <x:c r="I11" s="33" t="n">
        <x:f>IF(AND(ISNUMBER('Параметры'!$C$7),'Параметры'!$C$7&gt;=0),'Параметры'!$C$7*C11/365,NA())</x:f>
        <x:v>0.00636986301369863</x:v>
      </x:c>
      <x:c r="J11" s="32" t="n">
        <x:f>J10/(1+I11)</x:f>
        <x:v>0.9709302890054553</x:v>
      </x:c>
      <x:c r="K11" s="33" t="n">
        <x:f>IF(AND(ISNUMBER('Параметры'!$C$8),'Параметры'!$C$8&gt;=0),'Параметры'!$C$8*C11/365,NA())</x:f>
        <x:v>0.00636986301369863</x:v>
      </x:c>
      <x:c r="L11" s="32" t="n">
        <x:f>L10/(1+K11)</x:f>
        <x:v>0.9709302890054553</x:v>
      </x:c>
      <x:c r="M11" s="30" t="n">
        <x:f>E11*L11</x:f>
        <x:v>22549.622938882338</x:v>
      </x:c>
      <x:c r="N11" s="30" t="n">
        <x:f>F11*L11</x:f>
        <x:v>0</x:v>
      </x:c>
      <x:c r="O11" s="30" t="n">
        <x:f>G11*L11</x:f>
        <x:v>22549.622938882338</x:v>
      </x:c>
    </x:row>
    <x:row r="12" ht="21" customHeight="1">
      <x:c r="A12" s="28" t="n">
        <x:v>6</x:v>
      </x:c>
      <x:c r="B12" s="29" t="n">
        <x:v>44979</x:v>
      </x:c>
      <x:c r="C12" s="28" t="n">
        <x:f>B12-B11</x:f>
        <x:v>31</x:v>
      </x:c>
      <x:c r="D12" s="30" t="n">
        <x:f>H11</x:f>
        <x:v>3646037.89</x:v>
      </x:c>
      <x:c r="E12" s="30" t="n">
        <x:f>ROUND(D12*I12,2)</x:f>
        <x:v>23224.76</x:v>
      </x:c>
      <x:c r="F12" s="30" t="n">
        <x:f>0</x:f>
        <x:v>0</x:v>
      </x:c>
      <x:c r="G12" s="30" t="n">
        <x:f>ROUND(E12+F12,2)</x:f>
        <x:v>23224.76</x:v>
      </x:c>
      <x:c r="H12" s="30" t="n">
        <x:f>ROUND(D12-F12,2)</x:f>
        <x:v>3646037.89</x:v>
      </x:c>
      <x:c r="I12" s="33" t="n">
        <x:f>IF(AND(ISNUMBER('Параметры'!$C$7),'Параметры'!$C$7&gt;=0),'Параметры'!$C$7*C12/365,NA())</x:f>
        <x:v>0.00636986301369863</x:v>
      </x:c>
      <x:c r="J12" s="32" t="n">
        <x:f>J11/(1+I12)</x:f>
        <x:v>0.9647847423589225</x:v>
      </x:c>
      <x:c r="K12" s="33" t="n">
        <x:f>IF(AND(ISNUMBER('Параметры'!$C$8),'Параметры'!$C$8&gt;=0),'Параметры'!$C$8*C12/365,NA())</x:f>
        <x:v>0.00636986301369863</x:v>
      </x:c>
      <x:c r="L12" s="32" t="n">
        <x:f>L11/(1+K12)</x:f>
        <x:v>0.9647847423589225</x:v>
      </x:c>
      <x:c r="M12" s="30" t="n">
        <x:f>E12*L12</x:f>
        <x:v>22406.89409294781</x:v>
      </x:c>
      <x:c r="N12" s="30" t="n">
        <x:f>F12*L12</x:f>
        <x:v>0</x:v>
      </x:c>
      <x:c r="O12" s="30" t="n">
        <x:f>G12*L12</x:f>
        <x:v>22406.89409294781</x:v>
      </x:c>
    </x:row>
    <x:row r="13" ht="21" customHeight="1">
      <x:c r="A13" s="28" t="n">
        <x:v>7</x:v>
      </x:c>
      <x:c r="B13" s="29" t="n">
        <x:v>45007</x:v>
      </x:c>
      <x:c r="C13" s="28" t="n">
        <x:f>B13-B12</x:f>
        <x:v>28</x:v>
      </x:c>
      <x:c r="D13" s="30" t="n">
        <x:f>H12</x:f>
        <x:v>3646037.89</x:v>
      </x:c>
      <x:c r="E13" s="30" t="n">
        <x:f>ROUND(D13*I13,2)</x:f>
        <x:v>20977.2</x:v>
      </x:c>
      <x:c r="F13" s="30" t="n">
        <x:f>0</x:f>
        <x:v>0</x:v>
      </x:c>
      <x:c r="G13" s="30" t="n">
        <x:f>ROUND(E13+F13,2)</x:f>
        <x:v>20977.2</x:v>
      </x:c>
      <x:c r="H13" s="30" t="n">
        <x:f>ROUND(D13-F13,2)</x:f>
        <x:v>3646037.89</x:v>
      </x:c>
      <x:c r="I13" s="33" t="n">
        <x:f>IF(AND(ISNUMBER('Параметры'!$C$7),'Параметры'!$C$7&gt;=0),'Параметры'!$C$7*C13/365,NA())</x:f>
        <x:v>0.005753424657534247</x:v>
      </x:c>
      <x:c r="J13" s="32" t="n">
        <x:f>J12/(1+I13)</x:f>
        <x:v>0.9592656795451014</x:v>
      </x:c>
      <x:c r="K13" s="33" t="n">
        <x:f>IF(AND(ISNUMBER('Параметры'!$C$8),'Параметры'!$C$8&gt;=0),'Параметры'!$C$8*C13/365,NA())</x:f>
        <x:v>0.005753424657534247</x:v>
      </x:c>
      <x:c r="L13" s="32" t="n">
        <x:f>L12/(1+K13)</x:f>
        <x:v>0.9592656795451014</x:v>
      </x:c>
      <x:c r="M13" s="30" t="n">
        <x:f>E13*L13</x:f>
        <x:v>20122.708012953502</x:v>
      </x:c>
      <x:c r="N13" s="30" t="n">
        <x:f>F13*L13</x:f>
        <x:v>0</x:v>
      </x:c>
      <x:c r="O13" s="30" t="n">
        <x:f>G13*L13</x:f>
        <x:v>20122.708012953502</x:v>
      </x:c>
    </x:row>
    <x:row r="14" ht="21" customHeight="1">
      <x:c r="A14" s="28" t="n">
        <x:v>8</x:v>
      </x:c>
      <x:c r="B14" s="29" t="n">
        <x:v>45038</x:v>
      </x:c>
      <x:c r="C14" s="28" t="n">
        <x:f>B14-B13</x:f>
        <x:v>31</x:v>
      </x:c>
      <x:c r="D14" s="30" t="n">
        <x:f>H13</x:f>
        <x:v>3646037.89</x:v>
      </x:c>
      <x:c r="E14" s="30" t="n">
        <x:f>ROUND(D14*I14,2)</x:f>
        <x:v>23224.76</x:v>
      </x:c>
      <x:c r="F14" s="30" t="n">
        <x:f>0</x:f>
        <x:v>0</x:v>
      </x:c>
      <x:c r="G14" s="30" t="n">
        <x:f>ROUND(E14+F14,2)</x:f>
        <x:v>23224.76</x:v>
      </x:c>
      <x:c r="H14" s="30" t="n">
        <x:f>ROUND(D14-F14,2)</x:f>
        <x:v>3646037.89</x:v>
      </x:c>
      <x:c r="I14" s="33" t="n">
        <x:f>IF(AND(ISNUMBER('Параметры'!$C$7),'Параметры'!$C$7&gt;=0),'Параметры'!$C$7*C14/365,NA())</x:f>
        <x:v>0.00636986301369863</x:v>
      </x:c>
      <x:c r="J14" s="32" t="n">
        <x:f>J13/(1+I14)</x:f>
        <x:v>0.953193964565336</x:v>
      </x:c>
      <x:c r="K14" s="33" t="n">
        <x:f>IF(AND(ISNUMBER('Параметры'!$C$8),'Параметры'!$C$8&gt;=0),'Параметры'!$C$8*C14/365,NA())</x:f>
        <x:v>0.00636986301369863</x:v>
      </x:c>
      <x:c r="L14" s="32" t="n">
        <x:f>L13/(1+K14)</x:f>
        <x:v>0.953193964565336</x:v>
      </x:c>
      <x:c r="M14" s="30" t="n">
        <x:f>E14*L14</x:f>
        <x:v>22137.70106047843</x:v>
      </x:c>
      <x:c r="N14" s="30" t="n">
        <x:f>F14*L14</x:f>
        <x:v>0</x:v>
      </x:c>
      <x:c r="O14" s="30" t="n">
        <x:f>G14*L14</x:f>
        <x:v>22137.70106047843</x:v>
      </x:c>
    </x:row>
    <x:row r="15" ht="21" customHeight="1">
      <x:c r="A15" s="28" t="n">
        <x:v>9</x:v>
      </x:c>
      <x:c r="B15" s="29" t="n">
        <x:v>45068</x:v>
      </x:c>
      <x:c r="C15" s="28" t="n">
        <x:f>B15-B14</x:f>
        <x:v>30</x:v>
      </x:c>
      <x:c r="D15" s="30" t="n">
        <x:f>H14</x:f>
        <x:v>3646037.89</x:v>
      </x:c>
      <x:c r="E15" s="30" t="n">
        <x:f>ROUND(D15*I15,2)</x:f>
        <x:v>22475.58</x:v>
      </x:c>
      <x:c r="F15" s="30" t="n">
        <x:f>0</x:f>
        <x:v>0</x:v>
      </x:c>
      <x:c r="G15" s="30" t="n">
        <x:f>ROUND(E15+F15,2)</x:f>
        <x:v>22475.58</x:v>
      </x:c>
      <x:c r="H15" s="30" t="n">
        <x:f>ROUND(D15-F15,2)</x:f>
        <x:v>3646037.89</x:v>
      </x:c>
      <x:c r="I15" s="33" t="n">
        <x:f>IF(AND(ISNUMBER('Параметры'!$C$7),'Параметры'!$C$7&gt;=0),'Параметры'!$C$7*C15/365,NA())</x:f>
        <x:v>0.0061643835616438354</x:v>
      </x:c>
      <x:c r="J15" s="32" t="n">
        <x:f>J14/(1+I15)</x:f>
        <x:v>0.9473541104597621</x:v>
      </x:c>
      <x:c r="K15" s="33" t="n">
        <x:f>IF(AND(ISNUMBER('Параметры'!$C$8),'Параметры'!$C$8&gt;=0),'Параметры'!$C$8*C15/365,NA())</x:f>
        <x:v>0.0061643835616438354</x:v>
      </x:c>
      <x:c r="L15" s="32" t="n">
        <x:f>L14/(1+K15)</x:f>
        <x:v>0.9473541104597621</x:v>
      </x:c>
      <x:c r="M15" s="30" t="n">
        <x:f>E15*L15</x:f>
        <x:v>21292.33309796722</x:v>
      </x:c>
      <x:c r="N15" s="30" t="n">
        <x:f>F15*L15</x:f>
        <x:v>0</x:v>
      </x:c>
      <x:c r="O15" s="30" t="n">
        <x:f>G15*L15</x:f>
        <x:v>21292.33309796722</x:v>
      </x:c>
    </x:row>
    <x:row r="16" ht="21" customHeight="1">
      <x:c r="A16" s="28" t="n">
        <x:v>10</x:v>
      </x:c>
      <x:c r="B16" s="29" t="n">
        <x:v>45099</x:v>
      </x:c>
      <x:c r="C16" s="28" t="n">
        <x:f>B16-B15</x:f>
        <x:v>31</x:v>
      </x:c>
      <x:c r="D16" s="30" t="n">
        <x:f>H15</x:f>
        <x:v>3646037.89</x:v>
      </x:c>
      <x:c r="E16" s="30" t="n">
        <x:f>ROUND(D16*I16,2)</x:f>
        <x:v>23224.76</x:v>
      </x:c>
      <x:c r="F16" s="30" t="n">
        <x:f>0</x:f>
        <x:v>0</x:v>
      </x:c>
      <x:c r="G16" s="30" t="n">
        <x:f>ROUND(E16+F16,2)</x:f>
        <x:v>23224.76</x:v>
      </x:c>
      <x:c r="H16" s="30" t="n">
        <x:f>ROUND(D16-F16,2)</x:f>
        <x:v>3646037.89</x:v>
      </x:c>
      <x:c r="I16" s="33" t="n">
        <x:f>IF(AND(ISNUMBER('Параметры'!$C$7),'Параметры'!$C$7&gt;=0),'Параметры'!$C$7*C16/365,NA())</x:f>
        <x:v>0.00636986301369863</x:v>
      </x:c>
      <x:c r="J16" s="32" t="n">
        <x:f>J15/(1+I16)</x:f>
        <x:v>0.9413577902887449</x:v>
      </x:c>
      <x:c r="K16" s="33" t="n">
        <x:f>IF(AND(ISNUMBER('Параметры'!$C$8),'Параметры'!$C$8&gt;=0),'Параметры'!$C$8*C16/365,NA())</x:f>
        <x:v>0.00636986301369863</x:v>
      </x:c>
      <x:c r="L16" s="32" t="n">
        <x:f>L15/(1+K16)</x:f>
        <x:v>0.9413577902887449</x:v>
      </x:c>
      <x:c r="M16" s="30" t="n">
        <x:f>E16*L16</x:f>
        <x:v>21862.80875358643</x:v>
      </x:c>
      <x:c r="N16" s="30" t="n">
        <x:f>F16*L16</x:f>
        <x:v>0</x:v>
      </x:c>
      <x:c r="O16" s="30" t="n">
        <x:f>G16*L16</x:f>
        <x:v>21862.80875358643</x:v>
      </x:c>
    </x:row>
    <x:row r="17" ht="21" customHeight="1">
      <x:c r="A17" s="28" t="n">
        <x:v>11</x:v>
      </x:c>
      <x:c r="B17" s="29" t="n">
        <x:v>45129</x:v>
      </x:c>
      <x:c r="C17" s="28" t="n">
        <x:f>B17-B16</x:f>
        <x:v>30</x:v>
      </x:c>
      <x:c r="D17" s="30" t="n">
        <x:f>H16</x:f>
        <x:v>3646037.89</x:v>
      </x:c>
      <x:c r="E17" s="30" t="n">
        <x:f>ROUND(D17*I17,2)</x:f>
        <x:v>22475.58</x:v>
      </x:c>
      <x:c r="F17" s="30" t="n">
        <x:f>0</x:f>
        <x:v>0</x:v>
      </x:c>
      <x:c r="G17" s="30" t="n">
        <x:f>ROUND(E17+F17,2)</x:f>
        <x:v>22475.58</x:v>
      </x:c>
      <x:c r="H17" s="30" t="n">
        <x:f>ROUND(D17-F17,2)</x:f>
        <x:v>3646037.89</x:v>
      </x:c>
      <x:c r="I17" s="33" t="n">
        <x:f>IF(AND(ISNUMBER('Параметры'!$C$7),'Параметры'!$C$7&gt;=0),'Параметры'!$C$7*C17/365,NA())</x:f>
        <x:v>0.0061643835616438354</x:v>
      </x:c>
      <x:c r="J17" s="32" t="n">
        <x:f>J16/(1+I17)</x:f>
        <x:v>0.9355904518867035</x:v>
      </x:c>
      <x:c r="K17" s="33" t="n">
        <x:f>IF(AND(ISNUMBER('Параметры'!$C$8),'Параметры'!$C$8&gt;=0),'Параметры'!$C$8*C17/365,NA())</x:f>
        <x:v>0.0061643835616438354</x:v>
      </x:c>
      <x:c r="L17" s="32" t="n">
        <x:f>L16/(1+K17)</x:f>
        <x:v>0.9355904518867035</x:v>
      </x:c>
      <x:c r="M17" s="30" t="n">
        <x:f>E17*L17</x:f>
        <x:v>21027.938048615757</x:v>
      </x:c>
      <x:c r="N17" s="30" t="n">
        <x:f>F17*L17</x:f>
        <x:v>0</x:v>
      </x:c>
      <x:c r="O17" s="30" t="n">
        <x:f>G17*L17</x:f>
        <x:v>21027.938048615757</x:v>
      </x:c>
    </x:row>
    <x:row r="18" ht="21" customHeight="1">
      <x:c r="A18" s="28" t="n">
        <x:v>12</x:v>
      </x:c>
      <x:c r="B18" s="29" t="n">
        <x:v>45160</x:v>
      </x:c>
      <x:c r="C18" s="28" t="n">
        <x:f>B18-B17</x:f>
        <x:v>31</x:v>
      </x:c>
      <x:c r="D18" s="30" t="n">
        <x:f>H17</x:f>
        <x:v>3646037.89</x:v>
      </x:c>
      <x:c r="E18" s="30" t="n">
        <x:f>ROUND(D18*I18,2)</x:f>
        <x:v>23224.76</x:v>
      </x:c>
      <x:c r="F18" s="30" t="n">
        <x:f>0</x:f>
        <x:v>0</x:v>
      </x:c>
      <x:c r="G18" s="30" t="n">
        <x:f>ROUND(E18+F18,2)</x:f>
        <x:v>23224.76</x:v>
      </x:c>
      <x:c r="H18" s="30" t="n">
        <x:f>ROUND(D18-F18,2)</x:f>
        <x:v>3646037.89</x:v>
      </x:c>
      <x:c r="I18" s="33" t="n">
        <x:f>IF(AND(ISNUMBER('Параметры'!$C$7),'Параметры'!$C$7&gt;=0),'Параметры'!$C$7*C18/365,NA())</x:f>
        <x:v>0.00636986301369863</x:v>
      </x:c>
      <x:c r="J18" s="32" t="n">
        <x:f>J17/(1+I18)</x:f>
        <x:v>0.9296685903182381</x:v>
      </x:c>
      <x:c r="K18" s="33" t="n">
        <x:f>IF(AND(ISNUMBER('Параметры'!$C$8),'Параметры'!$C$8&gt;=0),'Параметры'!$C$8*C18/365,NA())</x:f>
        <x:v>0.00636986301369863</x:v>
      </x:c>
      <x:c r="L18" s="32" t="n">
        <x:f>L17/(1+K18)</x:f>
        <x:v>0.9296685903182381</x:v>
      </x:c>
      <x:c r="M18" s="30" t="n">
        <x:f>E18*L18</x:f>
        <x:v>21591.329889679404</x:v>
      </x:c>
      <x:c r="N18" s="30" t="n">
        <x:f>F18*L18</x:f>
        <x:v>0</x:v>
      </x:c>
      <x:c r="O18" s="30" t="n">
        <x:f>G18*L18</x:f>
        <x:v>21591.329889679404</x:v>
      </x:c>
    </x:row>
    <x:row r="19" ht="21" customHeight="1">
      <x:c r="A19" s="28" t="n">
        <x:v>13</x:v>
      </x:c>
      <x:c r="B19" s="29" t="n">
        <x:v>45191</x:v>
      </x:c>
      <x:c r="C19" s="28" t="n">
        <x:f>B19-B18</x:f>
        <x:v>31</x:v>
      </x:c>
      <x:c r="D19" s="30" t="n">
        <x:f>H18</x:f>
        <x:v>3646037.89</x:v>
      </x:c>
      <x:c r="E19" s="30" t="n">
        <x:f>ROUND(D19*I19,2)</x:f>
        <x:v>23224.76</x:v>
      </x:c>
      <x:c r="F19" s="30" t="n">
        <x:f>0</x:f>
        <x:v>0</x:v>
      </x:c>
      <x:c r="G19" s="30" t="n">
        <x:f>ROUND(E19+F19,2)</x:f>
        <x:v>23224.76</x:v>
      </x:c>
      <x:c r="H19" s="30" t="n">
        <x:f>ROUND(D19-F19,2)</x:f>
        <x:v>3646037.89</x:v>
      </x:c>
      <x:c r="I19" s="33" t="n">
        <x:f>IF(AND(ISNUMBER('Параметры'!$C$7),'Параметры'!$C$7&gt;=0),'Параметры'!$C$7*C19/365,NA())</x:f>
        <x:v>0.00636986301369863</x:v>
      </x:c>
      <x:c r="J19" s="32" t="n">
        <x:f>J18/(1+I19)</x:f>
        <x:v>0.9237842114371658</x:v>
      </x:c>
      <x:c r="K19" s="33" t="n">
        <x:f>IF(AND(ISNUMBER('Параметры'!$C$8),'Параметры'!$C$8&gt;=0),'Параметры'!$C$8*C19/365,NA())</x:f>
        <x:v>0.00636986301369863</x:v>
      </x:c>
      <x:c r="L19" s="32" t="n">
        <x:f>L18/(1+K19)</x:f>
        <x:v>0.9237842114371658</x:v>
      </x:c>
      <x:c r="M19" s="30" t="n">
        <x:f>E19*L19</x:f>
        <x:v>21454.66660241743</x:v>
      </x:c>
      <x:c r="N19" s="30" t="n">
        <x:f>F19*L19</x:f>
        <x:v>0</x:v>
      </x:c>
      <x:c r="O19" s="30" t="n">
        <x:f>G19*L19</x:f>
        <x:v>21454.66660241743</x:v>
      </x:c>
    </x:row>
    <x:row r="20" ht="21" customHeight="1">
      <x:c r="A20" s="28" t="n">
        <x:v>14</x:v>
      </x:c>
      <x:c r="B20" s="29" t="n">
        <x:v>45221</x:v>
      </x:c>
      <x:c r="C20" s="28" t="n">
        <x:f>B20-B19</x:f>
        <x:v>30</x:v>
      </x:c>
      <x:c r="D20" s="30" t="n">
        <x:f>H19</x:f>
        <x:v>3646037.89</x:v>
      </x:c>
      <x:c r="E20" s="30" t="n">
        <x:f>ROUND(D20*I20,2)</x:f>
        <x:v>22475.58</x:v>
      </x:c>
      <x:c r="F20" s="30" t="n">
        <x:f>0</x:f>
        <x:v>0</x:v>
      </x:c>
      <x:c r="G20" s="30" t="n">
        <x:f>ROUND(E20+F20,2)</x:f>
        <x:v>22475.58</x:v>
      </x:c>
      <x:c r="H20" s="30" t="n">
        <x:f>ROUND(D20-F20,2)</x:f>
        <x:v>3646037.89</x:v>
      </x:c>
      <x:c r="I20" s="33" t="n">
        <x:f>IF(AND(ISNUMBER('Параметры'!$C$7),'Параметры'!$C$7&gt;=0),'Параметры'!$C$7*C20/365,NA())</x:f>
        <x:v>0.0061643835616438354</x:v>
      </x:c>
      <x:c r="J20" s="32" t="n">
        <x:f>J19/(1+I20)</x:f>
        <x:v>0.9181245396176052</x:v>
      </x:c>
      <x:c r="K20" s="33" t="n">
        <x:f>IF(AND(ISNUMBER('Параметры'!$C$8),'Параметры'!$C$8&gt;=0),'Параметры'!$C$8*C20/365,NA())</x:f>
        <x:v>0.0061643835616438354</x:v>
      </x:c>
      <x:c r="L20" s="32" t="n">
        <x:f>L19/(1+K20)</x:f>
        <x:v>0.9181245396176052</x:v>
      </x:c>
      <x:c r="M20" s="30" t="n">
        <x:f>E20*L20</x:f>
        <x:v>20635.381540138656</x:v>
      </x:c>
      <x:c r="N20" s="30" t="n">
        <x:f>F20*L20</x:f>
        <x:v>0</x:v>
      </x:c>
      <x:c r="O20" s="30" t="n">
        <x:f>G20*L20</x:f>
        <x:v>20635.381540138656</x:v>
      </x:c>
    </x:row>
    <x:row r="21" ht="21" customHeight="1">
      <x:c r="A21" s="28" t="n">
        <x:v>15</x:v>
      </x:c>
      <x:c r="B21" s="29" t="n">
        <x:v>45252</x:v>
      </x:c>
      <x:c r="C21" s="28" t="n">
        <x:f>B21-B20</x:f>
        <x:v>31</x:v>
      </x:c>
      <x:c r="D21" s="30" t="n">
        <x:f>H20</x:f>
        <x:v>3646037.89</x:v>
      </x:c>
      <x:c r="E21" s="30" t="n">
        <x:f>ROUND(D21*I21,2)</x:f>
        <x:v>23224.76</x:v>
      </x:c>
      <x:c r="F21" s="30" t="n">
        <x:f>0</x:f>
        <x:v>0</x:v>
      </x:c>
      <x:c r="G21" s="30" t="n">
        <x:f>ROUND(E21+F21,2)</x:f>
        <x:v>23224.76</x:v>
      </x:c>
      <x:c r="H21" s="30" t="n">
        <x:f>ROUND(D21-F21,2)</x:f>
        <x:v>3646037.89</x:v>
      </x:c>
      <x:c r="I21" s="33" t="n">
        <x:f>IF(AND(ISNUMBER('Параметры'!$C$7),'Параметры'!$C$7&gt;=0),'Параметры'!$C$7*C21/365,NA())</x:f>
        <x:v>0.00636986301369863</x:v>
      </x:c>
      <x:c r="J21" s="32" t="n">
        <x:f>J20/(1+I21)</x:f>
        <x:v>0.9123132293212439</x:v>
      </x:c>
      <x:c r="K21" s="33" t="n">
        <x:f>IF(AND(ISNUMBER('Параметры'!$C$8),'Параметры'!$C$8&gt;=0),'Параметры'!$C$8*C21/365,NA())</x:f>
        <x:v>0.00636986301369863</x:v>
      </x:c>
      <x:c r="L21" s="32" t="n">
        <x:f>L20/(1+K21)</x:f>
        <x:v>0.9123132293212439</x:v>
      </x:c>
      <x:c r="M21" s="30" t="n">
        <x:f>E21*L21</x:f>
        <x:v>21188.255795810852</x:v>
      </x:c>
      <x:c r="N21" s="30" t="n">
        <x:f>F21*L21</x:f>
        <x:v>0</x:v>
      </x:c>
      <x:c r="O21" s="30" t="n">
        <x:f>G21*L21</x:f>
        <x:v>21188.255795810852</x:v>
      </x:c>
    </x:row>
    <x:row r="22" ht="21" customHeight="1">
      <x:c r="A22" s="28" t="n">
        <x:v>16</x:v>
      </x:c>
      <x:c r="B22" s="29" t="n">
        <x:v>45282</x:v>
      </x:c>
      <x:c r="C22" s="28" t="n">
        <x:f>B22-B21</x:f>
        <x:v>30</x:v>
      </x:c>
      <x:c r="D22" s="30" t="n">
        <x:f>H21</x:f>
        <x:v>3646037.89</x:v>
      </x:c>
      <x:c r="E22" s="30" t="n">
        <x:f>ROUND(D22*I22,2)</x:f>
        <x:v>22475.58</x:v>
      </x:c>
      <x:c r="F22" s="30" t="n">
        <x:f>0</x:f>
        <x:v>0</x:v>
      </x:c>
      <x:c r="G22" s="30" t="n">
        <x:f>ROUND(E22+F22,2)</x:f>
        <x:v>22475.58</x:v>
      </x:c>
      <x:c r="H22" s="30" t="n">
        <x:f>ROUND(D22-F22,2)</x:f>
        <x:v>3646037.89</x:v>
      </x:c>
      <x:c r="I22" s="33" t="n">
        <x:f>IF(AND(ISNUMBER('Параметры'!$C$7),'Параметры'!$C$7&gt;=0),'Параметры'!$C$7*C22/365,NA())</x:f>
        <x:v>0.0061643835616438354</x:v>
      </x:c>
      <x:c r="J22" s="32" t="n">
        <x:f>J21/(1+I22)</x:f>
        <x:v>0.9067238358128088</x:v>
      </x:c>
      <x:c r="K22" s="33" t="n">
        <x:f>IF(AND(ISNUMBER('Параметры'!$C$8),'Параметры'!$C$8&gt;=0),'Параметры'!$C$8*C22/365,NA())</x:f>
        <x:v>0.0061643835616438354</x:v>
      </x:c>
      <x:c r="L22" s="32" t="n">
        <x:f>L21/(1+K22)</x:f>
        <x:v>0.9067238358128088</x:v>
      </x:c>
      <x:c r="M22" s="30" t="n">
        <x:f>E22*L22</x:f>
        <x:v>20379.14410971765</x:v>
      </x:c>
      <x:c r="N22" s="30" t="n">
        <x:f>F22*L22</x:f>
        <x:v>0</x:v>
      </x:c>
      <x:c r="O22" s="30" t="n">
        <x:f>G22*L22</x:f>
        <x:v>20379.14410971765</x:v>
      </x:c>
    </x:row>
    <x:row r="23" ht="21" customHeight="1">
      <x:c r="A23" s="28" t="n">
        <x:v>17</x:v>
      </x:c>
      <x:c r="B23" s="29" t="n">
        <x:v>45313</x:v>
      </x:c>
      <x:c r="C23" s="28" t="n">
        <x:f>B23-B22</x:f>
        <x:v>31</x:v>
      </x:c>
      <x:c r="D23" s="30" t="n">
        <x:f>H22</x:f>
        <x:v>3646037.89</x:v>
      </x:c>
      <x:c r="E23" s="30" t="n">
        <x:f>ROUND(D23*I23,2)</x:f>
        <x:v>23224.76</x:v>
      </x:c>
      <x:c r="F23" s="30" t="n">
        <x:f>0</x:f>
        <x:v>0</x:v>
      </x:c>
      <x:c r="G23" s="30" t="n">
        <x:f>ROUND(E23+F23,2)</x:f>
        <x:v>23224.76</x:v>
      </x:c>
      <x:c r="H23" s="30" t="n">
        <x:f>ROUND(D23-F23,2)</x:f>
        <x:v>3646037.89</x:v>
      </x:c>
      <x:c r="I23" s="33" t="n">
        <x:f>IF(AND(ISNUMBER('Параметры'!$C$7),'Параметры'!$C$7&gt;=0),'Параметры'!$C$7*C23/365,NA())</x:f>
        <x:v>0.00636986301369863</x:v>
      </x:c>
      <x:c r="J23" s="32" t="n">
        <x:f>J22/(1+I23)</x:f>
        <x:v>0.9009846867805764</x:v>
      </x:c>
      <x:c r="K23" s="33" t="n">
        <x:f>IF(AND(ISNUMBER('Параметры'!$C$8),'Параметры'!$C$8&gt;=0),'Параметры'!$C$8*C23/365,NA())</x:f>
        <x:v>0.00636986301369863</x:v>
      </x:c>
      <x:c r="L23" s="32" t="n">
        <x:f>L22/(1+K23)</x:f>
        <x:v>0.9009846867805764</x:v>
      </x:c>
      <x:c r="M23" s="30" t="n">
        <x:f>E23*L23</x:f>
        <x:v>20925.153114154058</x:v>
      </x:c>
      <x:c r="N23" s="30" t="n">
        <x:f>F23*L23</x:f>
        <x:v>0</x:v>
      </x:c>
      <x:c r="O23" s="30" t="n">
        <x:f>G23*L23</x:f>
        <x:v>20925.153114154058</x:v>
      </x:c>
    </x:row>
    <x:row r="24" ht="21" customHeight="1">
      <x:c r="A24" s="28" t="n">
        <x:v>18</x:v>
      </x:c>
      <x:c r="B24" s="29" t="n">
        <x:v>45344</x:v>
      </x:c>
      <x:c r="C24" s="28" t="n">
        <x:f>B24-B23</x:f>
        <x:v>31</x:v>
      </x:c>
      <x:c r="D24" s="30" t="n">
        <x:f>H23</x:f>
        <x:v>3646037.89</x:v>
      </x:c>
      <x:c r="E24" s="30" t="n">
        <x:f>ROUND(D24*I24,2)</x:f>
        <x:v>23224.76</x:v>
      </x:c>
      <x:c r="F24" s="30" t="n">
        <x:f>0</x:f>
        <x:v>0</x:v>
      </x:c>
      <x:c r="G24" s="30" t="n">
        <x:f>ROUND(E24+F24,2)</x:f>
        <x:v>23224.76</x:v>
      </x:c>
      <x:c r="H24" s="30" t="n">
        <x:f>ROUND(D24-F24,2)</x:f>
        <x:v>3646037.89</x:v>
      </x:c>
      <x:c r="I24" s="33" t="n">
        <x:f>IF(AND(ISNUMBER('Параметры'!$C$7),'Параметры'!$C$7&gt;=0),'Параметры'!$C$7*C24/365,NA())</x:f>
        <x:v>0.00636986301369863</x:v>
      </x:c>
      <x:c r="J24" s="32" t="n">
        <x:f>J23/(1+I24)</x:f>
        <x:v>0.8952818639485752</x:v>
      </x:c>
      <x:c r="K24" s="33" t="n">
        <x:f>IF(AND(ISNUMBER('Параметры'!$C$8),'Параметры'!$C$8&gt;=0),'Параметры'!$C$8*C24/365,NA())</x:f>
        <x:v>0.00636986301369863</x:v>
      </x:c>
      <x:c r="L24" s="32" t="n">
        <x:f>L23/(1+K24)</x:f>
        <x:v>0.8952818639485752</x:v>
      </x:c>
      <x:c r="M24" s="30" t="n">
        <x:f>E24*L24</x:f>
        <x:v>20792.70642255831</x:v>
      </x:c>
      <x:c r="N24" s="30" t="n">
        <x:f>F24*L24</x:f>
        <x:v>0</x:v>
      </x:c>
      <x:c r="O24" s="30" t="n">
        <x:f>G24*L24</x:f>
        <x:v>20792.70642255831</x:v>
      </x:c>
    </x:row>
    <x:row r="25" ht="21" customHeight="1">
      <x:c r="A25" s="28" t="n">
        <x:v>19</x:v>
      </x:c>
      <x:c r="B25" s="29" t="n">
        <x:v>45373</x:v>
      </x:c>
      <x:c r="C25" s="28" t="n">
        <x:f>B25-B24</x:f>
        <x:v>29</x:v>
      </x:c>
      <x:c r="D25" s="30" t="n">
        <x:f>H24</x:f>
        <x:v>3646037.89</x:v>
      </x:c>
      <x:c r="E25" s="30" t="n">
        <x:f>ROUND(D25*I25,2)</x:f>
        <x:v>21726.39</x:v>
      </x:c>
      <x:c r="F25" s="30" t="n">
        <x:f>0</x:f>
        <x:v>0</x:v>
      </x:c>
      <x:c r="G25" s="30" t="n">
        <x:f>ROUND(E25+F25,2)</x:f>
        <x:v>21726.39</x:v>
      </x:c>
      <x:c r="H25" s="30" t="n">
        <x:f>ROUND(D25-F25,2)</x:f>
        <x:v>3646037.89</x:v>
      </x:c>
      <x:c r="I25" s="33" t="n">
        <x:f>IF(AND(ISNUMBER('Параметры'!$C$7),'Параметры'!$C$7&gt;=0),'Параметры'!$C$7*C25/365,NA())</x:f>
        <x:v>0.00595890410958904</x:v>
      </x:c>
      <x:c r="J25" s="32" t="n">
        <x:f>J24/(1+I25)</x:f>
        <x:v>0.8899785670081839</x:v>
      </x:c>
      <x:c r="K25" s="33" t="n">
        <x:f>IF(AND(ISNUMBER('Параметры'!$C$8),'Параметры'!$C$8&gt;=0),'Параметры'!$C$8*C25/365,NA())</x:f>
        <x:v>0.00595890410958904</x:v>
      </x:c>
      <x:c r="L25" s="32" t="n">
        <x:f>L24/(1+K25)</x:f>
        <x:v>0.8899785670081839</x:v>
      </x:c>
      <x:c r="M25" s="30" t="n">
        <x:f>E25*L25</x:f>
        <x:v>19336.021438460935</x:v>
      </x:c>
      <x:c r="N25" s="30" t="n">
        <x:f>F25*L25</x:f>
        <x:v>0</x:v>
      </x:c>
      <x:c r="O25" s="30" t="n">
        <x:f>G25*L25</x:f>
        <x:v>19336.021438460935</x:v>
      </x:c>
    </x:row>
    <x:row r="26" ht="21" customHeight="1">
      <x:c r="A26" s="28" t="n">
        <x:v>20</x:v>
      </x:c>
      <x:c r="B26" s="29" t="n">
        <x:v>45404</x:v>
      </x:c>
      <x:c r="C26" s="28" t="n">
        <x:f>B26-B25</x:f>
        <x:v>31</x:v>
      </x:c>
      <x:c r="D26" s="30" t="n">
        <x:f>H25</x:f>
        <x:v>3646037.89</x:v>
      </x:c>
      <x:c r="E26" s="30" t="n">
        <x:f>ROUND(D26*I26,2)</x:f>
        <x:v>23224.76</x:v>
      </x:c>
      <x:c r="F26" s="30" t="n">
        <x:f>0</x:f>
        <x:v>0</x:v>
      </x:c>
      <x:c r="G26" s="30" t="n">
        <x:f>ROUND(E26+F26,2)</x:f>
        <x:v>23224.76</x:v>
      </x:c>
      <x:c r="H26" s="30" t="n">
        <x:f>ROUND(D26-F26,2)</x:f>
        <x:v>3646037.89</x:v>
      </x:c>
      <x:c r="I26" s="33" t="n">
        <x:f>IF(AND(ISNUMBER('Параметры'!$C$7),'Параметры'!$C$7&gt;=0),'Параметры'!$C$7*C26/365,NA())</x:f>
        <x:v>0.00636986301369863</x:v>
      </x:c>
      <x:c r="J26" s="32" t="n">
        <x:f>J25/(1+I26)</x:f>
        <x:v>0.884345407903048</x:v>
      </x:c>
      <x:c r="K26" s="33" t="n">
        <x:f>IF(AND(ISNUMBER('Параметры'!$C$8),'Параметры'!$C$8&gt;=0),'Параметры'!$C$8*C26/365,NA())</x:f>
        <x:v>0.00636986301369863</x:v>
      </x:c>
      <x:c r="L26" s="32" t="n">
        <x:f>L25/(1+K26)</x:f>
        <x:v>0.884345407903048</x:v>
      </x:c>
      <x:c r="M26" s="30" t="n">
        <x:f>E26*L26</x:f>
        <x:v>20538.70985565039</x:v>
      </x:c>
      <x:c r="N26" s="30" t="n">
        <x:f>F26*L26</x:f>
        <x:v>0</x:v>
      </x:c>
      <x:c r="O26" s="30" t="n">
        <x:f>G26*L26</x:f>
        <x:v>20538.70985565039</x:v>
      </x:c>
    </x:row>
    <x:row r="27" ht="21" customHeight="1">
      <x:c r="A27" s="28" t="n">
        <x:v>21</x:v>
      </x:c>
      <x:c r="B27" s="29" t="n">
        <x:v>45434</x:v>
      </x:c>
      <x:c r="C27" s="28" t="n">
        <x:f>B27-B26</x:f>
        <x:v>30</x:v>
      </x:c>
      <x:c r="D27" s="30" t="n">
        <x:f>H26</x:f>
        <x:v>3646037.89</x:v>
      </x:c>
      <x:c r="E27" s="30" t="n">
        <x:f>ROUND(D27*I27,2)</x:f>
        <x:v>22475.58</x:v>
      </x:c>
      <x:c r="F27" s="30" t="n">
        <x:f>0</x:f>
        <x:v>0</x:v>
      </x:c>
      <x:c r="G27" s="30" t="n">
        <x:f>ROUND(E27+F27,2)</x:f>
        <x:v>22475.58</x:v>
      </x:c>
      <x:c r="H27" s="30" t="n">
        <x:f>ROUND(D27-F27,2)</x:f>
        <x:v>3646037.89</x:v>
      </x:c>
      <x:c r="I27" s="33" t="n">
        <x:f>IF(AND(ISNUMBER('Параметры'!$C$7),'Параметры'!$C$7&gt;=0),'Параметры'!$C$7*C27/365,NA())</x:f>
        <x:v>0.0061643835616438354</x:v>
      </x:c>
      <x:c r="J27" s="32" t="n">
        <x:f>J26/(1+I27)</x:f>
        <x:v>0.8789273625176652</x:v>
      </x:c>
      <x:c r="K27" s="33" t="n">
        <x:f>IF(AND(ISNUMBER('Параметры'!$C$8),'Параметры'!$C$8&gt;=0),'Параметры'!$C$8*C27/365,NA())</x:f>
        <x:v>0.0061643835616438354</x:v>
      </x:c>
      <x:c r="L27" s="32" t="n">
        <x:f>L26/(1+K27)</x:f>
        <x:v>0.8789273625176652</x:v>
      </x:c>
      <x:c r="M27" s="30" t="n">
        <x:f>E27*L27</x:f>
        <x:v>19754.402250454787</x:v>
      </x:c>
      <x:c r="N27" s="30" t="n">
        <x:f>F27*L27</x:f>
        <x:v>0</x:v>
      </x:c>
      <x:c r="O27" s="30" t="n">
        <x:f>G27*L27</x:f>
        <x:v>19754.402250454787</x:v>
      </x:c>
    </x:row>
    <x:row r="28" ht="21" customHeight="1">
      <x:c r="A28" s="28" t="n">
        <x:v>22</x:v>
      </x:c>
      <x:c r="B28" s="29" t="n">
        <x:v>45465</x:v>
      </x:c>
      <x:c r="C28" s="28" t="n">
        <x:f>B28-B27</x:f>
        <x:v>31</x:v>
      </x:c>
      <x:c r="D28" s="30" t="n">
        <x:f>H27</x:f>
        <x:v>3646037.89</x:v>
      </x:c>
      <x:c r="E28" s="30" t="n">
        <x:f>ROUND(D28*I28,2)</x:f>
        <x:v>23224.76</x:v>
      </x:c>
      <x:c r="F28" s="30" t="n">
        <x:f>0</x:f>
        <x:v>0</x:v>
      </x:c>
      <x:c r="G28" s="30" t="n">
        <x:f>ROUND(E28+F28,2)</x:f>
        <x:v>23224.76</x:v>
      </x:c>
      <x:c r="H28" s="30" t="n">
        <x:f>ROUND(D28-F28,2)</x:f>
        <x:v>3646037.89</x:v>
      </x:c>
      <x:c r="I28" s="33" t="n">
        <x:f>IF(AND(ISNUMBER('Параметры'!$C$7),'Параметры'!$C$7&gt;=0),'Параметры'!$C$7*C28/365,NA())</x:f>
        <x:v>0.00636986301369863</x:v>
      </x:c>
      <x:c r="J28" s="32" t="n">
        <x:f>J27/(1+I28)</x:f>
        <x:v>0.8733641525051326</x:v>
      </x:c>
      <x:c r="K28" s="33" t="n">
        <x:f>IF(AND(ISNUMBER('Параметры'!$C$8),'Параметры'!$C$8&gt;=0),'Параметры'!$C$8*C28/365,NA())</x:f>
        <x:v>0.00636986301369863</x:v>
      </x:c>
      <x:c r="L28" s="32" t="n">
        <x:f>L27/(1+K28)</x:f>
        <x:v>0.8733641525051326</x:v>
      </x:c>
      <x:c r="M28" s="30" t="n">
        <x:f>E28*L28</x:f>
        <x:v>20283.6728345351</x:v>
      </x:c>
      <x:c r="N28" s="30" t="n">
        <x:f>F28*L28</x:f>
        <x:v>0</x:v>
      </x:c>
      <x:c r="O28" s="30" t="n">
        <x:f>G28*L28</x:f>
        <x:v>20283.6728345351</x:v>
      </x:c>
    </x:row>
    <x:row r="29" ht="21" customHeight="1">
      <x:c r="A29" s="28" t="n">
        <x:v>23</x:v>
      </x:c>
      <x:c r="B29" s="29" t="n">
        <x:v>45495</x:v>
      </x:c>
      <x:c r="C29" s="28" t="n">
        <x:f>B29-B28</x:f>
        <x:v>30</x:v>
      </x:c>
      <x:c r="D29" s="30" t="n">
        <x:f>H28</x:f>
        <x:v>3646037.89</x:v>
      </x:c>
      <x:c r="E29" s="30" t="n">
        <x:f>ROUND(D29*I29,2)</x:f>
        <x:v>22475.58</x:v>
      </x:c>
      <x:c r="F29" s="30" t="n">
        <x:f>0</x:f>
        <x:v>0</x:v>
      </x:c>
      <x:c r="G29" s="30" t="n">
        <x:f>ROUND(E29+F29,2)</x:f>
        <x:v>22475.58</x:v>
      </x:c>
      <x:c r="H29" s="30" t="n">
        <x:f>ROUND(D29-F29,2)</x:f>
        <x:v>3646037.89</x:v>
      </x:c>
      <x:c r="I29" s="33" t="n">
        <x:f>IF(AND(ISNUMBER('Параметры'!$C$7),'Параметры'!$C$7&gt;=0),'Параметры'!$C$7*C29/365,NA())</x:f>
        <x:v>0.0061643835616438354</x:v>
      </x:c>
      <x:c r="J29" s="32" t="n">
        <x:f>J28/(1+I29)</x:f>
        <x:v>0.8680133850629635</x:v>
      </x:c>
      <x:c r="K29" s="33" t="n">
        <x:f>IF(AND(ISNUMBER('Параметры'!$C$8),'Параметры'!$C$8&gt;=0),'Параметры'!$C$8*C29/365,NA())</x:f>
        <x:v>0.0061643835616438354</x:v>
      </x:c>
      <x:c r="L29" s="32" t="n">
        <x:f>L28/(1+K29)</x:f>
        <x:v>0.8680133850629635</x:v>
      </x:c>
      <x:c r="M29" s="30" t="n">
        <x:f>E29*L29</x:f>
        <x:v>19509.104277053444</x:v>
      </x:c>
      <x:c r="N29" s="30" t="n">
        <x:f>F29*L29</x:f>
        <x:v>0</x:v>
      </x:c>
      <x:c r="O29" s="30" t="n">
        <x:f>G29*L29</x:f>
        <x:v>19509.104277053444</x:v>
      </x:c>
    </x:row>
    <x:row r="30" ht="21" customHeight="1">
      <x:c r="A30" s="28" t="n">
        <x:v>24</x:v>
      </x:c>
      <x:c r="B30" s="29" t="n">
        <x:v>45526</x:v>
      </x:c>
      <x:c r="C30" s="28" t="n">
        <x:f>B30-B29</x:f>
        <x:v>31</x:v>
      </x:c>
      <x:c r="D30" s="30" t="n">
        <x:f>H29</x:f>
        <x:v>3646037.89</x:v>
      </x:c>
      <x:c r="E30" s="30" t="n">
        <x:f>ROUND(D30*I30,2)</x:f>
        <x:v>23224.76</x:v>
      </x:c>
      <x:c r="F30" s="30" t="n">
        <x:f>0</x:f>
        <x:v>0</x:v>
      </x:c>
      <x:c r="G30" s="30" t="n">
        <x:f>ROUND(E30+F30,2)</x:f>
        <x:v>23224.76</x:v>
      </x:c>
      <x:c r="H30" s="30" t="n">
        <x:f>ROUND(D30-F30,2)</x:f>
        <x:v>3646037.89</x:v>
      </x:c>
      <x:c r="I30" s="33" t="n">
        <x:f>IF(AND(ISNUMBER('Параметры'!$C$7),'Параметры'!$C$7&gt;=0),'Параметры'!$C$7*C30/365,NA())</x:f>
        <x:v>0.00636986301369863</x:v>
      </x:c>
      <x:c r="J30" s="32" t="n">
        <x:f>J29/(1+I30)</x:f>
        <x:v>0.8625192555583794</x:v>
      </x:c>
      <x:c r="K30" s="33" t="n">
        <x:f>IF(AND(ISNUMBER('Параметры'!$C$8),'Параметры'!$C$8&gt;=0),'Параметры'!$C$8*C30/365,NA())</x:f>
        <x:v>0.00636986301369863</x:v>
      </x:c>
      <x:c r="L30" s="32" t="n">
        <x:f>L29/(1+K30)</x:f>
        <x:v>0.8625192555583794</x:v>
      </x:c>
      <x:c r="M30" s="30" t="n">
        <x:f>E30*L30</x:f>
        <x:v>20031.802705722024</x:v>
      </x:c>
      <x:c r="N30" s="30" t="n">
        <x:f>F30*L30</x:f>
        <x:v>0</x:v>
      </x:c>
      <x:c r="O30" s="30" t="n">
        <x:f>G30*L30</x:f>
        <x:v>20031.802705722024</x:v>
      </x:c>
    </x:row>
    <x:row r="31" ht="21" customHeight="1">
      <x:c r="A31" s="28" t="n">
        <x:v>25</x:v>
      </x:c>
      <x:c r="B31" s="29" t="n">
        <x:v>45557</x:v>
      </x:c>
      <x:c r="C31" s="28" t="n">
        <x:f>B31-B30</x:f>
        <x:v>31</x:v>
      </x:c>
      <x:c r="D31" s="30" t="n">
        <x:f>H30</x:f>
        <x:v>3646037.89</x:v>
      </x:c>
      <x:c r="E31" s="30" t="n">
        <x:f>ROUND(D31*I31,2)</x:f>
        <x:v>23224.76</x:v>
      </x:c>
      <x:c r="F31" s="30" t="n">
        <x:f>0</x:f>
        <x:v>0</x:v>
      </x:c>
      <x:c r="G31" s="30" t="n">
        <x:f>ROUND(E31+F31,2)</x:f>
        <x:v>23224.76</x:v>
      </x:c>
      <x:c r="H31" s="30" t="n">
        <x:f>ROUND(D31-F31,2)</x:f>
        <x:v>3646037.89</x:v>
      </x:c>
      <x:c r="I31" s="33" t="n">
        <x:f>IF(AND(ISNUMBER('Параметры'!$C$7),'Параметры'!$C$7&gt;=0),'Параметры'!$C$7*C31/365,NA())</x:f>
        <x:v>0.00636986301369863</x:v>
      </x:c>
      <x:c r="J31" s="32" t="n">
        <x:f>J30/(1+I31)</x:f>
        <x:v>0.8570599013919785</x:v>
      </x:c>
      <x:c r="K31" s="33" t="n">
        <x:f>IF(AND(ISNUMBER('Параметры'!$C$8),'Параметры'!$C$8&gt;=0),'Параметры'!$C$8*C31/365,NA())</x:f>
        <x:v>0.00636986301369863</x:v>
      </x:c>
      <x:c r="L31" s="32" t="n">
        <x:f>L30/(1+K31)</x:f>
        <x:v>0.8570599013919785</x:v>
      </x:c>
      <x:c r="M31" s="30" t="n">
        <x:f>E31*L31</x:f>
        <x:v>19905.010515452366</x:v>
      </x:c>
      <x:c r="N31" s="30" t="n">
        <x:f>F31*L31</x:f>
        <x:v>0</x:v>
      </x:c>
      <x:c r="O31" s="30" t="n">
        <x:f>G31*L31</x:f>
        <x:v>19905.010515452366</x:v>
      </x:c>
    </x:row>
    <x:row r="32" ht="21" customHeight="1">
      <x:c r="A32" s="28" t="n">
        <x:v>26</x:v>
      </x:c>
      <x:c r="B32" s="29" t="n">
        <x:v>45587</x:v>
      </x:c>
      <x:c r="C32" s="28" t="n">
        <x:f>B32-B31</x:f>
        <x:v>30</x:v>
      </x:c>
      <x:c r="D32" s="30" t="n">
        <x:f>H31</x:f>
        <x:v>3646037.89</x:v>
      </x:c>
      <x:c r="E32" s="30" t="n">
        <x:f>ROUND(D32*I32,2)</x:f>
        <x:v>22475.58</x:v>
      </x:c>
      <x:c r="F32" s="30" t="n">
        <x:f>0</x:f>
        <x:v>0</x:v>
      </x:c>
      <x:c r="G32" s="30" t="n">
        <x:f>ROUND(E32+F32,2)</x:f>
        <x:v>22475.58</x:v>
      </x:c>
      <x:c r="H32" s="30" t="n">
        <x:f>ROUND(D32-F32,2)</x:f>
        <x:v>3646037.89</x:v>
      </x:c>
      <x:c r="I32" s="33" t="n">
        <x:f>IF(AND(ISNUMBER('Параметры'!$C$7),'Параметры'!$C$7&gt;=0),'Параметры'!$C$7*C32/365,NA())</x:f>
        <x:v>0.0061643835616438354</x:v>
      </x:c>
      <x:c r="J32" s="32" t="n">
        <x:f>J31/(1+I32)</x:f>
        <x:v>0.8518090238477118</x:v>
      </x:c>
      <x:c r="K32" s="33" t="n">
        <x:f>IF(AND(ISNUMBER('Параметры'!$C$8),'Параметры'!$C$8&gt;=0),'Параметры'!$C$8*C32/365,NA())</x:f>
        <x:v>0.0061643835616438354</x:v>
      </x:c>
      <x:c r="L32" s="32" t="n">
        <x:f>L31/(1+K32)</x:f>
        <x:v>0.8518090238477118</x:v>
      </x:c>
      <x:c r="M32" s="30" t="n">
        <x:f>E32*L32</x:f>
        <x:v>19144.901860211157</x:v>
      </x:c>
      <x:c r="N32" s="30" t="n">
        <x:f>F32*L32</x:f>
        <x:v>0</x:v>
      </x:c>
      <x:c r="O32" s="30" t="n">
        <x:f>G32*L32</x:f>
        <x:v>19144.901860211157</x:v>
      </x:c>
    </x:row>
    <x:row r="33" ht="21" customHeight="1">
      <x:c r="A33" s="28" t="n">
        <x:v>27</x:v>
      </x:c>
      <x:c r="B33" s="29" t="n">
        <x:v>45618</x:v>
      </x:c>
      <x:c r="C33" s="28" t="n">
        <x:f>B33-B32</x:f>
        <x:v>31</x:v>
      </x:c>
      <x:c r="D33" s="30" t="n">
        <x:f>H32</x:f>
        <x:v>3646037.89</x:v>
      </x:c>
      <x:c r="E33" s="30" t="n">
        <x:f>ROUND(D33*I33,2)</x:f>
        <x:v>23224.76</x:v>
      </x:c>
      <x:c r="F33" s="30" t="n">
        <x:f>0</x:f>
        <x:v>0</x:v>
      </x:c>
      <x:c r="G33" s="30" t="n">
        <x:f>ROUND(E33+F33,2)</x:f>
        <x:v>23224.76</x:v>
      </x:c>
      <x:c r="H33" s="30" t="n">
        <x:f>ROUND(D33-F33,2)</x:f>
        <x:v>3646037.89</x:v>
      </x:c>
      <x:c r="I33" s="33" t="n">
        <x:f>IF(AND(ISNUMBER('Параметры'!$C$7),'Параметры'!$C$7&gt;=0),'Параметры'!$C$7*C33/365,NA())</x:f>
        <x:v>0.00636986301369863</x:v>
      </x:c>
      <x:c r="J33" s="32" t="n">
        <x:f>J32/(1+I33)</x:f>
        <x:v>0.8464174605714689</x:v>
      </x:c>
      <x:c r="K33" s="33" t="n">
        <x:f>IF(AND(ISNUMBER('Параметры'!$C$8),'Параметры'!$C$8&gt;=0),'Параметры'!$C$8*C33/365,NA())</x:f>
        <x:v>0.00636986301369863</x:v>
      </x:c>
      <x:c r="L33" s="32" t="n">
        <x:f>L32/(1+K33)</x:f>
        <x:v>0.8464174605714689</x:v>
      </x:c>
      <x:c r="M33" s="30" t="n">
        <x:f>E33*L33</x:f>
        <x:v>19657.842381581828</x:v>
      </x:c>
      <x:c r="N33" s="30" t="n">
        <x:f>F33*L33</x:f>
        <x:v>0</x:v>
      </x:c>
      <x:c r="O33" s="30" t="n">
        <x:f>G33*L33</x:f>
        <x:v>19657.842381581828</x:v>
      </x:c>
    </x:row>
    <x:row r="34" ht="21" customHeight="1">
      <x:c r="A34" s="28" t="n">
        <x:v>28</x:v>
      </x:c>
      <x:c r="B34" s="29" t="n">
        <x:v>45648</x:v>
      </x:c>
      <x:c r="C34" s="28" t="n">
        <x:f>B34-B33</x:f>
        <x:v>30</x:v>
      </x:c>
      <x:c r="D34" s="30" t="n">
        <x:f>H33</x:f>
        <x:v>3646037.89</x:v>
      </x:c>
      <x:c r="E34" s="30" t="n">
        <x:f>ROUND(D34*I34,2)</x:f>
        <x:v>22475.58</x:v>
      </x:c>
      <x:c r="F34" s="30" t="n">
        <x:f>0</x:f>
        <x:v>0</x:v>
      </x:c>
      <x:c r="G34" s="30" t="n">
        <x:f>ROUND(E34+F34,2)</x:f>
        <x:v>22475.58</x:v>
      </x:c>
      <x:c r="H34" s="30" t="n">
        <x:f>ROUND(D34-F34,2)</x:f>
        <x:v>3646037.89</x:v>
      </x:c>
      <x:c r="I34" s="33" t="n">
        <x:f>IF(AND(ISNUMBER('Параметры'!$C$7),'Параметры'!$C$7&gt;=0),'Параметры'!$C$7*C34/365,NA())</x:f>
        <x:v>0.0061643835616438354</x:v>
      </x:c>
      <x:c r="J34" s="32" t="n">
        <x:f>J33/(1+I34)</x:f>
        <x:v>0.8412317851833524</x:v>
      </x:c>
      <x:c r="K34" s="33" t="n">
        <x:f>IF(AND(ISNUMBER('Параметры'!$C$8),'Параметры'!$C$8&gt;=0),'Параметры'!$C$8*C34/365,NA())</x:f>
        <x:v>0.0061643835616438354</x:v>
      </x:c>
      <x:c r="L34" s="32" t="n">
        <x:f>L33/(1+K34)</x:f>
        <x:v>0.8412317851833524</x:v>
      </x:c>
      <x:c r="M34" s="30" t="n">
        <x:f>E34*L34</x:f>
        <x:v>18907.172286431254</x:v>
      </x:c>
      <x:c r="N34" s="30" t="n">
        <x:f>F34*L34</x:f>
        <x:v>0</x:v>
      </x:c>
      <x:c r="O34" s="30" t="n">
        <x:f>G34*L34</x:f>
        <x:v>18907.172286431254</x:v>
      </x:c>
    </x:row>
    <x:row r="35" ht="21" customHeight="1">
      <x:c r="A35" s="28" t="n">
        <x:v>29</x:v>
      </x:c>
      <x:c r="B35" s="29" t="n">
        <x:v>45679</x:v>
      </x:c>
      <x:c r="C35" s="28" t="n">
        <x:f>B35-B34</x:f>
        <x:v>31</x:v>
      </x:c>
      <x:c r="D35" s="30" t="n">
        <x:f>H34</x:f>
        <x:v>3646037.89</x:v>
      </x:c>
      <x:c r="E35" s="30" t="n">
        <x:f>ROUND(D35*I35,2)</x:f>
        <x:v>23224.76</x:v>
      </x:c>
      <x:c r="F35" s="30" t="n">
        <x:f>0</x:f>
        <x:v>0</x:v>
      </x:c>
      <x:c r="G35" s="30" t="n">
        <x:f>ROUND(E35+F35,2)</x:f>
        <x:v>23224.76</x:v>
      </x:c>
      <x:c r="H35" s="30" t="n">
        <x:f>ROUND(D35-F35,2)</x:f>
        <x:v>3646037.89</x:v>
      </x:c>
      <x:c r="I35" s="33" t="n">
        <x:f>IF(AND(ISNUMBER('Параметры'!$C$7),'Параметры'!$C$7&gt;=0),'Параметры'!$C$7*C35/365,NA())</x:f>
        <x:v>0.00636986301369863</x:v>
      </x:c>
      <x:c r="J35" s="32" t="n">
        <x:f>J34/(1+I35)</x:f>
        <x:v>0.8359071710118386</x:v>
      </x:c>
      <x:c r="K35" s="33" t="n">
        <x:f>IF(AND(ISNUMBER('Параметры'!$C$8),'Параметры'!$C$8&gt;=0),'Параметры'!$C$8*C35/365,NA())</x:f>
        <x:v>0.00636986301369863</x:v>
      </x:c>
      <x:c r="L35" s="32" t="n">
        <x:f>L34/(1+K35)</x:f>
        <x:v>0.8359071710118386</x:v>
      </x:c>
      <x:c r="M35" s="30" t="n">
        <x:f>E35*L35</x:f>
        <x:v>19413.74342902891</x:v>
      </x:c>
      <x:c r="N35" s="30" t="n">
        <x:f>F35*L35</x:f>
        <x:v>0</x:v>
      </x:c>
      <x:c r="O35" s="30" t="n">
        <x:f>G35*L35</x:f>
        <x:v>19413.74342902891</x:v>
      </x:c>
    </x:row>
    <x:row r="36" ht="21" customHeight="1">
      <x:c r="A36" s="28" t="n">
        <x:v>30</x:v>
      </x:c>
      <x:c r="B36" s="29" t="n">
        <x:v>45710</x:v>
      </x:c>
      <x:c r="C36" s="28" t="n">
        <x:f>B36-B35</x:f>
        <x:v>31</x:v>
      </x:c>
      <x:c r="D36" s="30" t="n">
        <x:f>H35</x:f>
        <x:v>3646037.89</x:v>
      </x:c>
      <x:c r="E36" s="30" t="n">
        <x:f>ROUND(D36*I36,2)</x:f>
        <x:v>23224.76</x:v>
      </x:c>
      <x:c r="F36" s="30" t="n">
        <x:f>0</x:f>
        <x:v>0</x:v>
      </x:c>
      <x:c r="G36" s="30" t="n">
        <x:f>ROUND(E36+F36,2)</x:f>
        <x:v>23224.76</x:v>
      </x:c>
      <x:c r="H36" s="30" t="n">
        <x:f>ROUND(D36-F36,2)</x:f>
        <x:v>3646037.89</x:v>
      </x:c>
      <x:c r="I36" s="33" t="n">
        <x:f>IF(AND(ISNUMBER('Параметры'!$C$7),'Параметры'!$C$7&gt;=0),'Параметры'!$C$7*C36/365,NA())</x:f>
        <x:v>0.00636986301369863</x:v>
      </x:c>
      <x:c r="J36" s="32" t="n">
        <x:f>J35/(1+I36)</x:f>
        <x:v>0.8306162592236334</x:v>
      </x:c>
      <x:c r="K36" s="33" t="n">
        <x:f>IF(AND(ISNUMBER('Параметры'!$C$8),'Параметры'!$C$8&gt;=0),'Параметры'!$C$8*C36/365,NA())</x:f>
        <x:v>0.00636986301369863</x:v>
      </x:c>
      <x:c r="L36" s="32" t="n">
        <x:f>L35/(1+K36)</x:f>
        <x:v>0.8306162592236334</x:v>
      </x:c>
      <x:c r="M36" s="30" t="n">
        <x:f>E36*L36</x:f>
        <x:v>19290.86327256667</x:v>
      </x:c>
      <x:c r="N36" s="30" t="n">
        <x:f>F36*L36</x:f>
        <x:v>0</x:v>
      </x:c>
      <x:c r="O36" s="30" t="n">
        <x:f>G36*L36</x:f>
        <x:v>19290.86327256667</x:v>
      </x:c>
    </x:row>
    <x:row r="37" ht="21" customHeight="1">
      <x:c r="A37" s="28" t="n">
        <x:v>31</x:v>
      </x:c>
      <x:c r="B37" s="29" t="n">
        <x:v>45738</x:v>
      </x:c>
      <x:c r="C37" s="28" t="n">
        <x:f>B37-B36</x:f>
        <x:v>28</x:v>
      </x:c>
      <x:c r="D37" s="30" t="n">
        <x:f>H36</x:f>
        <x:v>3646037.89</x:v>
      </x:c>
      <x:c r="E37" s="30" t="n">
        <x:f>ROUND(D37*I37,2)</x:f>
        <x:v>20977.2</x:v>
      </x:c>
      <x:c r="F37" s="30" t="n">
        <x:f>0</x:f>
        <x:v>0</x:v>
      </x:c>
      <x:c r="G37" s="30" t="n">
        <x:f>ROUND(E37+F37,2)</x:f>
        <x:v>20977.2</x:v>
      </x:c>
      <x:c r="H37" s="30" t="n">
        <x:f>ROUND(D37-F37,2)</x:f>
        <x:v>3646037.89</x:v>
      </x:c>
      <x:c r="I37" s="33" t="n">
        <x:f>IF(AND(ISNUMBER('Параметры'!$C$7),'Параметры'!$C$7&gt;=0),'Параметры'!$C$7*C37/365,NA())</x:f>
        <x:v>0.005753424657534247</x:v>
      </x:c>
      <x:c r="J37" s="32" t="n">
        <x:f>J36/(1+I37)</x:f>
        <x:v>0.8258647088439831</x:v>
      </x:c>
      <x:c r="K37" s="33" t="n">
        <x:f>IF(AND(ISNUMBER('Параметры'!$C$8),'Параметры'!$C$8&gt;=0),'Параметры'!$C$8*C37/365,NA())</x:f>
        <x:v>0.005753424657534247</x:v>
      </x:c>
      <x:c r="L37" s="32" t="n">
        <x:f>L36/(1+K37)</x:f>
        <x:v>0.8258647088439831</x:v>
      </x:c>
      <x:c r="M37" s="30" t="n">
        <x:f>E37*L37</x:f>
        <x:v>17324.329170362</x:v>
      </x:c>
      <x:c r="N37" s="30" t="n">
        <x:f>F37*L37</x:f>
        <x:v>0</x:v>
      </x:c>
      <x:c r="O37" s="30" t="n">
        <x:f>G37*L37</x:f>
        <x:v>17324.329170362</x:v>
      </x:c>
    </x:row>
    <x:row r="38" ht="21" customHeight="1">
      <x:c r="A38" s="28" t="n">
        <x:v>32</x:v>
      </x:c>
      <x:c r="B38" s="29" t="n">
        <x:v>45769</x:v>
      </x:c>
      <x:c r="C38" s="28" t="n">
        <x:f>B38-B37</x:f>
        <x:v>31</x:v>
      </x:c>
      <x:c r="D38" s="30" t="n">
        <x:f>H37</x:f>
        <x:v>3646037.89</x:v>
      </x:c>
      <x:c r="E38" s="30" t="n">
        <x:f>ROUND(D38*I38,2)</x:f>
        <x:v>23224.76</x:v>
      </x:c>
      <x:c r="F38" s="30" t="n">
        <x:f>0</x:f>
        <x:v>0</x:v>
      </x:c>
      <x:c r="G38" s="30" t="n">
        <x:f>ROUND(E38+F38,2)</x:f>
        <x:v>23224.76</x:v>
      </x:c>
      <x:c r="H38" s="30" t="n">
        <x:f>ROUND(D38-F38,2)</x:f>
        <x:v>3646037.89</x:v>
      </x:c>
      <x:c r="I38" s="33" t="n">
        <x:f>IF(AND(ISNUMBER('Параметры'!$C$7),'Параметры'!$C$7&gt;=0),'Параметры'!$C$7*C38/365,NA())</x:f>
        <x:v>0.00636986301369863</x:v>
      </x:c>
      <x:c r="J38" s="32" t="n">
        <x:f>J37/(1+I38)</x:f>
        <x:v>0.820637361268778</x:v>
      </x:c>
      <x:c r="K38" s="33" t="n">
        <x:f>IF(AND(ISNUMBER('Параметры'!$C$8),'Параметры'!$C$8&gt;=0),'Параметры'!$C$8*C38/365,NA())</x:f>
        <x:v>0.00636986301369863</x:v>
      </x:c>
      <x:c r="L38" s="32" t="n">
        <x:f>L37/(1+K38)</x:f>
        <x:v>0.820637361268778</x:v>
      </x:c>
      <x:c r="M38" s="30" t="n">
        <x:f>E38*L38</x:f>
        <x:v>19059.10576250066</x:v>
      </x:c>
      <x:c r="N38" s="30" t="n">
        <x:f>F38*L38</x:f>
        <x:v>0</x:v>
      </x:c>
      <x:c r="O38" s="30" t="n">
        <x:f>G38*L38</x:f>
        <x:v>19059.10576250066</x:v>
      </x:c>
    </x:row>
    <x:row r="39" ht="21" customHeight="1">
      <x:c r="A39" s="28" t="n">
        <x:v>33</x:v>
      </x:c>
      <x:c r="B39" s="29" t="n">
        <x:v>45799</x:v>
      </x:c>
      <x:c r="C39" s="28" t="n">
        <x:f>B39-B38</x:f>
        <x:v>30</x:v>
      </x:c>
      <x:c r="D39" s="30" t="n">
        <x:f>H38</x:f>
        <x:v>3646037.89</x:v>
      </x:c>
      <x:c r="E39" s="30" t="n">
        <x:f>ROUND(D39*I39,2)</x:f>
        <x:v>22475.58</x:v>
      </x:c>
      <x:c r="F39" s="30" t="n">
        <x:f>0</x:f>
        <x:v>0</x:v>
      </x:c>
      <x:c r="G39" s="30" t="n">
        <x:f>ROUND(E39+F39,2)</x:f>
        <x:v>22475.58</x:v>
      </x:c>
      <x:c r="H39" s="30" t="n">
        <x:f>ROUND(D39-F39,2)</x:f>
        <x:v>3646037.89</x:v>
      </x:c>
      <x:c r="I39" s="33" t="n">
        <x:f>IF(AND(ISNUMBER('Параметры'!$C$7),'Параметры'!$C$7&gt;=0),'Параметры'!$C$7*C39/365,NA())</x:f>
        <x:v>0.0061643835616438354</x:v>
      </x:c>
      <x:c r="J39" s="32" t="n">
        <x:f>J38/(1+I39)</x:f>
        <x:v>0.815609630668765</x:v>
      </x:c>
      <x:c r="K39" s="33" t="n">
        <x:f>IF(AND(ISNUMBER('Параметры'!$C$8),'Параметры'!$C$8&gt;=0),'Параметры'!$C$8*C39/365,NA())</x:f>
        <x:v>0.0061643835616438354</x:v>
      </x:c>
      <x:c r="L39" s="32" t="n">
        <x:f>L38/(1+K39)</x:f>
        <x:v>0.815609630668765</x:v>
      </x:c>
      <x:c r="M39" s="30" t="n">
        <x:f>E39*L39</x:f>
        <x:v>18331.299502866284</x:v>
      </x:c>
      <x:c r="N39" s="30" t="n">
        <x:f>F39*L39</x:f>
        <x:v>0</x:v>
      </x:c>
      <x:c r="O39" s="30" t="n">
        <x:f>G39*L39</x:f>
        <x:v>18331.299502866284</x:v>
      </x:c>
    </x:row>
    <x:row r="40" ht="21" customHeight="1">
      <x:c r="A40" s="28" t="n">
        <x:v>34</x:v>
      </x:c>
      <x:c r="B40" s="29" t="n">
        <x:v>45830</x:v>
      </x:c>
      <x:c r="C40" s="28" t="n">
        <x:f>B40-B39</x:f>
        <x:v>31</x:v>
      </x:c>
      <x:c r="D40" s="30" t="n">
        <x:f>H39</x:f>
        <x:v>3646037.89</x:v>
      </x:c>
      <x:c r="E40" s="30" t="n">
        <x:f>ROUND(D40*I40,2)</x:f>
        <x:v>23224.76</x:v>
      </x:c>
      <x:c r="F40" s="30" t="n">
        <x:f>0</x:f>
        <x:v>0</x:v>
      </x:c>
      <x:c r="G40" s="30" t="n">
        <x:f>ROUND(E40+F40,2)</x:f>
        <x:v>23224.76</x:v>
      </x:c>
      <x:c r="H40" s="30" t="n">
        <x:f>ROUND(D40-F40,2)</x:f>
        <x:v>3646037.89</x:v>
      </x:c>
      <x:c r="I40" s="33" t="n">
        <x:f>IF(AND(ISNUMBER('Параметры'!$C$7),'Параметры'!$C$7&gt;=0),'Параметры'!$C$7*C40/365,NA())</x:f>
        <x:v>0.00636986301369863</x:v>
      </x:c>
      <x:c r="J40" s="32" t="n">
        <x:f>J39/(1+I40)</x:f>
        <x:v>0.8104471930690784</x:v>
      </x:c>
      <x:c r="K40" s="33" t="n">
        <x:f>IF(AND(ISNUMBER('Параметры'!$C$8),'Параметры'!$C$8&gt;=0),'Параметры'!$C$8*C40/365,NA())</x:f>
        <x:v>0.00636986301369863</x:v>
      </x:c>
      <x:c r="L40" s="32" t="n">
        <x:f>L39/(1+K40)</x:f>
        <x:v>0.8104471930690784</x:v>
      </x:c>
      <x:c r="M40" s="30" t="n">
        <x:f>E40*L40</x:f>
        <x:v>18822.44155170301</x:v>
      </x:c>
      <x:c r="N40" s="30" t="n">
        <x:f>F40*L40</x:f>
        <x:v>0</x:v>
      </x:c>
      <x:c r="O40" s="30" t="n">
        <x:f>G40*L40</x:f>
        <x:v>18822.44155170301</x:v>
      </x:c>
    </x:row>
    <x:row r="41" ht="21" customHeight="1">
      <x:c r="A41" s="28" t="n">
        <x:v>35</x:v>
      </x:c>
      <x:c r="B41" s="29" t="n">
        <x:v>45860</x:v>
      </x:c>
      <x:c r="C41" s="28" t="n">
        <x:f>B41-B40</x:f>
        <x:v>30</x:v>
      </x:c>
      <x:c r="D41" s="30" t="n">
        <x:f>H40</x:f>
        <x:v>3646037.89</x:v>
      </x:c>
      <x:c r="E41" s="30" t="n">
        <x:f>ROUND(D41*I41,2)</x:f>
        <x:v>22475.58</x:v>
      </x:c>
      <x:c r="F41" s="30" t="n">
        <x:f>0</x:f>
        <x:v>0</x:v>
      </x:c>
      <x:c r="G41" s="30" t="n">
        <x:f>ROUND(E41+F41,2)</x:f>
        <x:v>22475.58</x:v>
      </x:c>
      <x:c r="H41" s="30" t="n">
        <x:f>ROUND(D41-F41,2)</x:f>
        <x:v>3646037.89</x:v>
      </x:c>
      <x:c r="I41" s="33" t="n">
        <x:f>IF(AND(ISNUMBER('Параметры'!$C$7),'Параметры'!$C$7&gt;=0),'Параметры'!$C$7*C41/365,NA())</x:f>
        <x:v>0.0061643835616438354</x:v>
      </x:c>
      <x:c r="J41" s="32" t="n">
        <x:f>J40/(1+I41)</x:f>
        <x:v>0.8054818937242032</x:v>
      </x:c>
      <x:c r="K41" s="33" t="n">
        <x:f>IF(AND(ISNUMBER('Параметры'!$C$8),'Параметры'!$C$8&gt;=0),'Параметры'!$C$8*C41/365,NA())</x:f>
        <x:v>0.0061643835616438354</x:v>
      </x:c>
      <x:c r="L41" s="32" t="n">
        <x:f>L40/(1+K41)</x:f>
        <x:v>0.8054818937242032</x:v>
      </x:c>
      <x:c r="M41" s="30" t="n">
        <x:f>E41*L41</x:f>
        <x:v>18103.672740949827</x:v>
      </x:c>
      <x:c r="N41" s="30" t="n">
        <x:f>F41*L41</x:f>
        <x:v>0</x:v>
      </x:c>
      <x:c r="O41" s="30" t="n">
        <x:f>G41*L41</x:f>
        <x:v>18103.672740949827</x:v>
      </x:c>
    </x:row>
    <x:row r="42" ht="21" customHeight="1">
      <x:c r="A42" s="28" t="n">
        <x:v>36</x:v>
      </x:c>
      <x:c r="B42" s="29" t="n">
        <x:v>45891</x:v>
      </x:c>
      <x:c r="C42" s="28" t="n">
        <x:f>B42-B41</x:f>
        <x:v>31</x:v>
      </x:c>
      <x:c r="D42" s="30" t="n">
        <x:f>H41</x:f>
        <x:v>3646037.89</x:v>
      </x:c>
      <x:c r="E42" s="30" t="n">
        <x:f>ROUND(D42*I42,2)</x:f>
        <x:v>23224.76</x:v>
      </x:c>
      <x:c r="F42" s="30" t="n">
        <x:f>0</x:f>
        <x:v>0</x:v>
      </x:c>
      <x:c r="G42" s="30" t="n">
        <x:f>ROUND(E42+F42,2)</x:f>
        <x:v>23224.76</x:v>
      </x:c>
      <x:c r="H42" s="30" t="n">
        <x:f>ROUND(D42-F42,2)</x:f>
        <x:v>3646037.89</x:v>
      </x:c>
      <x:c r="I42" s="33" t="n">
        <x:f>IF(AND(ISNUMBER('Параметры'!$C$7),'Параметры'!$C$7&gt;=0),'Параметры'!$C$7*C42/365,NA())</x:f>
        <x:v>0.00636986301369863</x:v>
      </x:c>
      <x:c r="J42" s="32" t="n">
        <x:f>J41/(1+I42)</x:f>
        <x:v>0.8003835600880261</x:v>
      </x:c>
      <x:c r="K42" s="33" t="n">
        <x:f>IF(AND(ISNUMBER('Параметры'!$C$8),'Параметры'!$C$8&gt;=0),'Параметры'!$C$8*C42/365,NA())</x:f>
        <x:v>0.00636986301369863</x:v>
      </x:c>
      <x:c r="L42" s="32" t="n">
        <x:f>L41/(1+K42)</x:f>
        <x:v>0.8003835600880261</x:v>
      </x:c>
      <x:c r="M42" s="30" t="n">
        <x:f>E42*L42</x:f>
        <x:v>18588.716090989983</x:v>
      </x:c>
      <x:c r="N42" s="30" t="n">
        <x:f>F42*L42</x:f>
        <x:v>0</x:v>
      </x:c>
      <x:c r="O42" s="30" t="n">
        <x:f>G42*L42</x:f>
        <x:v>18588.716090989983</x:v>
      </x:c>
    </x:row>
    <x:row r="43" ht="21" customHeight="1">
      <x:c r="A43" s="28" t="n">
        <x:v>37</x:v>
      </x:c>
      <x:c r="B43" s="29" t="n">
        <x:v>45922</x:v>
      </x:c>
      <x:c r="C43" s="28" t="n">
        <x:f>B43-B42</x:f>
        <x:v>31</x:v>
      </x:c>
      <x:c r="D43" s="30" t="n">
        <x:f>H42</x:f>
        <x:v>3646037.89</x:v>
      </x:c>
      <x:c r="E43" s="30" t="n">
        <x:f>ROUND(D43*I43,2)</x:f>
        <x:v>23224.76</x:v>
      </x:c>
      <x:c r="F43" s="30" t="n">
        <x:f>0</x:f>
        <x:v>0</x:v>
      </x:c>
      <x:c r="G43" s="30" t="n">
        <x:f>ROUND(E43+F43,2)</x:f>
        <x:v>23224.76</x:v>
      </x:c>
      <x:c r="H43" s="30" t="n">
        <x:f>ROUND(D43-F43,2)</x:f>
        <x:v>3646037.89</x:v>
      </x:c>
      <x:c r="I43" s="33" t="n">
        <x:f>IF(AND(ISNUMBER('Параметры'!$C$7),'Параметры'!$C$7&gt;=0),'Параметры'!$C$7*C43/365,NA())</x:f>
        <x:v>0.00636986301369863</x:v>
      </x:c>
      <x:c r="J43" s="32" t="n">
        <x:f>J42/(1+I43)</x:f>
        <x:v>0.7953174965823986</x:v>
      </x:c>
      <x:c r="K43" s="33" t="n">
        <x:f>IF(AND(ISNUMBER('Параметры'!$C$8),'Параметры'!$C$8&gt;=0),'Параметры'!$C$8*C43/365,NA())</x:f>
        <x:v>0.00636986301369863</x:v>
      </x:c>
      <x:c r="L43" s="32" t="n">
        <x:f>L42/(1+K43)</x:f>
        <x:v>0.7953174965823986</x:v>
      </x:c>
      <x:c r="M43" s="30" t="n">
        <x:f>E43*L43</x:f>
        <x:v>18471.057981927028</x:v>
      </x:c>
      <x:c r="N43" s="30" t="n">
        <x:f>F43*L43</x:f>
        <x:v>0</x:v>
      </x:c>
      <x:c r="O43" s="30" t="n">
        <x:f>G43*L43</x:f>
        <x:v>18471.057981927028</x:v>
      </x:c>
    </x:row>
    <x:row r="44" ht="21" customHeight="1">
      <x:c r="A44" s="28" t="n">
        <x:v>38</x:v>
      </x:c>
      <x:c r="B44" s="29" t="n">
        <x:v>45952</x:v>
      </x:c>
      <x:c r="C44" s="28" t="n">
        <x:f>B44-B43</x:f>
        <x:v>30</x:v>
      </x:c>
      <x:c r="D44" s="30" t="n">
        <x:f>H43</x:f>
        <x:v>3646037.89</x:v>
      </x:c>
      <x:c r="E44" s="30" t="n">
        <x:f>ROUND(D44*I44,2)</x:f>
        <x:v>22475.58</x:v>
      </x:c>
      <x:c r="F44" s="30" t="n">
        <x:f>0</x:f>
        <x:v>0</x:v>
      </x:c>
      <x:c r="G44" s="30" t="n">
        <x:f>ROUND(E44+F44,2)</x:f>
        <x:v>22475.58</x:v>
      </x:c>
      <x:c r="H44" s="30" t="n">
        <x:f>ROUND(D44-F44,2)</x:f>
        <x:v>3646037.89</x:v>
      </x:c>
      <x:c r="I44" s="33" t="n">
        <x:f>IF(AND(ISNUMBER('Параметры'!$C$7),'Параметры'!$C$7&gt;=0),'Параметры'!$C$7*C44/365,NA())</x:f>
        <x:v>0.0061643835616438354</x:v>
      </x:c>
      <x:c r="J44" s="32" t="n">
        <x:f>J43/(1+I44)</x:f>
        <x:v>0.7904448910893819</x:v>
      </x:c>
      <x:c r="K44" s="33" t="n">
        <x:f>IF(AND(ISNUMBER('Параметры'!$C$8),'Параметры'!$C$8&gt;=0),'Параметры'!$C$8*C44/365,NA())</x:f>
        <x:v>0.0061643835616438354</x:v>
      </x:c>
      <x:c r="L44" s="32" t="n">
        <x:f>L43/(1+K44)</x:f>
        <x:v>0.7904448910893819</x:v>
      </x:c>
      <x:c r="M44" s="30" t="n">
        <x:f>E44*L44</x:f>
        <x:v>17765.707385270693</x:v>
      </x:c>
      <x:c r="N44" s="30" t="n">
        <x:f>F44*L44</x:f>
        <x:v>0</x:v>
      </x:c>
      <x:c r="O44" s="30" t="n">
        <x:f>G44*L44</x:f>
        <x:v>17765.707385270693</x:v>
      </x:c>
    </x:row>
    <x:row r="45" ht="21" customHeight="1">
      <x:c r="A45" s="28" t="n">
        <x:v>39</x:v>
      </x:c>
      <x:c r="B45" s="29" t="n">
        <x:v>45983</x:v>
      </x:c>
      <x:c r="C45" s="28" t="n">
        <x:f>B45-B44</x:f>
        <x:v>31</x:v>
      </x:c>
      <x:c r="D45" s="30" t="n">
        <x:f>H44</x:f>
        <x:v>3646037.89</x:v>
      </x:c>
      <x:c r="E45" s="30" t="n">
        <x:f>ROUND(D45*I45,2)</x:f>
        <x:v>23224.76</x:v>
      </x:c>
      <x:c r="F45" s="30" t="n">
        <x:f>0</x:f>
        <x:v>0</x:v>
      </x:c>
      <x:c r="G45" s="30" t="n">
        <x:f>ROUND(E45+F45,2)</x:f>
        <x:v>23224.76</x:v>
      </x:c>
      <x:c r="H45" s="30" t="n">
        <x:f>ROUND(D45-F45,2)</x:f>
        <x:v>3646037.89</x:v>
      </x:c>
      <x:c r="I45" s="33" t="n">
        <x:f>IF(AND(ISNUMBER('Параметры'!$C$7),'Параметры'!$C$7&gt;=0),'Параметры'!$C$7*C45/365,NA())</x:f>
        <x:v>0.00636986301369863</x:v>
      </x:c>
      <x:c r="J45" s="32" t="n">
        <x:f>J44/(1+I45)</x:f>
        <x:v>0.7854417348332523</x:v>
      </x:c>
      <x:c r="K45" s="33" t="n">
        <x:f>IF(AND(ISNUMBER('Параметры'!$C$8),'Параметры'!$C$8&gt;=0),'Параметры'!$C$8*C45/365,NA())</x:f>
        <x:v>0.00636986301369863</x:v>
      </x:c>
      <x:c r="L45" s="32" t="n">
        <x:f>L44/(1+K45)</x:f>
        <x:v>0.7854417348332523</x:v>
      </x:c>
      <x:c r="M45" s="30" t="n">
        <x:f>E45*L45</x:f>
        <x:v>18241.695785485925</x:v>
      </x:c>
      <x:c r="N45" s="30" t="n">
        <x:f>F45*L45</x:f>
        <x:v>0</x:v>
      </x:c>
      <x:c r="O45" s="30" t="n">
        <x:f>G45*L45</x:f>
        <x:v>18241.695785485925</x:v>
      </x:c>
    </x:row>
    <x:row r="46" ht="21" customHeight="1">
      <x:c r="A46" s="28" t="n">
        <x:v>40</x:v>
      </x:c>
      <x:c r="B46" s="29" t="n">
        <x:v>46013</x:v>
      </x:c>
      <x:c r="C46" s="28" t="n">
        <x:f>B46-B45</x:f>
        <x:v>30</x:v>
      </x:c>
      <x:c r="D46" s="30" t="n">
        <x:f>H45</x:f>
        <x:v>3646037.89</x:v>
      </x:c>
      <x:c r="E46" s="30" t="n">
        <x:f>ROUND(D46*I46,2)</x:f>
        <x:v>22475.58</x:v>
      </x:c>
      <x:c r="F46" s="30" t="n">
        <x:f>0</x:f>
        <x:v>0</x:v>
      </x:c>
      <x:c r="G46" s="30" t="n">
        <x:f>ROUND(E46+F46,2)</x:f>
        <x:v>22475.58</x:v>
      </x:c>
      <x:c r="H46" s="30" t="n">
        <x:f>ROUND(D46-F46,2)</x:f>
        <x:v>3646037.89</x:v>
      </x:c>
      <x:c r="I46" s="33" t="n">
        <x:f>IF(AND(ISNUMBER('Параметры'!$C$7),'Параметры'!$C$7&gt;=0),'Параметры'!$C$7*C46/365,NA())</x:f>
        <x:v>0.0061643835616438354</x:v>
      </x:c>
      <x:c r="J46" s="32" t="n">
        <x:f>J45/(1+I46)</x:f>
        <x:v>0.7806296343475483</x:v>
      </x:c>
      <x:c r="K46" s="33" t="n">
        <x:f>IF(AND(ISNUMBER('Параметры'!$C$8),'Параметры'!$C$8&gt;=0),'Параметры'!$C$8*C46/365,NA())</x:f>
        <x:v>0.0061643835616438354</x:v>
      </x:c>
      <x:c r="L46" s="32" t="n">
        <x:f>L45/(1+K46)</x:f>
        <x:v>0.7806296343475483</x:v>
      </x:c>
      <x:c r="M46" s="30" t="n">
        <x:f>E46*L46</x:f>
        <x:v>17545.10379714907</x:v>
      </x:c>
      <x:c r="N46" s="30" t="n">
        <x:f>F46*L46</x:f>
        <x:v>0</x:v>
      </x:c>
      <x:c r="O46" s="30" t="n">
        <x:f>G46*L46</x:f>
        <x:v>17545.10379714907</x:v>
      </x:c>
    </x:row>
    <x:row r="47" ht="21" customHeight="1">
      <x:c r="A47" s="28" t="n">
        <x:v>41</x:v>
      </x:c>
      <x:c r="B47" s="29" t="n">
        <x:v>46044</x:v>
      </x:c>
      <x:c r="C47" s="28" t="n">
        <x:f>B47-B46</x:f>
        <x:v>31</x:v>
      </x:c>
      <x:c r="D47" s="30" t="n">
        <x:f>H46</x:f>
        <x:v>3646037.89</x:v>
      </x:c>
      <x:c r="E47" s="30" t="n">
        <x:f>ROUND(D47*I47,2)</x:f>
        <x:v>23224.76</x:v>
      </x:c>
      <x:c r="F47" s="30" t="n">
        <x:f>0</x:f>
        <x:v>0</x:v>
      </x:c>
      <x:c r="G47" s="30" t="n">
        <x:f>ROUND(E47+F47,2)</x:f>
        <x:v>23224.76</x:v>
      </x:c>
      <x:c r="H47" s="30" t="n">
        <x:f>ROUND(D47-F47,2)</x:f>
        <x:v>3646037.89</x:v>
      </x:c>
      <x:c r="I47" s="33" t="n">
        <x:f>IF(AND(ISNUMBER('Параметры'!$C$7),'Параметры'!$C$7&gt;=0),'Параметры'!$C$7*C47/365,NA())</x:f>
        <x:v>0.00636986301369863</x:v>
      </x:c>
      <x:c r="J47" s="32" t="n">
        <x:f>J46/(1+I47)</x:f>
        <x:v>0.7756886041975231</x:v>
      </x:c>
      <x:c r="K47" s="33" t="n">
        <x:f>IF(AND(ISNUMBER('Параметры'!$C$8),'Параметры'!$C$8&gt;=0),'Параметры'!$C$8*C47/365,NA())</x:f>
        <x:v>0.00636986301369863</x:v>
      </x:c>
      <x:c r="L47" s="32" t="n">
        <x:f>L46/(1+K47)</x:f>
        <x:v>0.7756886041975231</x:v>
      </x:c>
      <x:c r="M47" s="30" t="n">
        <x:f>E47*L47</x:f>
        <x:v>18015.181667222463</x:v>
      </x:c>
      <x:c r="N47" s="30" t="n">
        <x:f>F47*L47</x:f>
        <x:v>0</x:v>
      </x:c>
      <x:c r="O47" s="30" t="n">
        <x:f>G47*L47</x:f>
        <x:v>18015.181667222463</x:v>
      </x:c>
    </x:row>
    <x:row r="48" ht="21" customHeight="1">
      <x:c r="A48" s="28" t="n">
        <x:v>42</x:v>
      </x:c>
      <x:c r="B48" s="29" t="n">
        <x:v>46075</x:v>
      </x:c>
      <x:c r="C48" s="28" t="n">
        <x:f>B48-B47</x:f>
        <x:v>31</x:v>
      </x:c>
      <x:c r="D48" s="30" t="n">
        <x:f>H47</x:f>
        <x:v>3646037.89</x:v>
      </x:c>
      <x:c r="E48" s="30" t="n">
        <x:f>ROUND(D48*I48,2)</x:f>
        <x:v>23224.76</x:v>
      </x:c>
      <x:c r="F48" s="30" t="n">
        <x:f>0</x:f>
        <x:v>0</x:v>
      </x:c>
      <x:c r="G48" s="30" t="n">
        <x:f>ROUND(E48+F48,2)</x:f>
        <x:v>23224.76</x:v>
      </x:c>
      <x:c r="H48" s="30" t="n">
        <x:f>ROUND(D48-F48,2)</x:f>
        <x:v>3646037.89</x:v>
      </x:c>
      <x:c r="I48" s="33" t="n">
        <x:f>IF(AND(ISNUMBER('Параметры'!$C$7),'Параметры'!$C$7&gt;=0),'Параметры'!$C$7*C48/365,NA())</x:f>
        <x:v>0.00636986301369863</x:v>
      </x:c>
      <x:c r="J48" s="32" t="n">
        <x:f>J47/(1+I48)</x:f>
        <x:v>0.7707788485186032</x:v>
      </x:c>
      <x:c r="K48" s="33" t="n">
        <x:f>IF(AND(ISNUMBER('Параметры'!$C$8),'Параметры'!$C$8&gt;=0),'Параметры'!$C$8*C48/365,NA())</x:f>
        <x:v>0.00636986301369863</x:v>
      </x:c>
      <x:c r="L48" s="32" t="n">
        <x:f>L47/(1+K48)</x:f>
        <x:v>0.7707788485186032</x:v>
      </x:c>
      <x:c r="M48" s="30" t="n">
        <x:f>E48*L48</x:f>
        <x:v>17901.153769920915</x:v>
      </x:c>
      <x:c r="N48" s="30" t="n">
        <x:f>F48*L48</x:f>
        <x:v>0</x:v>
      </x:c>
      <x:c r="O48" s="30" t="n">
        <x:f>G48*L48</x:f>
        <x:v>17901.153769920915</x:v>
      </x:c>
    </x:row>
    <x:row r="49" ht="21" customHeight="1">
      <x:c r="A49" s="28" t="n">
        <x:v>43</x:v>
      </x:c>
      <x:c r="B49" s="29" t="n">
        <x:v>46103</x:v>
      </x:c>
      <x:c r="C49" s="28" t="n">
        <x:f>B49-B48</x:f>
        <x:v>28</x:v>
      </x:c>
      <x:c r="D49" s="30" t="n">
        <x:f>H48</x:f>
        <x:v>3646037.89</x:v>
      </x:c>
      <x:c r="E49" s="30" t="n">
        <x:f>ROUND(D49*I49,2)</x:f>
        <x:v>20977.2</x:v>
      </x:c>
      <x:c r="F49" s="30" t="n">
        <x:f>0</x:f>
        <x:v>0</x:v>
      </x:c>
      <x:c r="G49" s="30" t="n">
        <x:f>ROUND(E49+F49,2)</x:f>
        <x:v>20977.2</x:v>
      </x:c>
      <x:c r="H49" s="30" t="n">
        <x:f>ROUND(D49-F49,2)</x:f>
        <x:v>3646037.89</x:v>
      </x:c>
      <x:c r="I49" s="33" t="n">
        <x:f>IF(AND(ISNUMBER('Параметры'!$C$7),'Параметры'!$C$7&gt;=0),'Параметры'!$C$7*C49/365,NA())</x:f>
        <x:v>0.005753424657534247</x:v>
      </x:c>
      <x:c r="J49" s="32" t="n">
        <x:f>J48/(1+I49)</x:f>
        <x:v>0.7663695987722424</x:v>
      </x:c>
      <x:c r="K49" s="33" t="n">
        <x:f>IF(AND(ISNUMBER('Параметры'!$C$8),'Параметры'!$C$8&gt;=0),'Параметры'!$C$8*C49/365,NA())</x:f>
        <x:v>0.005753424657534247</x:v>
      </x:c>
      <x:c r="L49" s="32" t="n">
        <x:f>L48/(1+K49)</x:f>
        <x:v>0.7663695987722424</x:v>
      </x:c>
      <x:c r="M49" s="30" t="n">
        <x:f>E49*L49</x:f>
        <x:v>16076.288347365084</x:v>
      </x:c>
      <x:c r="N49" s="30" t="n">
        <x:f>F49*L49</x:f>
        <x:v>0</x:v>
      </x:c>
      <x:c r="O49" s="30" t="n">
        <x:f>G49*L49</x:f>
        <x:v>16076.288347365084</x:v>
      </x:c>
    </x:row>
    <x:row r="50" ht="21" customHeight="1">
      <x:c r="A50" s="28" t="n">
        <x:v>44</x:v>
      </x:c>
      <x:c r="B50" s="29" t="n">
        <x:v>46134</x:v>
      </x:c>
      <x:c r="C50" s="28" t="n">
        <x:f>B50-B49</x:f>
        <x:v>31</x:v>
      </x:c>
      <x:c r="D50" s="30" t="n">
        <x:f>H49</x:f>
        <x:v>3646037.89</x:v>
      </x:c>
      <x:c r="E50" s="30" t="n">
        <x:f>ROUND(D50*I50,2)</x:f>
        <x:v>23224.76</x:v>
      </x:c>
      <x:c r="F50" s="30" t="n">
        <x:f>0</x:f>
        <x:v>0</x:v>
      </x:c>
      <x:c r="G50" s="30" t="n">
        <x:f>ROUND(E50+F50,2)</x:f>
        <x:v>23224.76</x:v>
      </x:c>
      <x:c r="H50" s="30" t="n">
        <x:f>ROUND(D50-F50,2)</x:f>
        <x:v>3646037.89</x:v>
      </x:c>
      <x:c r="I50" s="33" t="n">
        <x:f>IF(AND(ISNUMBER('Параметры'!$C$7),'Параметры'!$C$7&gt;=0),'Параметры'!$C$7*C50/365,NA())</x:f>
        <x:v>0.00636986301369863</x:v>
      </x:c>
      <x:c r="J50" s="32" t="n">
        <x:f>J49/(1+I50)</x:f>
        <x:v>0.7615188281545457</x:v>
      </x:c>
      <x:c r="K50" s="33" t="n">
        <x:f>IF(AND(ISNUMBER('Параметры'!$C$8),'Параметры'!$C$8&gt;=0),'Параметры'!$C$8*C50/365,NA())</x:f>
        <x:v>0.00636986301369863</x:v>
      </x:c>
      <x:c r="L50" s="32" t="n">
        <x:f>L49/(1+K50)</x:f>
        <x:v>0.7615188281545457</x:v>
      </x:c>
      <x:c r="M50" s="30" t="n">
        <x:f>E50*L50</x:f>
        <x:v>17686.092019370568</x:v>
      </x:c>
      <x:c r="N50" s="30" t="n">
        <x:f>F50*L50</x:f>
        <x:v>0</x:v>
      </x:c>
      <x:c r="O50" s="30" t="n">
        <x:f>G50*L50</x:f>
        <x:v>17686.092019370568</x:v>
      </x:c>
    </x:row>
    <x:row r="51" ht="21" customHeight="1">
      <x:c r="A51" s="28" t="n">
        <x:v>45</x:v>
      </x:c>
      <x:c r="B51" s="29" t="n">
        <x:v>46164</x:v>
      </x:c>
      <x:c r="C51" s="28" t="n">
        <x:f>B51-B50</x:f>
        <x:v>30</x:v>
      </x:c>
      <x:c r="D51" s="30" t="n">
        <x:f>H50</x:f>
        <x:v>3646037.89</x:v>
      </x:c>
      <x:c r="E51" s="30" t="n">
        <x:f>ROUND(D51*I51,2)</x:f>
        <x:v>22475.58</x:v>
      </x:c>
      <x:c r="F51" s="30" t="n">
        <x:f>0</x:f>
        <x:v>0</x:v>
      </x:c>
      <x:c r="G51" s="30" t="n">
        <x:f>ROUND(E51+F51,2)</x:f>
        <x:v>22475.58</x:v>
      </x:c>
      <x:c r="H51" s="30" t="n">
        <x:f>ROUND(D51-F51,2)</x:f>
        <x:v>3646037.89</x:v>
      </x:c>
      <x:c r="I51" s="33" t="n">
        <x:f>IF(AND(ISNUMBER('Параметры'!$C$7),'Параметры'!$C$7&gt;=0),'Параметры'!$C$7*C51/365,NA())</x:f>
        <x:v>0.0061643835616438354</x:v>
      </x:c>
      <x:c r="J51" s="32" t="n">
        <x:f>J50/(1+I51)</x:f>
        <x:v>0.7568532941495145</x:v>
      </x:c>
      <x:c r="K51" s="33" t="n">
        <x:f>IF(AND(ISNUMBER('Параметры'!$C$8),'Параметры'!$C$8&gt;=0),'Параметры'!$C$8*C51/365,NA())</x:f>
        <x:v>0.0061643835616438354</x:v>
      </x:c>
      <x:c r="L51" s="32" t="n">
        <x:f>L50/(1+K51)</x:f>
        <x:v>0.7568532941495145</x:v>
      </x:c>
      <x:c r="M51" s="30" t="n">
        <x:f>E51*L51</x:f>
        <x:v>17010.716760920946</x:v>
      </x:c>
      <x:c r="N51" s="30" t="n">
        <x:f>F51*L51</x:f>
        <x:v>0</x:v>
      </x:c>
      <x:c r="O51" s="30" t="n">
        <x:f>G51*L51</x:f>
        <x:v>17010.716760920946</x:v>
      </x:c>
    </x:row>
    <x:row r="52" ht="21" customHeight="1">
      <x:c r="A52" s="28" t="n">
        <x:v>46</x:v>
      </x:c>
      <x:c r="B52" s="29" t="n">
        <x:v>46195</x:v>
      </x:c>
      <x:c r="C52" s="28" t="n">
        <x:f>B52-B51</x:f>
        <x:v>31</x:v>
      </x:c>
      <x:c r="D52" s="30" t="n">
        <x:f>H51</x:f>
        <x:v>3646037.89</x:v>
      </x:c>
      <x:c r="E52" s="30" t="n">
        <x:f>ROUND(D52*I52,2)</x:f>
        <x:v>23224.76</x:v>
      </x:c>
      <x:c r="F52" s="30" t="n">
        <x:f>0</x:f>
        <x:v>0</x:v>
      </x:c>
      <x:c r="G52" s="30" t="n">
        <x:f>ROUND(E52+F52,2)</x:f>
        <x:v>23224.76</x:v>
      </x:c>
      <x:c r="H52" s="30" t="n">
        <x:f>ROUND(D52-F52,2)</x:f>
        <x:v>3646037.89</x:v>
      </x:c>
      <x:c r="I52" s="33" t="n">
        <x:f>IF(AND(ISNUMBER('Параметры'!$C$7),'Параметры'!$C$7&gt;=0),'Параметры'!$C$7*C52/365,NA())</x:f>
        <x:v>0.00636986301369863</x:v>
      </x:c>
      <x:c r="J52" s="32" t="n">
        <x:f>J51/(1+I52)</x:f>
        <x:v>0.7520627574071267</x:v>
      </x:c>
      <x:c r="K52" s="33" t="n">
        <x:f>IF(AND(ISNUMBER('Параметры'!$C$8),'Параметры'!$C$8&gt;=0),'Параметры'!$C$8*C52/365,NA())</x:f>
        <x:v>0.00636986301369863</x:v>
      </x:c>
      <x:c r="L52" s="32" t="n">
        <x:f>L51/(1+K52)</x:f>
        <x:v>0.7520627574071267</x:v>
      </x:c>
      <x:c r="M52" s="30" t="n">
        <x:f>E52*L52</x:f>
        <x:v>17466.477045718737</x:v>
      </x:c>
      <x:c r="N52" s="30" t="n">
        <x:f>F52*L52</x:f>
        <x:v>0</x:v>
      </x:c>
      <x:c r="O52" s="30" t="n">
        <x:f>G52*L52</x:f>
        <x:v>17466.477045718737</x:v>
      </x:c>
    </x:row>
    <x:row r="53" ht="21" customHeight="1">
      <x:c r="A53" s="28" t="n">
        <x:v>47</x:v>
      </x:c>
      <x:c r="B53" s="29" t="n">
        <x:v>46225</x:v>
      </x:c>
      <x:c r="C53" s="28" t="n">
        <x:f>B53-B52</x:f>
        <x:v>30</x:v>
      </x:c>
      <x:c r="D53" s="30" t="n">
        <x:f>H52</x:f>
        <x:v>3646037.89</x:v>
      </x:c>
      <x:c r="E53" s="30" t="n">
        <x:f>ROUND(D53*I53,2)</x:f>
        <x:v>22475.58</x:v>
      </x:c>
      <x:c r="F53" s="30" t="n">
        <x:f>0</x:f>
        <x:v>0</x:v>
      </x:c>
      <x:c r="G53" s="30" t="n">
        <x:f>ROUND(E53+F53,2)</x:f>
        <x:v>22475.58</x:v>
      </x:c>
      <x:c r="H53" s="30" t="n">
        <x:f>ROUND(D53-F53,2)</x:f>
        <x:v>3646037.89</x:v>
      </x:c>
      <x:c r="I53" s="33" t="n">
        <x:f>IF(AND(ISNUMBER('Параметры'!$C$7),'Параметры'!$C$7&gt;=0),'Параметры'!$C$7*C53/365,NA())</x:f>
        <x:v>0.0061643835616438354</x:v>
      </x:c>
      <x:c r="J53" s="32" t="n">
        <x:f>J52/(1+I53)</x:f>
        <x:v>0.7474551571234888</x:v>
      </x:c>
      <x:c r="K53" s="33" t="n">
        <x:f>IF(AND(ISNUMBER('Параметры'!$C$8),'Параметры'!$C$8&gt;=0),'Параметры'!$C$8*C53/365,NA())</x:f>
        <x:v>0.0061643835616438354</x:v>
      </x:c>
      <x:c r="L53" s="32" t="n">
        <x:f>L52/(1+K53)</x:f>
        <x:v>0.7474551571234888</x:v>
      </x:c>
      <x:c r="M53" s="30" t="n">
        <x:f>E53*L53</x:f>
        <x:v>16799.48818034154</x:v>
      </x:c>
      <x:c r="N53" s="30" t="n">
        <x:f>F53*L53</x:f>
        <x:v>0</x:v>
      </x:c>
      <x:c r="O53" s="30" t="n">
        <x:f>G53*L53</x:f>
        <x:v>16799.48818034154</x:v>
      </x:c>
    </x:row>
    <x:row r="54" ht="21" customHeight="1">
      <x:c r="A54" s="28" t="n">
        <x:v>48</x:v>
      </x:c>
      <x:c r="B54" s="29" t="n">
        <x:v>46256</x:v>
      </x:c>
      <x:c r="C54" s="28" t="n">
        <x:f>B54-B53</x:f>
        <x:v>31</x:v>
      </x:c>
      <x:c r="D54" s="30" t="n">
        <x:f>H53</x:f>
        <x:v>3646037.89</x:v>
      </x:c>
      <x:c r="E54" s="30" t="n">
        <x:f>ROUND(D54*I54,2)</x:f>
        <x:v>23224.76</x:v>
      </x:c>
      <x:c r="F54" s="30" t="n">
        <x:f>0</x:f>
        <x:v>0</x:v>
      </x:c>
      <x:c r="G54" s="30" t="n">
        <x:f>ROUND(E54+F54,2)</x:f>
        <x:v>23224.76</x:v>
      </x:c>
      <x:c r="H54" s="30" t="n">
        <x:f>ROUND(D54-F54,2)</x:f>
        <x:v>3646037.89</x:v>
      </x:c>
      <x:c r="I54" s="33" t="n">
        <x:f>IF(AND(ISNUMBER('Параметры'!$C$7),'Параметры'!$C$7&gt;=0),'Параметры'!$C$7*C54/365,NA())</x:f>
        <x:v>0.00636986301369863</x:v>
      </x:c>
      <x:c r="J54" s="32" t="n">
        <x:f>J53/(1+I54)</x:f>
        <x:v>0.7427241063093266</x:v>
      </x:c>
      <x:c r="K54" s="33" t="n">
        <x:f>IF(AND(ISNUMBER('Параметры'!$C$8),'Параметры'!$C$8&gt;=0),'Параметры'!$C$8*C54/365,NA())</x:f>
        <x:v>0.00636986301369863</x:v>
      </x:c>
      <x:c r="L54" s="32" t="n">
        <x:f>L53/(1+K54)</x:f>
        <x:v>0.7427241063093266</x:v>
      </x:c>
      <x:c r="M54" s="30" t="n">
        <x:f>E54*L54</x:f>
        <x:v>17249.589115248596</x:v>
      </x:c>
      <x:c r="N54" s="30" t="n">
        <x:f>F54*L54</x:f>
        <x:v>0</x:v>
      </x:c>
      <x:c r="O54" s="30" t="n">
        <x:f>G54*L54</x:f>
        <x:v>17249.589115248596</x:v>
      </x:c>
    </x:row>
    <x:row r="55" ht="21" customHeight="1">
      <x:c r="A55" s="28" t="n">
        <x:v>49</x:v>
      </x:c>
      <x:c r="B55" s="29" t="n">
        <x:v>46287</x:v>
      </x:c>
      <x:c r="C55" s="28" t="n">
        <x:f>B55-B54</x:f>
        <x:v>31</x:v>
      </x:c>
      <x:c r="D55" s="30" t="n">
        <x:f>H54</x:f>
        <x:v>3646037.89</x:v>
      </x:c>
      <x:c r="E55" s="30" t="n">
        <x:f>ROUND(D55*I55,2)</x:f>
        <x:v>23224.76</x:v>
      </x:c>
      <x:c r="F55" s="30" t="n">
        <x:f>0</x:f>
        <x:v>0</x:v>
      </x:c>
      <x:c r="G55" s="30" t="n">
        <x:f>ROUND(E55+F55,2)</x:f>
        <x:v>23224.76</x:v>
      </x:c>
      <x:c r="H55" s="30" t="n">
        <x:f>ROUND(D55-F55,2)</x:f>
        <x:v>3646037.89</x:v>
      </x:c>
      <x:c r="I55" s="33" t="n">
        <x:f>IF(AND(ISNUMBER('Параметры'!$C$7),'Параметры'!$C$7&gt;=0),'Параметры'!$C$7*C55/365,NA())</x:f>
        <x:v>0.00636986301369863</x:v>
      </x:c>
      <x:c r="J55" s="32" t="n">
        <x:f>J54/(1+I55)</x:f>
        <x:v>0.7380230008926815</x:v>
      </x:c>
      <x:c r="K55" s="33" t="n">
        <x:f>IF(AND(ISNUMBER('Параметры'!$C$8),'Параметры'!$C$8&gt;=0),'Параметры'!$C$8*C55/365,NA())</x:f>
        <x:v>0.00636986301369863</x:v>
      </x:c>
      <x:c r="L55" s="32" t="n">
        <x:f>L54/(1+K55)</x:f>
        <x:v>0.7380230008926815</x:v>
      </x:c>
      <x:c r="M55" s="30" t="n">
        <x:f>E55*L55</x:f>
        <x:v>17140.40707021231</x:v>
      </x:c>
      <x:c r="N55" s="30" t="n">
        <x:f>F55*L55</x:f>
        <x:v>0</x:v>
      </x:c>
      <x:c r="O55" s="30" t="n">
        <x:f>G55*L55</x:f>
        <x:v>17140.40707021231</x:v>
      </x:c>
    </x:row>
    <x:row r="56" ht="21" customHeight="1">
      <x:c r="A56" s="28" t="n">
        <x:v>50</x:v>
      </x:c>
      <x:c r="B56" s="29" t="n">
        <x:v>46317</x:v>
      </x:c>
      <x:c r="C56" s="28" t="n">
        <x:f>B56-B55</x:f>
        <x:v>30</x:v>
      </x:c>
      <x:c r="D56" s="30" t="n">
        <x:f>H55</x:f>
        <x:v>3646037.89</x:v>
      </x:c>
      <x:c r="E56" s="30" t="n">
        <x:f>ROUND(D56*I56,2)</x:f>
        <x:v>22475.58</x:v>
      </x:c>
      <x:c r="F56" s="30" t="n">
        <x:f>0</x:f>
        <x:v>0</x:v>
      </x:c>
      <x:c r="G56" s="30" t="n">
        <x:f>ROUND(E56+F56,2)</x:f>
        <x:v>22475.58</x:v>
      </x:c>
      <x:c r="H56" s="30" t="n">
        <x:f>ROUND(D56-F56,2)</x:f>
        <x:v>3646037.89</x:v>
      </x:c>
      <x:c r="I56" s="33" t="n">
        <x:f>IF(AND(ISNUMBER('Параметры'!$C$7),'Параметры'!$C$7&gt;=0),'Параметры'!$C$7*C56/365,NA())</x:f>
        <x:v>0.0061643835616438354</x:v>
      </x:c>
      <x:c r="J56" s="32" t="n">
        <x:f>J55/(1+I56)</x:f>
        <x:v>0.7335014168164159</x:v>
      </x:c>
      <x:c r="K56" s="33" t="n">
        <x:f>IF(AND(ISNUMBER('Параметры'!$C$8),'Параметры'!$C$8&gt;=0),'Параметры'!$C$8*C56/365,NA())</x:f>
        <x:v>0.0061643835616438354</x:v>
      </x:c>
      <x:c r="L56" s="32" t="n">
        <x:f>L55/(1+K56)</x:f>
        <x:v>0.7335014168164159</x:v>
      </x:c>
      <x:c r="M56" s="30" t="n">
        <x:f>E56*L56</x:f>
        <x:v>16485.8697737707</x:v>
      </x:c>
      <x:c r="N56" s="30" t="n">
        <x:f>F56*L56</x:f>
        <x:v>0</x:v>
      </x:c>
      <x:c r="O56" s="30" t="n">
        <x:f>G56*L56</x:f>
        <x:v>16485.8697737707</x:v>
      </x:c>
    </x:row>
    <x:row r="57" ht="21" customHeight="1">
      <x:c r="A57" s="28" t="n">
        <x:v>51</x:v>
      </x:c>
      <x:c r="B57" s="29" t="n">
        <x:v>46348</x:v>
      </x:c>
      <x:c r="C57" s="28" t="n">
        <x:f>B57-B56</x:f>
        <x:v>31</x:v>
      </x:c>
      <x:c r="D57" s="30" t="n">
        <x:f>H56</x:f>
        <x:v>3646037.89</x:v>
      </x:c>
      <x:c r="E57" s="30" t="n">
        <x:f>ROUND(D57*I57,2)</x:f>
        <x:v>23224.76</x:v>
      </x:c>
      <x:c r="F57" s="30" t="n">
        <x:f>0</x:f>
        <x:v>0</x:v>
      </x:c>
      <x:c r="G57" s="30" t="n">
        <x:f>ROUND(E57+F57,2)</x:f>
        <x:v>23224.76</x:v>
      </x:c>
      <x:c r="H57" s="30" t="n">
        <x:f>ROUND(D57-F57,2)</x:f>
        <x:v>3646037.89</x:v>
      </x:c>
      <x:c r="I57" s="33" t="n">
        <x:f>IF(AND(ISNUMBER('Параметры'!$C$7),'Параметры'!$C$7&gt;=0),'Параметры'!$C$7*C57/365,NA())</x:f>
        <x:v>0.00636986301369863</x:v>
      </x:c>
      <x:c r="J57" s="32" t="n">
        <x:f>J56/(1+I57)</x:f>
        <x:v>0.7288586868249964</x:v>
      </x:c>
      <x:c r="K57" s="33" t="n">
        <x:f>IF(AND(ISNUMBER('Параметры'!$C$8),'Параметры'!$C$8&gt;=0),'Параметры'!$C$8*C57/365,NA())</x:f>
        <x:v>0.00636986301369863</x:v>
      </x:c>
      <x:c r="L57" s="32" t="n">
        <x:f>L56/(1+K57)</x:f>
        <x:v>0.7288586868249964</x:v>
      </x:c>
      <x:c r="M57" s="30" t="n">
        <x:f>E57*L57</x:f>
        <x:v>16927.568075425705</x:v>
      </x:c>
      <x:c r="N57" s="30" t="n">
        <x:f>F57*L57</x:f>
        <x:v>0</x:v>
      </x:c>
      <x:c r="O57" s="30" t="n">
        <x:f>G57*L57</x:f>
        <x:v>16927.568075425705</x:v>
      </x:c>
    </x:row>
    <x:row r="58" ht="21" customHeight="1">
      <x:c r="A58" s="28" t="n">
        <x:v>52</x:v>
      </x:c>
      <x:c r="B58" s="29" t="n">
        <x:v>46378</x:v>
      </x:c>
      <x:c r="C58" s="28" t="n">
        <x:f>B58-B57</x:f>
        <x:v>30</x:v>
      </x:c>
      <x:c r="D58" s="30" t="n">
        <x:f>H57</x:f>
        <x:v>3646037.89</x:v>
      </x:c>
      <x:c r="E58" s="30" t="n">
        <x:f>ROUND(D58*I58,2)</x:f>
        <x:v>22475.58</x:v>
      </x:c>
      <x:c r="F58" s="30" t="n">
        <x:f>0</x:f>
        <x:v>0</x:v>
      </x:c>
      <x:c r="G58" s="30" t="n">
        <x:f>ROUND(E58+F58,2)</x:f>
        <x:v>22475.58</x:v>
      </x:c>
      <x:c r="H58" s="30" t="n">
        <x:f>ROUND(D58-F58,2)</x:f>
        <x:v>3646037.89</x:v>
      </x:c>
      <x:c r="I58" s="33" t="n">
        <x:f>IF(AND(ISNUMBER('Параметры'!$C$7),'Параметры'!$C$7&gt;=0),'Параметры'!$C$7*C58/365,NA())</x:f>
        <x:v>0.0061643835616438354</x:v>
      </x:c>
      <x:c r="J58" s="32" t="n">
        <x:f>J57/(1+I58)</x:f>
        <x:v>0.7243932489887643</x:v>
      </x:c>
      <x:c r="K58" s="33" t="n">
        <x:f>IF(AND(ISNUMBER('Параметры'!$C$8),'Параметры'!$C$8&gt;=0),'Параметры'!$C$8*C58/365,NA())</x:f>
        <x:v>0.0061643835616438354</x:v>
      </x:c>
      <x:c r="L58" s="32" t="n">
        <x:f>L57/(1+K58)</x:f>
        <x:v>0.7243932489887643</x:v>
      </x:c>
      <x:c r="M58" s="30" t="n">
        <x:f>E58*L58</x:f>
        <x:v>16281.158419106894</x:v>
      </x:c>
      <x:c r="N58" s="30" t="n">
        <x:f>F58*L58</x:f>
        <x:v>0</x:v>
      </x:c>
      <x:c r="O58" s="30" t="n">
        <x:f>G58*L58</x:f>
        <x:v>16281.158419106894</x:v>
      </x:c>
    </x:row>
    <x:row r="59" ht="21" customHeight="1">
      <x:c r="A59" s="28" t="n">
        <x:v>53</x:v>
      </x:c>
      <x:c r="B59" s="29" t="n">
        <x:v>46409</x:v>
      </x:c>
      <x:c r="C59" s="28" t="n">
        <x:f>B59-B58</x:f>
        <x:v>31</x:v>
      </x:c>
      <x:c r="D59" s="30" t="n">
        <x:f>H58</x:f>
        <x:v>3646037.89</x:v>
      </x:c>
      <x:c r="E59" s="30" t="n">
        <x:f>ROUND(D59*I59,2)</x:f>
        <x:v>23224.76</x:v>
      </x:c>
      <x:c r="F59" s="30" t="n">
        <x:f>0</x:f>
        <x:v>0</x:v>
      </x:c>
      <x:c r="G59" s="30" t="n">
        <x:f>ROUND(E59+F59,2)</x:f>
        <x:v>23224.76</x:v>
      </x:c>
      <x:c r="H59" s="30" t="n">
        <x:f>ROUND(D59-F59,2)</x:f>
        <x:v>3646037.89</x:v>
      </x:c>
      <x:c r="I59" s="33" t="n">
        <x:f>IF(AND(ISNUMBER('Параметры'!$C$7),'Параметры'!$C$7&gt;=0),'Параметры'!$C$7*C59/365,NA())</x:f>
        <x:v>0.00636986301369863</x:v>
      </x:c>
      <x:c r="J59" s="32" t="n">
        <x:f>J58/(1+I59)</x:f>
        <x:v>0.7198081695525733</x:v>
      </x:c>
      <x:c r="K59" s="33" t="n">
        <x:f>IF(AND(ISNUMBER('Параметры'!$C$8),'Параметры'!$C$8&gt;=0),'Параметры'!$C$8*C59/365,NA())</x:f>
        <x:v>0.00636986301369863</x:v>
      </x:c>
      <x:c r="L59" s="32" t="n">
        <x:f>L58/(1+K59)</x:f>
        <x:v>0.7198081695525733</x:v>
      </x:c>
      <x:c r="M59" s="30" t="n">
        <x:f>E59*L59</x:f>
        <x:v>16717.37198389782</x:v>
      </x:c>
      <x:c r="N59" s="30" t="n">
        <x:f>F59*L59</x:f>
        <x:v>0</x:v>
      </x:c>
      <x:c r="O59" s="30" t="n">
        <x:f>G59*L59</x:f>
        <x:v>16717.37198389782</x:v>
      </x:c>
    </x:row>
    <x:row r="60" ht="21" customHeight="1">
      <x:c r="A60" s="28" t="n">
        <x:v>54</x:v>
      </x:c>
      <x:c r="B60" s="29" t="n">
        <x:v>46440</x:v>
      </x:c>
      <x:c r="C60" s="28" t="n">
        <x:f>B60-B59</x:f>
        <x:v>31</x:v>
      </x:c>
      <x:c r="D60" s="30" t="n">
        <x:f>H59</x:f>
        <x:v>3646037.89</x:v>
      </x:c>
      <x:c r="E60" s="30" t="n">
        <x:f>ROUND(D60*I60,2)</x:f>
        <x:v>23224.76</x:v>
      </x:c>
      <x:c r="F60" s="30" t="n">
        <x:f>0</x:f>
        <x:v>0</x:v>
      </x:c>
      <x:c r="G60" s="30" t="n">
        <x:f>ROUND(E60+F60,2)</x:f>
        <x:v>23224.76</x:v>
      </x:c>
      <x:c r="H60" s="30" t="n">
        <x:f>ROUND(D60-F60,2)</x:f>
        <x:v>3646037.89</x:v>
      </x:c>
      <x:c r="I60" s="33" t="n">
        <x:f>IF(AND(ISNUMBER('Параметры'!$C$7),'Параметры'!$C$7&gt;=0),'Параметры'!$C$7*C60/365,NA())</x:f>
        <x:v>0.00636986301369863</x:v>
      </x:c>
      <x:c r="J60" s="32" t="n">
        <x:f>J59/(1+I60)</x:f>
        <x:v>0.7152521115815402</x:v>
      </x:c>
      <x:c r="K60" s="33" t="n">
        <x:f>IF(AND(ISNUMBER('Параметры'!$C$8),'Параметры'!$C$8&gt;=0),'Параметры'!$C$8*C60/365,NA())</x:f>
        <x:v>0.00636986301369863</x:v>
      </x:c>
      <x:c r="L60" s="32" t="n">
        <x:f>L59/(1+K60)</x:f>
        <x:v>0.7152521115815402</x:v>
      </x:c>
      <x:c r="M60" s="30" t="n">
        <x:f>E60*L60</x:f>
        <x:v>16611.55863097449</x:v>
      </x:c>
      <x:c r="N60" s="30" t="n">
        <x:f>F60*L60</x:f>
        <x:v>0</x:v>
      </x:c>
      <x:c r="O60" s="30" t="n">
        <x:f>G60*L60</x:f>
        <x:v>16611.55863097449</x:v>
      </x:c>
    </x:row>
    <x:row r="61" ht="21" customHeight="1">
      <x:c r="A61" s="28" t="n">
        <x:v>55</x:v>
      </x:c>
      <x:c r="B61" s="29" t="n">
        <x:v>46468</x:v>
      </x:c>
      <x:c r="C61" s="28" t="n">
        <x:f>B61-B60</x:f>
        <x:v>28</x:v>
      </x:c>
      <x:c r="D61" s="30" t="n">
        <x:f>H60</x:f>
        <x:v>3646037.89</x:v>
      </x:c>
      <x:c r="E61" s="30" t="n">
        <x:f>ROUND(D61*I61,2)</x:f>
        <x:v>20977.2</x:v>
      </x:c>
      <x:c r="F61" s="30" t="n">
        <x:f>0</x:f>
        <x:v>0</x:v>
      </x:c>
      <x:c r="G61" s="30" t="n">
        <x:f>ROUND(E61+F61,2)</x:f>
        <x:v>20977.2</x:v>
      </x:c>
      <x:c r="H61" s="30" t="n">
        <x:f>ROUND(D61-F61,2)</x:f>
        <x:v>3646037.89</x:v>
      </x:c>
      <x:c r="I61" s="33" t="n">
        <x:f>IF(AND(ISNUMBER('Параметры'!$C$7),'Параметры'!$C$7&gt;=0),'Параметры'!$C$7*C61/365,NA())</x:f>
        <x:v>0.005753424657534247</x:v>
      </x:c>
      <x:c r="J61" s="32" t="n">
        <x:f>J60/(1+I61)</x:f>
        <x:v>0.7111605032069251</x:v>
      </x:c>
      <x:c r="K61" s="33" t="n">
        <x:f>IF(AND(ISNUMBER('Параметры'!$C$8),'Параметры'!$C$8&gt;=0),'Параметры'!$C$8*C61/365,NA())</x:f>
        <x:v>0.005753424657534247</x:v>
      </x:c>
      <x:c r="L61" s="32" t="n">
        <x:f>L60/(1+K61)</x:f>
        <x:v>0.7111605032069251</x:v>
      </x:c>
      <x:c r="M61" s="30" t="n">
        <x:f>E61*L61</x:f>
        <x:v>14918.15610787231</x:v>
      </x:c>
      <x:c r="N61" s="30" t="n">
        <x:f>F61*L61</x:f>
        <x:v>0</x:v>
      </x:c>
      <x:c r="O61" s="30" t="n">
        <x:f>G61*L61</x:f>
        <x:v>14918.15610787231</x:v>
      </x:c>
    </x:row>
    <x:row r="62" ht="21" customHeight="1">
      <x:c r="A62" s="28" t="n">
        <x:v>56</x:v>
      </x:c>
      <x:c r="B62" s="29" t="n">
        <x:v>46499</x:v>
      </x:c>
      <x:c r="C62" s="28" t="n">
        <x:f>B62-B61</x:f>
        <x:v>31</x:v>
      </x:c>
      <x:c r="D62" s="30" t="n">
        <x:f>H61</x:f>
        <x:v>3646037.89</x:v>
      </x:c>
      <x:c r="E62" s="30" t="n">
        <x:f>ROUND(D62*I62,2)</x:f>
        <x:v>23224.76</x:v>
      </x:c>
      <x:c r="F62" s="30" t="n">
        <x:f>0</x:f>
        <x:v>0</x:v>
      </x:c>
      <x:c r="G62" s="30" t="n">
        <x:f>ROUND(E62+F62,2)</x:f>
        <x:v>23224.76</x:v>
      </x:c>
      <x:c r="H62" s="30" t="n">
        <x:f>ROUND(D62-F62,2)</x:f>
        <x:v>3646037.89</x:v>
      </x:c>
      <x:c r="I62" s="33" t="n">
        <x:f>IF(AND(ISNUMBER('Параметры'!$C$7),'Параметры'!$C$7&gt;=0),'Параметры'!$C$7*C62/365,NA())</x:f>
        <x:v>0.00636986301369863</x:v>
      </x:c>
      <x:c r="J62" s="32" t="n">
        <x:f>J61/(1+I62)</x:f>
        <x:v>0.7066591810264145</x:v>
      </x:c>
      <x:c r="K62" s="33" t="n">
        <x:f>IF(AND(ISNUMBER('Параметры'!$C$8),'Параметры'!$C$8&gt;=0),'Параметры'!$C$8*C62/365,NA())</x:f>
        <x:v>0.00636986301369863</x:v>
      </x:c>
      <x:c r="L62" s="32" t="n">
        <x:f>L61/(1+K62)</x:f>
        <x:v>0.7066591810264145</x:v>
      </x:c>
      <x:c r="M62" s="30" t="n">
        <x:f>E62*L62</x:f>
        <x:v>16411.98988113503</x:v>
      </x:c>
      <x:c r="N62" s="30" t="n">
        <x:f>F62*L62</x:f>
        <x:v>0</x:v>
      </x:c>
      <x:c r="O62" s="30" t="n">
        <x:f>G62*L62</x:f>
        <x:v>16411.98988113503</x:v>
      </x:c>
    </x:row>
    <x:row r="63" ht="21" customHeight="1">
      <x:c r="A63" s="28" t="n">
        <x:v>57</x:v>
      </x:c>
      <x:c r="B63" s="29" t="n">
        <x:v>46529</x:v>
      </x:c>
      <x:c r="C63" s="28" t="n">
        <x:f>B63-B62</x:f>
        <x:v>30</x:v>
      </x:c>
      <x:c r="D63" s="30" t="n">
        <x:f>H62</x:f>
        <x:v>3646037.89</x:v>
      </x:c>
      <x:c r="E63" s="30" t="n">
        <x:f>ROUND(D63*I63,2)</x:f>
        <x:v>22475.58</x:v>
      </x:c>
      <x:c r="F63" s="30" t="n">
        <x:f>0</x:f>
        <x:v>0</x:v>
      </x:c>
      <x:c r="G63" s="30" t="n">
        <x:f>ROUND(E63+F63,2)</x:f>
        <x:v>22475.58</x:v>
      </x:c>
      <x:c r="H63" s="30" t="n">
        <x:f>ROUND(D63-F63,2)</x:f>
        <x:v>3646037.89</x:v>
      </x:c>
      <x:c r="I63" s="33" t="n">
        <x:f>IF(AND(ISNUMBER('Параметры'!$C$7),'Параметры'!$C$7&gt;=0),'Параметры'!$C$7*C63/365,NA())</x:f>
        <x:v>0.0061643835616438354</x:v>
      </x:c>
      <x:c r="J63" s="32" t="n">
        <x:f>J62/(1+I63)</x:f>
        <x:v>0.7023297510541627</x:v>
      </x:c>
      <x:c r="K63" s="33" t="n">
        <x:f>IF(AND(ISNUMBER('Параметры'!$C$8),'Параметры'!$C$8&gt;=0),'Параметры'!$C$8*C63/365,NA())</x:f>
        <x:v>0.0061643835616438354</x:v>
      </x:c>
      <x:c r="L63" s="32" t="n">
        <x:f>L62/(1+K63)</x:f>
        <x:v>0.7023297510541627</x:v>
      </x:c>
      <x:c r="M63" s="30" t="n">
        <x:f>E63*L63</x:f>
        <x:v>15785.268506197921</x:v>
      </x:c>
      <x:c r="N63" s="30" t="n">
        <x:f>F63*L63</x:f>
        <x:v>0</x:v>
      </x:c>
      <x:c r="O63" s="30" t="n">
        <x:f>G63*L63</x:f>
        <x:v>15785.268506197921</x:v>
      </x:c>
    </x:row>
    <x:row r="64" ht="21" customHeight="1">
      <x:c r="A64" s="28" t="n">
        <x:v>58</x:v>
      </x:c>
      <x:c r="B64" s="29" t="n">
        <x:v>46560</x:v>
      </x:c>
      <x:c r="C64" s="28" t="n">
        <x:f>B64-B63</x:f>
        <x:v>31</x:v>
      </x:c>
      <x:c r="D64" s="30" t="n">
        <x:f>H63</x:f>
        <x:v>3646037.89</x:v>
      </x:c>
      <x:c r="E64" s="30" t="n">
        <x:f>ROUND(D64*I64,2)</x:f>
        <x:v>23224.76</x:v>
      </x:c>
      <x:c r="F64" s="30" t="n">
        <x:f>0</x:f>
        <x:v>0</x:v>
      </x:c>
      <x:c r="G64" s="30" t="n">
        <x:f>ROUND(E64+F64,2)</x:f>
        <x:v>23224.76</x:v>
      </x:c>
      <x:c r="H64" s="30" t="n">
        <x:f>ROUND(D64-F64,2)</x:f>
        <x:v>3646037.89</x:v>
      </x:c>
      <x:c r="I64" s="33" t="n">
        <x:f>IF(AND(ISNUMBER('Параметры'!$C$7),'Параметры'!$C$7&gt;=0),'Параметры'!$C$7*C64/365,NA())</x:f>
        <x:v>0.00636986301369863</x:v>
      </x:c>
      <x:c r="J64" s="32" t="n">
        <x:f>J63/(1+I64)</x:f>
        <x:v>0.697884323513971</x:v>
      </x:c>
      <x:c r="K64" s="33" t="n">
        <x:f>IF(AND(ISNUMBER('Параметры'!$C$8),'Параметры'!$C$8&gt;=0),'Параметры'!$C$8*C64/365,NA())</x:f>
        <x:v>0.00636986301369863</x:v>
      </x:c>
      <x:c r="L64" s="32" t="n">
        <x:f>L63/(1+K64)</x:f>
        <x:v>0.697884323513971</x:v>
      </x:c>
      <x:c r="M64" s="30" t="n">
        <x:f>E64*L64</x:f>
        <x:v>16208.195921374332</x:v>
      </x:c>
      <x:c r="N64" s="30" t="n">
        <x:f>F64*L64</x:f>
        <x:v>0</x:v>
      </x:c>
      <x:c r="O64" s="30" t="n">
        <x:f>G64*L64</x:f>
        <x:v>16208.195921374332</x:v>
      </x:c>
    </x:row>
    <x:row r="65" ht="21" customHeight="1">
      <x:c r="A65" s="28" t="n">
        <x:v>59</x:v>
      </x:c>
      <x:c r="B65" s="29" t="n">
        <x:v>46590</x:v>
      </x:c>
      <x:c r="C65" s="28" t="n">
        <x:f>B65-B64</x:f>
        <x:v>30</x:v>
      </x:c>
      <x:c r="D65" s="30" t="n">
        <x:f>H64</x:f>
        <x:v>3646037.89</x:v>
      </x:c>
      <x:c r="E65" s="30" t="n">
        <x:f>ROUND(D65*I65,2)</x:f>
        <x:v>22475.58</x:v>
      </x:c>
      <x:c r="F65" s="30" t="n">
        <x:f>0</x:f>
        <x:v>0</x:v>
      </x:c>
      <x:c r="G65" s="30" t="n">
        <x:f>ROUND(E65+F65,2)</x:f>
        <x:v>22475.58</x:v>
      </x:c>
      <x:c r="H65" s="30" t="n">
        <x:f>ROUND(D65-F65,2)</x:f>
        <x:v>3646037.89</x:v>
      </x:c>
      <x:c r="I65" s="33" t="n">
        <x:f>IF(AND(ISNUMBER('Параметры'!$C$7),'Параметры'!$C$7&gt;=0),'Параметры'!$C$7*C65/365,NA())</x:f>
        <x:v>0.0061643835616438354</x:v>
      </x:c>
      <x:c r="J65" s="32" t="n">
        <x:f>J64/(1+I65)</x:f>
        <x:v>0.6936086537306996</x:v>
      </x:c>
      <x:c r="K65" s="33" t="n">
        <x:f>IF(AND(ISNUMBER('Параметры'!$C$8),'Параметры'!$C$8&gt;=0),'Параметры'!$C$8*C65/365,NA())</x:f>
        <x:v>0.0061643835616438354</x:v>
      </x:c>
      <x:c r="L65" s="32" t="n">
        <x:f>L64/(1+K65)</x:f>
        <x:v>0.6936086537306996</x:v>
      </x:c>
      <x:c r="M65" s="30" t="n">
        <x:f>E65*L65</x:f>
        <x:v>15589.256785616639</x:v>
      </x:c>
      <x:c r="N65" s="30" t="n">
        <x:f>F65*L65</x:f>
        <x:v>0</x:v>
      </x:c>
      <x:c r="O65" s="30" t="n">
        <x:f>G65*L65</x:f>
        <x:v>15589.256785616639</x:v>
      </x:c>
    </x:row>
    <x:row r="66" ht="21" customHeight="1">
      <x:c r="A66" s="28" t="n">
        <x:v>60</x:v>
      </x:c>
      <x:c r="B66" s="29" t="n">
        <x:v>46621</x:v>
      </x:c>
      <x:c r="C66" s="28" t="n">
        <x:f>B66-B65</x:f>
        <x:v>31</x:v>
      </x:c>
      <x:c r="D66" s="30" t="n">
        <x:f>H65</x:f>
        <x:v>3646037.89</x:v>
      </x:c>
      <x:c r="E66" s="30" t="n">
        <x:f>ROUND(D66*I66,2)</x:f>
        <x:v>23224.76</x:v>
      </x:c>
      <x:c r="F66" s="30" t="n">
        <x:f>0</x:f>
        <x:v>0</x:v>
      </x:c>
      <x:c r="G66" s="30" t="n">
        <x:f>ROUND(E66+F66,2)</x:f>
        <x:v>23224.76</x:v>
      </x:c>
      <x:c r="H66" s="30" t="n">
        <x:f>ROUND(D66-F66,2)</x:f>
        <x:v>3646037.89</x:v>
      </x:c>
      <x:c r="I66" s="33" t="n">
        <x:f>IF(AND(ISNUMBER('Параметры'!$C$7),'Параметры'!$C$7&gt;=0),'Параметры'!$C$7*C66/365,NA())</x:f>
        <x:v>0.00636986301369863</x:v>
      </x:c>
      <x:c r="J66" s="32" t="n">
        <x:f>J65/(1+I66)</x:f>
        <x:v>0.6892184267656853</x:v>
      </x:c>
      <x:c r="K66" s="33" t="n">
        <x:f>IF(AND(ISNUMBER('Параметры'!$C$8),'Параметры'!$C$8&gt;=0),'Параметры'!$C$8*C66/365,NA())</x:f>
        <x:v>0.00636986301369863</x:v>
      </x:c>
      <x:c r="L66" s="32" t="n">
        <x:f>L65/(1+K66)</x:f>
        <x:v>0.6892184267656853</x:v>
      </x:c>
      <x:c r="M66" s="30" t="n">
        <x:f>E66*L66</x:f>
        <x:v>16006.932549210616</x:v>
      </x:c>
      <x:c r="N66" s="30" t="n">
        <x:f>F66*L66</x:f>
        <x:v>0</x:v>
      </x:c>
      <x:c r="O66" s="30" t="n">
        <x:f>G66*L66</x:f>
        <x:v>16006.932549210616</x:v>
      </x:c>
    </x:row>
    <x:row r="67" ht="21" customHeight="1">
      <x:c r="A67" s="28" t="n">
        <x:v>61</x:v>
      </x:c>
      <x:c r="B67" s="29" t="n">
        <x:v>46652</x:v>
      </x:c>
      <x:c r="C67" s="28" t="n">
        <x:f>B67-B66</x:f>
        <x:v>31</x:v>
      </x:c>
      <x:c r="D67" s="30" t="n">
        <x:f>H66</x:f>
        <x:v>3646037.89</x:v>
      </x:c>
      <x:c r="E67" s="30" t="n">
        <x:f>ROUND(D67*I67,2)</x:f>
        <x:v>23224.76</x:v>
      </x:c>
      <x:c r="F67" s="30" t="n">
        <x:f>0</x:f>
        <x:v>0</x:v>
      </x:c>
      <x:c r="G67" s="30" t="n">
        <x:f>ROUND(E67+F67,2)</x:f>
        <x:v>23224.76</x:v>
      </x:c>
      <x:c r="H67" s="30" t="n">
        <x:f>ROUND(D67-F67,2)</x:f>
        <x:v>3646037.89</x:v>
      </x:c>
      <x:c r="I67" s="33" t="n">
        <x:f>IF(AND(ISNUMBER('Параметры'!$C$7),'Параметры'!$C$7&gt;=0),'Параметры'!$C$7*C67/365,NA())</x:f>
        <x:v>0.00636986301369863</x:v>
      </x:c>
      <x:c r="J67" s="32" t="n">
        <x:f>J66/(1+I67)</x:f>
        <x:v>0.6848559879384065</x:v>
      </x:c>
      <x:c r="K67" s="33" t="n">
        <x:f>IF(AND(ISNUMBER('Параметры'!$C$8),'Параметры'!$C$8&gt;=0),'Параметры'!$C$8*C67/365,NA())</x:f>
        <x:v>0.00636986301369863</x:v>
      </x:c>
      <x:c r="L67" s="32" t="n">
        <x:f>L66/(1+K67)</x:f>
        <x:v>0.6848559879384065</x:v>
      </x:c>
      <x:c r="M67" s="30" t="n">
        <x:f>E67*L67</x:f>
        <x:v>15905.615954432385</x:v>
      </x:c>
      <x:c r="N67" s="30" t="n">
        <x:f>F67*L67</x:f>
        <x:v>0</x:v>
      </x:c>
      <x:c r="O67" s="30" t="n">
        <x:f>G67*L67</x:f>
        <x:v>15905.615954432385</x:v>
      </x:c>
    </x:row>
    <x:row r="68" ht="21" customHeight="1">
      <x:c r="A68" s="28" t="n">
        <x:v>62</x:v>
      </x:c>
      <x:c r="B68" s="29" t="n">
        <x:v>46682</x:v>
      </x:c>
      <x:c r="C68" s="28" t="n">
        <x:f>B68-B67</x:f>
        <x:v>30</x:v>
      </x:c>
      <x:c r="D68" s="30" t="n">
        <x:f>H67</x:f>
        <x:v>3646037.89</x:v>
      </x:c>
      <x:c r="E68" s="30" t="n">
        <x:f>ROUND(D68*I68,2)</x:f>
        <x:v>22475.58</x:v>
      </x:c>
      <x:c r="F68" s="30" t="n">
        <x:f>0</x:f>
        <x:v>0</x:v>
      </x:c>
      <x:c r="G68" s="30" t="n">
        <x:f>ROUND(E68+F68,2)</x:f>
        <x:v>22475.58</x:v>
      </x:c>
      <x:c r="H68" s="30" t="n">
        <x:f>ROUND(D68-F68,2)</x:f>
        <x:v>3646037.89</x:v>
      </x:c>
      <x:c r="I68" s="33" t="n">
        <x:f>IF(AND(ISNUMBER('Параметры'!$C$7),'Параметры'!$C$7&gt;=0),'Параметры'!$C$7*C68/365,NA())</x:f>
        <x:v>0.0061643835616438354</x:v>
      </x:c>
      <x:c r="J68" s="32" t="n">
        <x:f>J67/(1+I68)</x:f>
        <x:v>0.680660137774046</x:v>
      </x:c>
      <x:c r="K68" s="33" t="n">
        <x:f>IF(AND(ISNUMBER('Параметры'!$C$8),'Параметры'!$C$8&gt;=0),'Параметры'!$C$8*C68/365,NA())</x:f>
        <x:v>0.0061643835616438354</x:v>
      </x:c>
      <x:c r="L68" s="32" t="n">
        <x:f>L67/(1+K68)</x:f>
        <x:v>0.680660137774046</x:v>
      </x:c>
      <x:c r="M68" s="30" t="n">
        <x:f>E68*L68</x:f>
        <x:v>15298.231379351593</x:v>
      </x:c>
      <x:c r="N68" s="30" t="n">
        <x:f>F68*L68</x:f>
        <x:v>0</x:v>
      </x:c>
      <x:c r="O68" s="30" t="n">
        <x:f>G68*L68</x:f>
        <x:v>15298.231379351593</x:v>
      </x:c>
    </x:row>
    <x:row r="69" ht="21" customHeight="1">
      <x:c r="A69" s="28" t="n">
        <x:v>63</x:v>
      </x:c>
      <x:c r="B69" s="29" t="n">
        <x:v>46713</x:v>
      </x:c>
      <x:c r="C69" s="28" t="n">
        <x:f>B69-B68</x:f>
        <x:v>31</x:v>
      </x:c>
      <x:c r="D69" s="30" t="n">
        <x:f>H68</x:f>
        <x:v>3646037.89</x:v>
      </x:c>
      <x:c r="E69" s="30" t="n">
        <x:f>ROUND(D69*I69,2)</x:f>
        <x:v>23224.76</x:v>
      </x:c>
      <x:c r="F69" s="30" t="n">
        <x:f>0</x:f>
        <x:v>0</x:v>
      </x:c>
      <x:c r="G69" s="30" t="n">
        <x:f>ROUND(E69+F69,2)</x:f>
        <x:v>23224.76</x:v>
      </x:c>
      <x:c r="H69" s="30" t="n">
        <x:f>ROUND(D69-F69,2)</x:f>
        <x:v>3646037.89</x:v>
      </x:c>
      <x:c r="I69" s="33" t="n">
        <x:f>IF(AND(ISNUMBER('Параметры'!$C$7),'Параметры'!$C$7&gt;=0),'Параметры'!$C$7*C69/365,NA())</x:f>
        <x:v>0.00636986301369863</x:v>
      </x:c>
      <x:c r="J69" s="32" t="n">
        <x:f>J68/(1+I69)</x:f>
        <x:v>0.6763518690193339</x:v>
      </x:c>
      <x:c r="K69" s="33" t="n">
        <x:f>IF(AND(ISNUMBER('Параметры'!$C$8),'Параметры'!$C$8&gt;=0),'Параметры'!$C$8*C69/365,NA())</x:f>
        <x:v>0.00636986301369863</x:v>
      </x:c>
      <x:c r="L69" s="32" t="n">
        <x:f>L68/(1+K69)</x:f>
        <x:v>0.6763518690193339</x:v>
      </x:c>
      <x:c r="M69" s="30" t="n">
        <x:f>E69*L69</x:f>
        <x:v>15708.109833525463</x:v>
      </x:c>
      <x:c r="N69" s="30" t="n">
        <x:f>F69*L69</x:f>
        <x:v>0</x:v>
      </x:c>
      <x:c r="O69" s="30" t="n">
        <x:f>G69*L69</x:f>
        <x:v>15708.109833525463</x:v>
      </x:c>
    </x:row>
    <x:row r="70" ht="21" customHeight="1">
      <x:c r="A70" s="28" t="n">
        <x:v>64</x:v>
      </x:c>
      <x:c r="B70" s="29" t="n">
        <x:v>46743</x:v>
      </x:c>
      <x:c r="C70" s="28" t="n">
        <x:f>B70-B69</x:f>
        <x:v>30</x:v>
      </x:c>
      <x:c r="D70" s="30" t="n">
        <x:f>H69</x:f>
        <x:v>3646037.89</x:v>
      </x:c>
      <x:c r="E70" s="30" t="n">
        <x:f>ROUND(D70*I70,2)</x:f>
        <x:v>22475.58</x:v>
      </x:c>
      <x:c r="F70" s="30" t="n">
        <x:f>0</x:f>
        <x:v>0</x:v>
      </x:c>
      <x:c r="G70" s="30" t="n">
        <x:f>ROUND(E70+F70,2)</x:f>
        <x:v>22475.58</x:v>
      </x:c>
      <x:c r="H70" s="30" t="n">
        <x:f>ROUND(D70-F70,2)</x:f>
        <x:v>3646037.89</x:v>
      </x:c>
      <x:c r="I70" s="33" t="n">
        <x:f>IF(AND(ISNUMBER('Параметры'!$C$7),'Параметры'!$C$7&gt;=0),'Параметры'!$C$7*C70/365,NA())</x:f>
        <x:v>0.0061643835616438354</x:v>
      </x:c>
      <x:c r="J70" s="32" t="n">
        <x:f>J69/(1+I70)</x:f>
        <x:v>0.6722081203323536</x:v>
      </x:c>
      <x:c r="K70" s="33" t="n">
        <x:f>IF(AND(ISNUMBER('Параметры'!$C$8),'Параметры'!$C$8&gt;=0),'Параметры'!$C$8*C70/365,NA())</x:f>
        <x:v>0.0061643835616438354</x:v>
      </x:c>
      <x:c r="L70" s="32" t="n">
        <x:f>L69/(1+K70)</x:f>
        <x:v>0.6722081203323536</x:v>
      </x:c>
      <x:c r="M70" s="30" t="n">
        <x:f>E70*L70</x:f>
        <x:v>15108.26738517944</x:v>
      </x:c>
      <x:c r="N70" s="30" t="n">
        <x:f>F70*L70</x:f>
        <x:v>0</x:v>
      </x:c>
      <x:c r="O70" s="30" t="n">
        <x:f>G70*L70</x:f>
        <x:v>15108.26738517944</x:v>
      </x:c>
    </x:row>
    <x:row r="71" ht="21" customHeight="1">
      <x:c r="A71" s="28" t="n">
        <x:v>65</x:v>
      </x:c>
      <x:c r="B71" s="29" t="n">
        <x:v>46774</x:v>
      </x:c>
      <x:c r="C71" s="28" t="n">
        <x:f>B71-B70</x:f>
        <x:v>31</x:v>
      </x:c>
      <x:c r="D71" s="30" t="n">
        <x:f>H70</x:f>
        <x:v>3646037.89</x:v>
      </x:c>
      <x:c r="E71" s="30" t="n">
        <x:f>ROUND(D71*I71,2)</x:f>
        <x:v>23224.76</x:v>
      </x:c>
      <x:c r="F71" s="30" t="n">
        <x:f>0</x:f>
        <x:v>0</x:v>
      </x:c>
      <x:c r="G71" s="30" t="n">
        <x:f>ROUND(E71+F71,2)</x:f>
        <x:v>23224.76</x:v>
      </x:c>
      <x:c r="H71" s="30" t="n">
        <x:f>ROUND(D71-F71,2)</x:f>
        <x:v>3646037.89</x:v>
      </x:c>
      <x:c r="I71" s="33" t="n">
        <x:f>IF(AND(ISNUMBER('Параметры'!$C$7),'Параметры'!$C$7&gt;=0),'Параметры'!$C$7*C71/365,NA())</x:f>
        <x:v>0.00636986301369863</x:v>
      </x:c>
      <x:c r="J71" s="32" t="n">
        <x:f>J70/(1+I71)</x:f>
        <x:v>0.6679533489996844</x:v>
      </x:c>
      <x:c r="K71" s="33" t="n">
        <x:f>IF(AND(ISNUMBER('Параметры'!$C$8),'Параметры'!$C$8&gt;=0),'Параметры'!$C$8*C71/365,NA())</x:f>
        <x:v>0.00636986301369863</x:v>
      </x:c>
      <x:c r="L71" s="32" t="n">
        <x:f>L70/(1+K71)</x:f>
        <x:v>0.6679533489996844</x:v>
      </x:c>
      <x:c r="M71" s="30" t="n">
        <x:f>E71*L71</x:f>
        <x:v>15513.056221713909</x:v>
      </x:c>
      <x:c r="N71" s="30" t="n">
        <x:f>F71*L71</x:f>
        <x:v>0</x:v>
      </x:c>
      <x:c r="O71" s="30" t="n">
        <x:f>G71*L71</x:f>
        <x:v>15513.056221713909</x:v>
      </x:c>
    </x:row>
    <x:row r="72" ht="21" customHeight="1">
      <x:c r="A72" s="28" t="n">
        <x:v>66</x:v>
      </x:c>
      <x:c r="B72" s="29" t="n">
        <x:v>46805</x:v>
      </x:c>
      <x:c r="C72" s="28" t="n">
        <x:f>B72-B71</x:f>
        <x:v>31</x:v>
      </x:c>
      <x:c r="D72" s="30" t="n">
        <x:f>H71</x:f>
        <x:v>3646037.89</x:v>
      </x:c>
      <x:c r="E72" s="30" t="n">
        <x:f>ROUND(D72*I72,2)</x:f>
        <x:v>23224.76</x:v>
      </x:c>
      <x:c r="F72" s="30" t="n">
        <x:f>0</x:f>
        <x:v>0</x:v>
      </x:c>
      <x:c r="G72" s="30" t="n">
        <x:f>ROUND(E72+F72,2)</x:f>
        <x:v>23224.76</x:v>
      </x:c>
      <x:c r="H72" s="30" t="n">
        <x:f>ROUND(D72-F72,2)</x:f>
        <x:v>3646037.89</x:v>
      </x:c>
      <x:c r="I72" s="33" t="n">
        <x:f>IF(AND(ISNUMBER('Параметры'!$C$7),'Параметры'!$C$7&gt;=0),'Параметры'!$C$7*C72/365,NA())</x:f>
        <x:v>0.00636986301369863</x:v>
      </x:c>
      <x:c r="J72" s="32" t="n">
        <x:f>J71/(1+I72)</x:f>
        <x:v>0.6637255084322734</x:v>
      </x:c>
      <x:c r="K72" s="33" t="n">
        <x:f>IF(AND(ISNUMBER('Параметры'!$C$8),'Параметры'!$C$8&gt;=0),'Параметры'!$C$8*C72/365,NA())</x:f>
        <x:v>0.00636986301369863</x:v>
      </x:c>
      <x:c r="L72" s="32" t="n">
        <x:f>L71/(1+K72)</x:f>
        <x:v>0.6637255084322734</x:v>
      </x:c>
      <x:c r="M72" s="30" t="n">
        <x:f>E72*L72</x:f>
        <x:v>15414.865639217525</x:v>
      </x:c>
      <x:c r="N72" s="30" t="n">
        <x:f>F72*L72</x:f>
        <x:v>0</x:v>
      </x:c>
      <x:c r="O72" s="30" t="n">
        <x:f>G72*L72</x:f>
        <x:v>15414.865639217525</x:v>
      </x:c>
    </x:row>
    <x:row r="73" ht="21" customHeight="1">
      <x:c r="A73" s="28" t="n">
        <x:v>67</x:v>
      </x:c>
      <x:c r="B73" s="29" t="n">
        <x:v>46834</x:v>
      </x:c>
      <x:c r="C73" s="28" t="n">
        <x:f>B73-B72</x:f>
        <x:v>29</x:v>
      </x:c>
      <x:c r="D73" s="30" t="n">
        <x:f>H72</x:f>
        <x:v>3646037.89</x:v>
      </x:c>
      <x:c r="E73" s="30" t="n">
        <x:f>ROUND(D73*I73,2)</x:f>
        <x:v>21726.39</x:v>
      </x:c>
      <x:c r="F73" s="30" t="n">
        <x:f>0</x:f>
        <x:v>0</x:v>
      </x:c>
      <x:c r="G73" s="30" t="n">
        <x:f>ROUND(E73+F73,2)</x:f>
        <x:v>21726.39</x:v>
      </x:c>
      <x:c r="H73" s="30" t="n">
        <x:f>ROUND(D73-F73,2)</x:f>
        <x:v>3646037.89</x:v>
      </x:c>
      <x:c r="I73" s="33" t="n">
        <x:f>IF(AND(ISNUMBER('Параметры'!$C$7),'Параметры'!$C$7&gt;=0),'Параметры'!$C$7*C73/365,NA())</x:f>
        <x:v>0.00595890410958904</x:v>
      </x:c>
      <x:c r="J73" s="32" t="n">
        <x:f>J72/(1+I73)</x:f>
        <x:v>0.6597938600879139</x:v>
      </x:c>
      <x:c r="K73" s="33" t="n">
        <x:f>IF(AND(ISNUMBER('Параметры'!$C$8),'Параметры'!$C$8&gt;=0),'Параметры'!$C$8*C73/365,NA())</x:f>
        <x:v>0.00595890410958904</x:v>
      </x:c>
      <x:c r="L73" s="32" t="n">
        <x:f>L72/(1+K73)</x:f>
        <x:v>0.6597938600879139</x:v>
      </x:c>
      <x:c r="M73" s="30" t="n">
        <x:f>E73*L73</x:f>
        <x:v>14334.93872387545</x:v>
      </x:c>
      <x:c r="N73" s="30" t="n">
        <x:f>F73*L73</x:f>
        <x:v>0</x:v>
      </x:c>
      <x:c r="O73" s="30" t="n">
        <x:f>G73*L73</x:f>
        <x:v>14334.93872387545</x:v>
      </x:c>
    </x:row>
    <x:row r="74" ht="21" customHeight="1">
      <x:c r="A74" s="28" t="n">
        <x:v>68</x:v>
      </x:c>
      <x:c r="B74" s="29" t="n">
        <x:v>46865</x:v>
      </x:c>
      <x:c r="C74" s="28" t="n">
        <x:f>B74-B73</x:f>
        <x:v>31</x:v>
      </x:c>
      <x:c r="D74" s="30" t="n">
        <x:f>H73</x:f>
        <x:v>3646037.89</x:v>
      </x:c>
      <x:c r="E74" s="30" t="n">
        <x:f>ROUND(D74*I74,2)</x:f>
        <x:v>23224.76</x:v>
      </x:c>
      <x:c r="F74" s="30" t="n">
        <x:f>0</x:f>
        <x:v>0</x:v>
      </x:c>
      <x:c r="G74" s="30" t="n">
        <x:f>ROUND(E74+F74,2)</x:f>
        <x:v>23224.76</x:v>
      </x:c>
      <x:c r="H74" s="30" t="n">
        <x:f>ROUND(D74-F74,2)</x:f>
        <x:v>3646037.89</x:v>
      </x:c>
      <x:c r="I74" s="33" t="n">
        <x:f>IF(AND(ISNUMBER('Параметры'!$C$7),'Параметры'!$C$7&gt;=0),'Параметры'!$C$7*C74/365,NA())</x:f>
        <x:v>0.00636986301369863</x:v>
      </x:c>
      <x:c r="J74" s="32" t="n">
        <x:f>J73/(1+I74)</x:f>
        <x:v>0.6556176653701452</x:v>
      </x:c>
      <x:c r="K74" s="33" t="n">
        <x:f>IF(AND(ISNUMBER('Параметры'!$C$8),'Параметры'!$C$8&gt;=0),'Параметры'!$C$8*C74/365,NA())</x:f>
        <x:v>0.00636986301369863</x:v>
      </x:c>
      <x:c r="L74" s="32" t="n">
        <x:f>L73/(1+K74)</x:f>
        <x:v>0.6556176653701452</x:v>
      </x:c>
      <x:c r="M74" s="30" t="n">
        <x:f>E74*L74</x:f>
        <x:v>15226.562929981932</x:v>
      </x:c>
      <x:c r="N74" s="30" t="n">
        <x:f>F74*L74</x:f>
        <x:v>0</x:v>
      </x:c>
      <x:c r="O74" s="30" t="n">
        <x:f>G74*L74</x:f>
        <x:v>15226.562929981932</x:v>
      </x:c>
    </x:row>
    <x:row r="75" ht="21" customHeight="1">
      <x:c r="A75" s="28" t="n">
        <x:v>69</x:v>
      </x:c>
      <x:c r="B75" s="29" t="n">
        <x:v>46895</x:v>
      </x:c>
      <x:c r="C75" s="28" t="n">
        <x:f>B75-B74</x:f>
        <x:v>30</x:v>
      </x:c>
      <x:c r="D75" s="30" t="n">
        <x:f>H74</x:f>
        <x:v>3646037.89</x:v>
      </x:c>
      <x:c r="E75" s="30" t="n">
        <x:f>ROUND(D75*I75,2)</x:f>
        <x:v>22475.58</x:v>
      </x:c>
      <x:c r="F75" s="30" t="n">
        <x:f>0</x:f>
        <x:v>0</x:v>
      </x:c>
      <x:c r="G75" s="30" t="n">
        <x:f>ROUND(E75+F75,2)</x:f>
        <x:v>22475.58</x:v>
      </x:c>
      <x:c r="H75" s="30" t="n">
        <x:f>ROUND(D75-F75,2)</x:f>
        <x:v>3646037.89</x:v>
      </x:c>
      <x:c r="I75" s="33" t="n">
        <x:f>IF(AND(ISNUMBER('Параметры'!$C$7),'Параметры'!$C$7&gt;=0),'Параметры'!$C$7*C75/365,NA())</x:f>
        <x:v>0.0061643835616438354</x:v>
      </x:c>
      <x:c r="J75" s="32" t="n">
        <x:f>J74/(1+I75)</x:f>
        <x:v>0.6516009472024589</x:v>
      </x:c>
      <x:c r="K75" s="33" t="n">
        <x:f>IF(AND(ISNUMBER('Параметры'!$C$8),'Параметры'!$C$8&gt;=0),'Параметры'!$C$8*C75/365,NA())</x:f>
        <x:v>0.0061643835616438354</x:v>
      </x:c>
      <x:c r="L75" s="32" t="n">
        <x:f>L74/(1+K75)</x:f>
        <x:v>0.6516009472024589</x:v>
      </x:c>
      <x:c r="M75" s="30" t="n">
        <x:f>E75*L75</x:f>
        <x:v>14645.109216924642</x:v>
      </x:c>
      <x:c r="N75" s="30" t="n">
        <x:f>F75*L75</x:f>
        <x:v>0</x:v>
      </x:c>
      <x:c r="O75" s="30" t="n">
        <x:f>G75*L75</x:f>
        <x:v>14645.109216924642</x:v>
      </x:c>
    </x:row>
    <x:row r="76" ht="21" customHeight="1">
      <x:c r="A76" s="28" t="n">
        <x:v>70</x:v>
      </x:c>
      <x:c r="B76" s="29" t="n">
        <x:v>46926</x:v>
      </x:c>
      <x:c r="C76" s="28" t="n">
        <x:f>B76-B75</x:f>
        <x:v>31</x:v>
      </x:c>
      <x:c r="D76" s="30" t="n">
        <x:f>H75</x:f>
        <x:v>3646037.89</x:v>
      </x:c>
      <x:c r="E76" s="30" t="n">
        <x:f>ROUND(D76*I76,2)</x:f>
        <x:v>23224.76</x:v>
      </x:c>
      <x:c r="F76" s="30" t="n">
        <x:f>0</x:f>
        <x:v>0</x:v>
      </x:c>
      <x:c r="G76" s="30" t="n">
        <x:f>ROUND(E76+F76,2)</x:f>
        <x:v>23224.76</x:v>
      </x:c>
      <x:c r="H76" s="30" t="n">
        <x:f>ROUND(D76-F76,2)</x:f>
        <x:v>3646037.89</x:v>
      </x:c>
      <x:c r="I76" s="33" t="n">
        <x:f>IF(AND(ISNUMBER('Параметры'!$C$7),'Параметры'!$C$7&gt;=0),'Параметры'!$C$7*C76/365,NA())</x:f>
        <x:v>0.00636986301369863</x:v>
      </x:c>
      <x:c r="J76" s="32" t="n">
        <x:f>J75/(1+I76)</x:f>
        <x:v>0.6474766098928674</x:v>
      </x:c>
      <x:c r="K76" s="33" t="n">
        <x:f>IF(AND(ISNUMBER('Параметры'!$C$8),'Параметры'!$C$8&gt;=0),'Параметры'!$C$8*C76/365,NA())</x:f>
        <x:v>0.00636986301369863</x:v>
      </x:c>
      <x:c r="L76" s="32" t="n">
        <x:f>L75/(1+K76)</x:f>
        <x:v>0.6474766098928674</x:v>
      </x:c>
      <x:c r="M76" s="30" t="n">
        <x:f>E76*L76</x:f>
        <x:v>15037.48887037547</x:v>
      </x:c>
      <x:c r="N76" s="30" t="n">
        <x:f>F76*L76</x:f>
        <x:v>0</x:v>
      </x:c>
      <x:c r="O76" s="30" t="n">
        <x:f>G76*L76</x:f>
        <x:v>15037.48887037547</x:v>
      </x:c>
    </x:row>
    <x:row r="77" ht="21" customHeight="1">
      <x:c r="A77" s="28" t="n">
        <x:v>71</x:v>
      </x:c>
      <x:c r="B77" s="29" t="n">
        <x:v>46956</x:v>
      </x:c>
      <x:c r="C77" s="28" t="n">
        <x:f>B77-B76</x:f>
        <x:v>30</x:v>
      </x:c>
      <x:c r="D77" s="30" t="n">
        <x:f>H76</x:f>
        <x:v>3646037.89</x:v>
      </x:c>
      <x:c r="E77" s="30" t="n">
        <x:f>ROUND(D77*I77,2)</x:f>
        <x:v>22475.58</x:v>
      </x:c>
      <x:c r="F77" s="30" t="n">
        <x:f>0</x:f>
        <x:v>0</x:v>
      </x:c>
      <x:c r="G77" s="30" t="n">
        <x:f>ROUND(E77+F77,2)</x:f>
        <x:v>22475.58</x:v>
      </x:c>
      <x:c r="H77" s="30" t="n">
        <x:f>ROUND(D77-F77,2)</x:f>
        <x:v>3646037.89</x:v>
      </x:c>
      <x:c r="I77" s="33" t="n">
        <x:f>IF(AND(ISNUMBER('Параметры'!$C$7),'Параметры'!$C$7&gt;=0),'Параметры'!$C$7*C77/365,NA())</x:f>
        <x:v>0.0061643835616438354</x:v>
      </x:c>
      <x:c r="J77" s="32" t="n">
        <x:f>J76/(1+I77)</x:f>
        <x:v>0.6435097688519988</x:v>
      </x:c>
      <x:c r="K77" s="33" t="n">
        <x:f>IF(AND(ISNUMBER('Параметры'!$C$8),'Параметры'!$C$8&gt;=0),'Параметры'!$C$8*C77/365,NA())</x:f>
        <x:v>0.0061643835616438354</x:v>
      </x:c>
      <x:c r="L77" s="32" t="n">
        <x:f>L76/(1+K77)</x:f>
        <x:v>0.6435097688519988</x:v>
      </x:c>
      <x:c r="M77" s="30" t="n">
        <x:f>E77*L77</x:f>
        <x:v>14463.255290614608</x:v>
      </x:c>
      <x:c r="N77" s="30" t="n">
        <x:f>F77*L77</x:f>
        <x:v>0</x:v>
      </x:c>
      <x:c r="O77" s="30" t="n">
        <x:f>G77*L77</x:f>
        <x:v>14463.255290614608</x:v>
      </x:c>
    </x:row>
    <x:row r="78" ht="21" customHeight="1">
      <x:c r="A78" s="28" t="n">
        <x:v>72</x:v>
      </x:c>
      <x:c r="B78" s="29" t="n">
        <x:v>46987</x:v>
      </x:c>
      <x:c r="C78" s="28" t="n">
        <x:f>B78-B77</x:f>
        <x:v>31</x:v>
      </x:c>
      <x:c r="D78" s="30" t="n">
        <x:f>H77</x:f>
        <x:v>3646037.89</x:v>
      </x:c>
      <x:c r="E78" s="30" t="n">
        <x:f>ROUND(D78*I78,2)</x:f>
        <x:v>23224.76</x:v>
      </x:c>
      <x:c r="F78" s="30" t="n">
        <x:f>0</x:f>
        <x:v>0</x:v>
      </x:c>
      <x:c r="G78" s="30" t="n">
        <x:f>ROUND(E78+F78,2)</x:f>
        <x:v>23224.76</x:v>
      </x:c>
      <x:c r="H78" s="30" t="n">
        <x:f>ROUND(D78-F78,2)</x:f>
        <x:v>3646037.89</x:v>
      </x:c>
      <x:c r="I78" s="33" t="n">
        <x:f>IF(AND(ISNUMBER('Параметры'!$C$7),'Параметры'!$C$7&gt;=0),'Параметры'!$C$7*C78/365,NA())</x:f>
        <x:v>0.00636986301369863</x:v>
      </x:c>
      <x:c r="J78" s="32" t="n">
        <x:f>J77/(1+I78)</x:f>
        <x:v>0.6394366450172997</x:v>
      </x:c>
      <x:c r="K78" s="33" t="n">
        <x:f>IF(AND(ISNUMBER('Параметры'!$C$8),'Параметры'!$C$8&gt;=0),'Параметры'!$C$8*C78/365,NA())</x:f>
        <x:v>0.00636986301369863</x:v>
      </x:c>
      <x:c r="L78" s="32" t="n">
        <x:f>L77/(1+K78)</x:f>
        <x:v>0.6394366450172997</x:v>
      </x:c>
      <x:c r="M78" s="30" t="n">
        <x:f>E78*L78</x:f>
        <x:v>14850.76261573198</x:v>
      </x:c>
      <x:c r="N78" s="30" t="n">
        <x:f>F78*L78</x:f>
        <x:v>0</x:v>
      </x:c>
      <x:c r="O78" s="30" t="n">
        <x:f>G78*L78</x:f>
        <x:v>14850.76261573198</x:v>
      </x:c>
    </x:row>
    <x:row r="79" ht="21" customHeight="1">
      <x:c r="A79" s="28" t="n">
        <x:v>73</x:v>
      </x:c>
      <x:c r="B79" s="29" t="n">
        <x:v>47018</x:v>
      </x:c>
      <x:c r="C79" s="28" t="n">
        <x:f>B79-B78</x:f>
        <x:v>31</x:v>
      </x:c>
      <x:c r="D79" s="30" t="n">
        <x:f>H78</x:f>
        <x:v>3646037.89</x:v>
      </x:c>
      <x:c r="E79" s="30" t="n">
        <x:f>ROUND(D79*I79,2)</x:f>
        <x:v>23224.76</x:v>
      </x:c>
      <x:c r="F79" s="30" t="n">
        <x:f>0</x:f>
        <x:v>0</x:v>
      </x:c>
      <x:c r="G79" s="30" t="n">
        <x:f>ROUND(E79+F79,2)</x:f>
        <x:v>23224.76</x:v>
      </x:c>
      <x:c r="H79" s="30" t="n">
        <x:f>ROUND(D79-F79,2)</x:f>
        <x:v>3646037.89</x:v>
      </x:c>
      <x:c r="I79" s="33" t="n">
        <x:f>IF(AND(ISNUMBER('Параметры'!$C$7),'Параметры'!$C$7&gt;=0),'Параметры'!$C$7*C79/365,NA())</x:f>
        <x:v>0.00636986301369863</x:v>
      </x:c>
      <x:c r="J79" s="32" t="n">
        <x:f>J78/(1+I79)</x:f>
        <x:v>0.635389302201904</x:v>
      </x:c>
      <x:c r="K79" s="33" t="n">
        <x:f>IF(AND(ISNUMBER('Параметры'!$C$8),'Параметры'!$C$8&gt;=0),'Параметры'!$C$8*C79/365,NA())</x:f>
        <x:v>0.00636986301369863</x:v>
      </x:c>
      <x:c r="L79" s="32" t="n">
        <x:f>L78/(1+K79)</x:f>
        <x:v>0.635389302201904</x:v>
      </x:c>
      <x:c r="M79" s="30" t="n">
        <x:f>E79*L79</x:f>
        <x:v>14756.764050206692</x:v>
      </x:c>
      <x:c r="N79" s="30" t="n">
        <x:f>F79*L79</x:f>
        <x:v>0</x:v>
      </x:c>
      <x:c r="O79" s="30" t="n">
        <x:f>G79*L79</x:f>
        <x:v>14756.764050206692</x:v>
      </x:c>
    </x:row>
    <x:row r="80" ht="21" customHeight="1">
      <x:c r="A80" s="28" t="n">
        <x:v>74</x:v>
      </x:c>
      <x:c r="B80" s="29" t="n">
        <x:v>47048</x:v>
      </x:c>
      <x:c r="C80" s="28" t="n">
        <x:f>B80-B79</x:f>
        <x:v>30</x:v>
      </x:c>
      <x:c r="D80" s="30" t="n">
        <x:f>H79</x:f>
        <x:v>3646037.89</x:v>
      </x:c>
      <x:c r="E80" s="30" t="n">
        <x:f>ROUND(D80*I80,2)</x:f>
        <x:v>22475.58</x:v>
      </x:c>
      <x:c r="F80" s="30" t="n">
        <x:f>0</x:f>
        <x:v>0</x:v>
      </x:c>
      <x:c r="G80" s="30" t="n">
        <x:f>ROUND(E80+F80,2)</x:f>
        <x:v>22475.58</x:v>
      </x:c>
      <x:c r="H80" s="30" t="n">
        <x:f>ROUND(D80-F80,2)</x:f>
        <x:v>3646037.89</x:v>
      </x:c>
      <x:c r="I80" s="33" t="n">
        <x:f>IF(AND(ISNUMBER('Параметры'!$C$7),'Параметры'!$C$7&gt;=0),'Параметры'!$C$7*C80/365,NA())</x:f>
        <x:v>0.0061643835616438354</x:v>
      </x:c>
      <x:c r="J80" s="32" t="n">
        <x:f>J79/(1+I80)</x:f>
        <x:v>0.6314965154627501</x:v>
      </x:c>
      <x:c r="K80" s="33" t="n">
        <x:f>IF(AND(ISNUMBER('Параметры'!$C$8),'Параметры'!$C$8&gt;=0),'Параметры'!$C$8*C80/365,NA())</x:f>
        <x:v>0.0061643835616438354</x:v>
      </x:c>
      <x:c r="L80" s="32" t="n">
        <x:f>L79/(1+K80)</x:f>
        <x:v>0.6314965154627501</x:v>
      </x:c>
      <x:c r="M80" s="30" t="n">
        <x:f>E80*L80</x:f>
        <x:v>14193.250453004279</x:v>
      </x:c>
      <x:c r="N80" s="30" t="n">
        <x:f>F80*L80</x:f>
        <x:v>0</x:v>
      </x:c>
      <x:c r="O80" s="30" t="n">
        <x:f>G80*L80</x:f>
        <x:v>14193.250453004279</x:v>
      </x:c>
    </x:row>
    <x:row r="81" ht="21" customHeight="1">
      <x:c r="A81" s="28" t="n">
        <x:v>75</x:v>
      </x:c>
      <x:c r="B81" s="29" t="n">
        <x:v>47079</x:v>
      </x:c>
      <x:c r="C81" s="28" t="n">
        <x:f>B81-B80</x:f>
        <x:v>31</x:v>
      </x:c>
      <x:c r="D81" s="30" t="n">
        <x:f>H80</x:f>
        <x:v>3646037.89</x:v>
      </x:c>
      <x:c r="E81" s="30" t="n">
        <x:f>ROUND(D81*I81,2)</x:f>
        <x:v>23224.76</x:v>
      </x:c>
      <x:c r="F81" s="30" t="n">
        <x:f>0</x:f>
        <x:v>0</x:v>
      </x:c>
      <x:c r="G81" s="30" t="n">
        <x:f>ROUND(E81+F81,2)</x:f>
        <x:v>23224.76</x:v>
      </x:c>
      <x:c r="H81" s="30" t="n">
        <x:f>ROUND(D81-F81,2)</x:f>
        <x:v>3646037.89</x:v>
      </x:c>
      <x:c r="I81" s="33" t="n">
        <x:f>IF(AND(ISNUMBER('Параметры'!$C$7),'Параметры'!$C$7&gt;=0),'Параметры'!$C$7*C81/365,NA())</x:f>
        <x:v>0.00636986301369863</x:v>
      </x:c>
      <x:c r="J81" s="32" t="n">
        <x:f>J80/(1+I81)</x:f>
        <x:v>0.627499430052144</x:v>
      </x:c>
      <x:c r="K81" s="33" t="n">
        <x:f>IF(AND(ISNUMBER('Параметры'!$C$8),'Параметры'!$C$8&gt;=0),'Параметры'!$C$8*C81/365,NA())</x:f>
        <x:v>0.00636986301369863</x:v>
      </x:c>
      <x:c r="L81" s="32" t="n">
        <x:f>L80/(1+K81)</x:f>
        <x:v>0.627499430052144</x:v>
      </x:c>
      <x:c r="M81" s="30" t="n">
        <x:f>E81*L81</x:f>
        <x:v>14573.523663097832</x:v>
      </x:c>
      <x:c r="N81" s="30" t="n">
        <x:f>F81*L81</x:f>
        <x:v>0</x:v>
      </x:c>
      <x:c r="O81" s="30" t="n">
        <x:f>G81*L81</x:f>
        <x:v>14573.523663097832</x:v>
      </x:c>
    </x:row>
    <x:row r="82" ht="21" customHeight="1">
      <x:c r="A82" s="28" t="n">
        <x:v>76</x:v>
      </x:c>
      <x:c r="B82" s="29" t="n">
        <x:v>47109</x:v>
      </x:c>
      <x:c r="C82" s="28" t="n">
        <x:f>B82-B81</x:f>
        <x:v>30</x:v>
      </x:c>
      <x:c r="D82" s="30" t="n">
        <x:f>H81</x:f>
        <x:v>3646037.89</x:v>
      </x:c>
      <x:c r="E82" s="30" t="n">
        <x:f>ROUND(D82*I82,2)</x:f>
        <x:v>22475.58</x:v>
      </x:c>
      <x:c r="F82" s="30" t="n">
        <x:f>0</x:f>
        <x:v>0</x:v>
      </x:c>
      <x:c r="G82" s="30" t="n">
        <x:f>ROUND(E82+F82,2)</x:f>
        <x:v>22475.58</x:v>
      </x:c>
      <x:c r="H82" s="30" t="n">
        <x:f>ROUND(D82-F82,2)</x:f>
        <x:v>3646037.89</x:v>
      </x:c>
      <x:c r="I82" s="33" t="n">
        <x:f>IF(AND(ISNUMBER('Параметры'!$C$7),'Параметры'!$C$7&gt;=0),'Параметры'!$C$7*C82/365,NA())</x:f>
        <x:v>0.0061643835616438354</x:v>
      </x:c>
      <x:c r="J82" s="32" t="n">
        <x:f>J81/(1+I82)</x:f>
        <x:v>0.6236549815358273</x:v>
      </x:c>
      <x:c r="K82" s="33" t="n">
        <x:f>IF(AND(ISNUMBER('Параметры'!$C$8),'Параметры'!$C$8&gt;=0),'Параметры'!$C$8*C82/365,NA())</x:f>
        <x:v>0.0061643835616438354</x:v>
      </x:c>
      <x:c r="L82" s="32" t="n">
        <x:f>L81/(1+K82)</x:f>
        <x:v>0.6236549815358273</x:v>
      </x:c>
      <x:c r="M82" s="30" t="n">
        <x:f>E82*L82</x:f>
        <x:v>14017.007429907011</x:v>
      </x:c>
      <x:c r="N82" s="30" t="n">
        <x:f>F82*L82</x:f>
        <x:v>0</x:v>
      </x:c>
      <x:c r="O82" s="30" t="n">
        <x:f>G82*L82</x:f>
        <x:v>14017.007429907011</x:v>
      </x:c>
    </x:row>
    <x:row r="83" ht="21" customHeight="1">
      <x:c r="A83" s="28" t="n">
        <x:v>77</x:v>
      </x:c>
      <x:c r="B83" s="29" t="n">
        <x:v>47140</x:v>
      </x:c>
      <x:c r="C83" s="28" t="n">
        <x:f>B83-B82</x:f>
        <x:v>31</x:v>
      </x:c>
      <x:c r="D83" s="30" t="n">
        <x:f>H82</x:f>
        <x:v>3646037.89</x:v>
      </x:c>
      <x:c r="E83" s="30" t="n">
        <x:f>ROUND(D83*I83,2)</x:f>
        <x:v>23224.76</x:v>
      </x:c>
      <x:c r="F83" s="30" t="n">
        <x:f>0</x:f>
        <x:v>0</x:v>
      </x:c>
      <x:c r="G83" s="30" t="n">
        <x:f>ROUND(E83+F83,2)</x:f>
        <x:v>23224.76</x:v>
      </x:c>
      <x:c r="H83" s="30" t="n">
        <x:f>ROUND(D83-F83,2)</x:f>
        <x:v>3646037.89</x:v>
      </x:c>
      <x:c r="I83" s="33" t="n">
        <x:f>IF(AND(ISNUMBER('Параметры'!$C$7),'Параметры'!$C$7&gt;=0),'Параметры'!$C$7*C83/365,NA())</x:f>
        <x:v>0.00636986301369863</x:v>
      </x:c>
      <x:c r="J83" s="32" t="n">
        <x:f>J82/(1+I83)</x:f>
        <x:v>0.6197075294645804</x:v>
      </x:c>
      <x:c r="K83" s="33" t="n">
        <x:f>IF(AND(ISNUMBER('Параметры'!$C$8),'Параметры'!$C$8&gt;=0),'Параметры'!$C$8*C83/365,NA())</x:f>
        <x:v>0.00636986301369863</x:v>
      </x:c>
      <x:c r="L83" s="32" t="n">
        <x:f>L82/(1+K83)</x:f>
        <x:v>0.6197075294645804</x:v>
      </x:c>
      <x:c r="M83" s="30" t="n">
        <x:f>E83*L83</x:f>
        <x:v>14392.558642007807</x:v>
      </x:c>
      <x:c r="N83" s="30" t="n">
        <x:f>F83*L83</x:f>
        <x:v>0</x:v>
      </x:c>
      <x:c r="O83" s="30" t="n">
        <x:f>G83*L83</x:f>
        <x:v>14392.558642007807</x:v>
      </x:c>
    </x:row>
    <x:row r="84" ht="21" customHeight="1">
      <x:c r="A84" s="28" t="n">
        <x:v>78</x:v>
      </x:c>
      <x:c r="B84" s="29" t="n">
        <x:v>47171</x:v>
      </x:c>
      <x:c r="C84" s="28" t="n">
        <x:f>B84-B83</x:f>
        <x:v>31</x:v>
      </x:c>
      <x:c r="D84" s="30" t="n">
        <x:f>H83</x:f>
        <x:v>3646037.89</x:v>
      </x:c>
      <x:c r="E84" s="30" t="n">
        <x:f>ROUND(D84*I84,2)</x:f>
        <x:v>23224.76</x:v>
      </x:c>
      <x:c r="F84" s="30" t="n">
        <x:f>0</x:f>
        <x:v>0</x:v>
      </x:c>
      <x:c r="G84" s="30" t="n">
        <x:f>ROUND(E84+F84,2)</x:f>
        <x:v>23224.76</x:v>
      </x:c>
      <x:c r="H84" s="30" t="n">
        <x:f>ROUND(D84-F84,2)</x:f>
        <x:v>3646037.89</x:v>
      </x:c>
      <x:c r="I84" s="33" t="n">
        <x:f>IF(AND(ISNUMBER('Параметры'!$C$7),'Параметры'!$C$7&gt;=0),'Параметры'!$C$7*C84/365,NA())</x:f>
        <x:v>0.00636986301369863</x:v>
      </x:c>
      <x:c r="J84" s="32" t="n">
        <x:f>J83/(1+I84)</x:f>
        <x:v>0.615785062967595</x:v>
      </x:c>
      <x:c r="K84" s="33" t="n">
        <x:f>IF(AND(ISNUMBER('Параметры'!$C$8),'Параметры'!$C$8&gt;=0),'Параметры'!$C$8*C84/365,NA())</x:f>
        <x:v>0.00636986301369863</x:v>
      </x:c>
      <x:c r="L84" s="32" t="n">
        <x:f>L83/(1+K84)</x:f>
        <x:v>0.615785062967595</x:v>
      </x:c>
      <x:c r="M84" s="30" t="n">
        <x:f>E84*L84</x:f>
        <x:v>14301.460299007282</x:v>
      </x:c>
      <x:c r="N84" s="30" t="n">
        <x:f>F84*L84</x:f>
        <x:v>0</x:v>
      </x:c>
      <x:c r="O84" s="30" t="n">
        <x:f>G84*L84</x:f>
        <x:v>14301.460299007282</x:v>
      </x:c>
    </x:row>
    <x:row r="85" ht="21" customHeight="1">
      <x:c r="A85" s="28" t="n">
        <x:v>79</x:v>
      </x:c>
      <x:c r="B85" s="29" t="n">
        <x:v>47199</x:v>
      </x:c>
      <x:c r="C85" s="28" t="n">
        <x:f>B85-B84</x:f>
        <x:v>28</x:v>
      </x:c>
      <x:c r="D85" s="30" t="n">
        <x:f>H84</x:f>
        <x:v>3646037.89</x:v>
      </x:c>
      <x:c r="E85" s="30" t="n">
        <x:f>ROUND(D85*I85,2)</x:f>
        <x:v>20977.2</x:v>
      </x:c>
      <x:c r="F85" s="30" t="n">
        <x:f>0</x:f>
        <x:v>0</x:v>
      </x:c>
      <x:c r="G85" s="30" t="n">
        <x:f>ROUND(E85+F85,2)</x:f>
        <x:v>20977.2</x:v>
      </x:c>
      <x:c r="H85" s="30" t="n">
        <x:f>ROUND(D85-F85,2)</x:f>
        <x:v>3646037.89</x:v>
      </x:c>
      <x:c r="I85" s="33" t="n">
        <x:f>IF(AND(ISNUMBER('Параметры'!$C$7),'Параметры'!$C$7&gt;=0),'Параметры'!$C$7*C85/365,NA())</x:f>
        <x:v>0.005753424657534247</x:v>
      </x:c>
      <x:c r="J85" s="32" t="n">
        <x:f>J84/(1+I85)</x:f>
        <x:v>0.6122624570503193</x:v>
      </x:c>
      <x:c r="K85" s="33" t="n">
        <x:f>IF(AND(ISNUMBER('Параметры'!$C$8),'Параметры'!$C$8&gt;=0),'Параметры'!$C$8*C85/365,NA())</x:f>
        <x:v>0.005753424657534247</x:v>
      </x:c>
      <x:c r="L85" s="32" t="n">
        <x:f>L84/(1+K85)</x:f>
        <x:v>0.6122624570503193</x:v>
      </x:c>
      <x:c r="M85" s="30" t="n">
        <x:f>E85*L85</x:f>
        <x:v>12843.552014035959</x:v>
      </x:c>
      <x:c r="N85" s="30" t="n">
        <x:f>F85*L85</x:f>
        <x:v>0</x:v>
      </x:c>
      <x:c r="O85" s="30" t="n">
        <x:f>G85*L85</x:f>
        <x:v>12843.552014035959</x:v>
      </x:c>
    </x:row>
    <x:row r="86" ht="21" customHeight="1">
      <x:c r="A86" s="28" t="n">
        <x:v>80</x:v>
      </x:c>
      <x:c r="B86" s="29" t="n">
        <x:v>47230</x:v>
      </x:c>
      <x:c r="C86" s="28" t="n">
        <x:f>B86-B85</x:f>
        <x:v>31</x:v>
      </x:c>
      <x:c r="D86" s="30" t="n">
        <x:f>H85</x:f>
        <x:v>3646037.89</x:v>
      </x:c>
      <x:c r="E86" s="30" t="n">
        <x:f>ROUND(D86*I86,2)</x:f>
        <x:v>23224.76</x:v>
      </x:c>
      <x:c r="F86" s="30" t="n">
        <x:f>0</x:f>
        <x:v>0</x:v>
      </x:c>
      <x:c r="G86" s="30" t="n">
        <x:f>ROUND(E86+F86,2)</x:f>
        <x:v>23224.76</x:v>
      </x:c>
      <x:c r="H86" s="30" t="n">
        <x:f>ROUND(D86-F86,2)</x:f>
        <x:v>3646037.89</x:v>
      </x:c>
      <x:c r="I86" s="33" t="n">
        <x:f>IF(AND(ISNUMBER('Параметры'!$C$7),'Параметры'!$C$7&gt;=0),'Параметры'!$C$7*C86/365,NA())</x:f>
        <x:v>0.00636986301369863</x:v>
      </x:c>
      <x:c r="J86" s="32" t="n">
        <x:f>J85/(1+I86)</x:f>
        <x:v>0.6083871144718344</x:v>
      </x:c>
      <x:c r="K86" s="33" t="n">
        <x:f>IF(AND(ISNUMBER('Параметры'!$C$8),'Параметры'!$C$8&gt;=0),'Параметры'!$C$8*C86/365,NA())</x:f>
        <x:v>0.00636986301369863</x:v>
      </x:c>
      <x:c r="L86" s="32" t="n">
        <x:f>L85/(1+K86)</x:f>
        <x:v>0.6083871144718344</x:v>
      </x:c>
      <x:c r="M86" s="30" t="n">
        <x:f>E86*L86</x:f>
        <x:v>14129.644720700879</x:v>
      </x:c>
      <x:c r="N86" s="30" t="n">
        <x:f>F86*L86</x:f>
        <x:v>0</x:v>
      </x:c>
      <x:c r="O86" s="30" t="n">
        <x:f>G86*L86</x:f>
        <x:v>14129.644720700879</x:v>
      </x:c>
    </x:row>
    <x:row r="87" ht="21" customHeight="1">
      <x:c r="A87" s="28" t="n">
        <x:v>81</x:v>
      </x:c>
      <x:c r="B87" s="29" t="n">
        <x:v>47260</x:v>
      </x:c>
      <x:c r="C87" s="28" t="n">
        <x:f>B87-B86</x:f>
        <x:v>30</x:v>
      </x:c>
      <x:c r="D87" s="30" t="n">
        <x:f>H86</x:f>
        <x:v>3646037.89</x:v>
      </x:c>
      <x:c r="E87" s="30" t="n">
        <x:f>ROUND(D87*I87,2)</x:f>
        <x:v>22475.58</x:v>
      </x:c>
      <x:c r="F87" s="30" t="n">
        <x:f>0</x:f>
        <x:v>0</x:v>
      </x:c>
      <x:c r="G87" s="30" t="n">
        <x:f>ROUND(E87+F87,2)</x:f>
        <x:v>22475.58</x:v>
      </x:c>
      <x:c r="H87" s="30" t="n">
        <x:f>ROUND(D87-F87,2)</x:f>
        <x:v>3646037.89</x:v>
      </x:c>
      <x:c r="I87" s="33" t="n">
        <x:f>IF(AND(ISNUMBER('Параметры'!$C$7),'Параметры'!$C$7&gt;=0),'Параметры'!$C$7*C87/365,NA())</x:f>
        <x:v>0.0061643835616438354</x:v>
      </x:c>
      <x:c r="J87" s="32" t="n">
        <x:f>J86/(1+I87)</x:f>
        <x:v>0.6046597597882084</x:v>
      </x:c>
      <x:c r="K87" s="33" t="n">
        <x:f>IF(AND(ISNUMBER('Параметры'!$C$8),'Параметры'!$C$8&gt;=0),'Параметры'!$C$8*C87/365,NA())</x:f>
        <x:v>0.0061643835616438354</x:v>
      </x:c>
      <x:c r="L87" s="32" t="n">
        <x:f>L86/(1+K87)</x:f>
        <x:v>0.6046597597882084</x:v>
      </x:c>
      <x:c r="M87" s="30" t="n">
        <x:f>E87*L87</x:f>
        <x:v>13590.078803900662</x:v>
      </x:c>
      <x:c r="N87" s="30" t="n">
        <x:f>F87*L87</x:f>
        <x:v>0</x:v>
      </x:c>
      <x:c r="O87" s="30" t="n">
        <x:f>G87*L87</x:f>
        <x:v>13590.078803900662</x:v>
      </x:c>
    </x:row>
    <x:row r="88" ht="21" customHeight="1">
      <x:c r="A88" s="28" t="n">
        <x:v>82</x:v>
      </x:c>
      <x:c r="B88" s="29" t="n">
        <x:v>47291</x:v>
      </x:c>
      <x:c r="C88" s="28" t="n">
        <x:f>B88-B87</x:f>
        <x:v>31</x:v>
      </x:c>
      <x:c r="D88" s="30" t="n">
        <x:f>H87</x:f>
        <x:v>3646037.89</x:v>
      </x:c>
      <x:c r="E88" s="30" t="n">
        <x:f>ROUND(D88*I88,2)</x:f>
        <x:v>23224.76</x:v>
      </x:c>
      <x:c r="F88" s="30" t="n">
        <x:f>0</x:f>
        <x:v>0</x:v>
      </x:c>
      <x:c r="G88" s="30" t="n">
        <x:f>ROUND(E88+F88,2)</x:f>
        <x:v>23224.76</x:v>
      </x:c>
      <x:c r="H88" s="30" t="n">
        <x:f>ROUND(D88-F88,2)</x:f>
        <x:v>3646037.89</x:v>
      </x:c>
      <x:c r="I88" s="33" t="n">
        <x:f>IF(AND(ISNUMBER('Параметры'!$C$7),'Параметры'!$C$7&gt;=0),'Параметры'!$C$7*C88/365,NA())</x:f>
        <x:v>0.00636986301369863</x:v>
      </x:c>
      <x:c r="J88" s="32" t="n">
        <x:f>J87/(1+I88)</x:f>
        <x:v>0.6008325388217411</x:v>
      </x:c>
      <x:c r="K88" s="33" t="n">
        <x:f>IF(AND(ISNUMBER('Параметры'!$C$8),'Параметры'!$C$8&gt;=0),'Параметры'!$C$8*C88/365,NA())</x:f>
        <x:v>0.00636986301369863</x:v>
      </x:c>
      <x:c r="L88" s="32" t="n">
        <x:f>L87/(1+K88)</x:f>
        <x:v>0.6008325388217411</x:v>
      </x:c>
      <x:c r="M88" s="30" t="n">
        <x:f>E88*L88</x:f>
        <x:v>13954.19151432562</x:v>
      </x:c>
      <x:c r="N88" s="30" t="n">
        <x:f>F88*L88</x:f>
        <x:v>0</x:v>
      </x:c>
      <x:c r="O88" s="30" t="n">
        <x:f>G88*L88</x:f>
        <x:v>13954.19151432562</x:v>
      </x:c>
    </x:row>
    <x:row r="89" ht="21" customHeight="1">
      <x:c r="A89" s="28" t="n">
        <x:v>83</x:v>
      </x:c>
      <x:c r="B89" s="29" t="n">
        <x:v>47321</x:v>
      </x:c>
      <x:c r="C89" s="28" t="n">
        <x:f>B89-B88</x:f>
        <x:v>30</x:v>
      </x:c>
      <x:c r="D89" s="30" t="n">
        <x:f>H88</x:f>
        <x:v>3646037.89</x:v>
      </x:c>
      <x:c r="E89" s="30" t="n">
        <x:f>ROUND(D89*I89,2)</x:f>
        <x:v>22475.58</x:v>
      </x:c>
      <x:c r="F89" s="30" t="n">
        <x:f>0</x:f>
        <x:v>0</x:v>
      </x:c>
      <x:c r="G89" s="30" t="n">
        <x:f>ROUND(E89+F89,2)</x:f>
        <x:v>22475.58</x:v>
      </x:c>
      <x:c r="H89" s="30" t="n">
        <x:f>ROUND(D89-F89,2)</x:f>
        <x:v>3646037.89</x:v>
      </x:c>
      <x:c r="I89" s="33" t="n">
        <x:f>IF(AND(ISNUMBER('Параметры'!$C$7),'Параметры'!$C$7&gt;=0),'Параметры'!$C$7*C89/365,NA())</x:f>
        <x:v>0.0061643835616438354</x:v>
      </x:c>
      <x:c r="J89" s="32" t="n">
        <x:f>J88/(1+I89)</x:f>
        <x:v>0.5971514681278026</x:v>
      </x:c>
      <x:c r="K89" s="33" t="n">
        <x:f>IF(AND(ISNUMBER('Параметры'!$C$8),'Параметры'!$C$8&gt;=0),'Параметры'!$C$8*C89/365,NA())</x:f>
        <x:v>0.0061643835616438354</x:v>
      </x:c>
      <x:c r="L89" s="32" t="n">
        <x:f>L88/(1+K89)</x:f>
        <x:v>0.5971514681278026</x:v>
      </x:c>
      <x:c r="M89" s="30" t="n">
        <x:f>E89*L89</x:f>
        <x:v>13421.32559402388</x:v>
      </x:c>
      <x:c r="N89" s="30" t="n">
        <x:f>F89*L89</x:f>
        <x:v>0</x:v>
      </x:c>
      <x:c r="O89" s="30" t="n">
        <x:f>G89*L89</x:f>
        <x:v>13421.32559402388</x:v>
      </x:c>
    </x:row>
    <x:row r="90" ht="21" customHeight="1">
      <x:c r="A90" s="28" t="n">
        <x:v>84</x:v>
      </x:c>
      <x:c r="B90" s="29" t="n">
        <x:v>47352</x:v>
      </x:c>
      <x:c r="C90" s="28" t="n">
        <x:f>B90-B89</x:f>
        <x:v>31</x:v>
      </x:c>
      <x:c r="D90" s="30" t="n">
        <x:f>H89</x:f>
        <x:v>3646037.89</x:v>
      </x:c>
      <x:c r="E90" s="30" t="n">
        <x:f>ROUND(D90*I90,2)</x:f>
        <x:v>23224.76</x:v>
      </x:c>
      <x:c r="F90" s="30" t="n">
        <x:f>0</x:f>
        <x:v>0</x:v>
      </x:c>
      <x:c r="G90" s="30" t="n">
        <x:f>ROUND(E90+F90,2)</x:f>
        <x:v>23224.76</x:v>
      </x:c>
      <x:c r="H90" s="30" t="n">
        <x:f>ROUND(D90-F90,2)</x:f>
        <x:v>3646037.89</x:v>
      </x:c>
      <x:c r="I90" s="33" t="n">
        <x:f>IF(AND(ISNUMBER('Параметры'!$C$7),'Параметры'!$C$7&gt;=0),'Параметры'!$C$7*C90/365,NA())</x:f>
        <x:v>0.00636986301369863</x:v>
      </x:c>
      <x:c r="J90" s="32" t="n">
        <x:f>J89/(1+I90)</x:f>
        <x:v>0.593371771228879</x:v>
      </x:c>
      <x:c r="K90" s="33" t="n">
        <x:f>IF(AND(ISNUMBER('Параметры'!$C$8),'Параметры'!$C$8&gt;=0),'Параметры'!$C$8*C90/365,NA())</x:f>
        <x:v>0.00636986301369863</x:v>
      </x:c>
      <x:c r="L90" s="32" t="n">
        <x:f>L89/(1+K90)</x:f>
        <x:v>0.593371771228879</x:v>
      </x:c>
      <x:c r="M90" s="30" t="n">
        <x:f>E90*L90</x:f>
        <x:v>13780.916977565617</x:v>
      </x:c>
      <x:c r="N90" s="30" t="n">
        <x:f>F90*L90</x:f>
        <x:v>0</x:v>
      </x:c>
      <x:c r="O90" s="30" t="n">
        <x:f>G90*L90</x:f>
        <x:v>13780.916977565617</x:v>
      </x:c>
    </x:row>
    <x:row r="91" ht="21" customHeight="1">
      <x:c r="A91" s="28" t="n">
        <x:v>85</x:v>
      </x:c>
      <x:c r="B91" s="29" t="n">
        <x:v>47383</x:v>
      </x:c>
      <x:c r="C91" s="28" t="n">
        <x:f>B91-B90</x:f>
        <x:v>31</x:v>
      </x:c>
      <x:c r="D91" s="30" t="n">
        <x:f>H90</x:f>
        <x:v>3646037.89</x:v>
      </x:c>
      <x:c r="E91" s="30" t="n">
        <x:f>ROUND(D91*I91,2)</x:f>
        <x:v>23224.76</x:v>
      </x:c>
      <x:c r="F91" s="30" t="n">
        <x:f>0</x:f>
        <x:v>0</x:v>
      </x:c>
      <x:c r="G91" s="30" t="n">
        <x:f>ROUND(E91+F91,2)</x:f>
        <x:v>23224.76</x:v>
      </x:c>
      <x:c r="H91" s="30" t="n">
        <x:f>ROUND(D91-F91,2)</x:f>
        <x:v>3646037.89</x:v>
      </x:c>
      <x:c r="I91" s="33" t="n">
        <x:f>IF(AND(ISNUMBER('Параметры'!$C$7),'Параметры'!$C$7&gt;=0),'Параметры'!$C$7*C91/365,NA())</x:f>
        <x:v>0.00636986301369863</x:v>
      </x:c>
      <x:c r="J91" s="32" t="n">
        <x:f>J90/(1+I91)</x:f>
        <x:v>0.5896159980903583</x:v>
      </x:c>
      <x:c r="K91" s="33" t="n">
        <x:f>IF(AND(ISNUMBER('Параметры'!$C$8),'Параметры'!$C$8&gt;=0),'Параметры'!$C$8*C91/365,NA())</x:f>
        <x:v>0.00636986301369863</x:v>
      </x:c>
      <x:c r="L91" s="32" t="n">
        <x:f>L90/(1+K91)</x:f>
        <x:v>0.5896159980903583</x:v>
      </x:c>
      <x:c r="M91" s="30" t="n">
        <x:f>E91*L91</x:f>
        <x:v>13693.690047809028</x:v>
      </x:c>
      <x:c r="N91" s="30" t="n">
        <x:f>F91*L91</x:f>
        <x:v>0</x:v>
      </x:c>
      <x:c r="O91" s="30" t="n">
        <x:f>G91*L91</x:f>
        <x:v>13693.690047809028</x:v>
      </x:c>
    </x:row>
    <x:row r="92" ht="21" customHeight="1">
      <x:c r="A92" s="28" t="n">
        <x:v>86</x:v>
      </x:c>
      <x:c r="B92" s="29" t="n">
        <x:v>47413</x:v>
      </x:c>
      <x:c r="C92" s="28" t="n">
        <x:f>B92-B91</x:f>
        <x:v>30</x:v>
      </x:c>
      <x:c r="D92" s="30" t="n">
        <x:f>H91</x:f>
        <x:v>3646037.89</x:v>
      </x:c>
      <x:c r="E92" s="30" t="n">
        <x:f>ROUND(D92*I92,2)</x:f>
        <x:v>22475.58</x:v>
      </x:c>
      <x:c r="F92" s="30" t="n">
        <x:f>0</x:f>
        <x:v>0</x:v>
      </x:c>
      <x:c r="G92" s="30" t="n">
        <x:f>ROUND(E92+F92,2)</x:f>
        <x:v>22475.58</x:v>
      </x:c>
      <x:c r="H92" s="30" t="n">
        <x:f>ROUND(D92-F92,2)</x:f>
        <x:v>3646037.89</x:v>
      </x:c>
      <x:c r="I92" s="33" t="n">
        <x:f>IF(AND(ISNUMBER('Параметры'!$C$7),'Параметры'!$C$7&gt;=0),'Параметры'!$C$7*C92/365,NA())</x:f>
        <x:v>0.0061643835616438354</x:v>
      </x:c>
      <x:c r="J92" s="32" t="n">
        <x:f>J91/(1+I92)</x:f>
        <x:v>0.5860036468426978</x:v>
      </x:c>
      <x:c r="K92" s="33" t="n">
        <x:f>IF(AND(ISNUMBER('Параметры'!$C$8),'Параметры'!$C$8&gt;=0),'Параметры'!$C$8*C92/365,NA())</x:f>
        <x:v>0.0061643835616438354</x:v>
      </x:c>
      <x:c r="L92" s="32" t="n">
        <x:f>L91/(1+K92)</x:f>
        <x:v>0.5860036468426978</x:v>
      </x:c>
      <x:c r="M92" s="30" t="n">
        <x:f>E92*L92</x:f>
        <x:v>13170.771844904802</x:v>
      </x:c>
      <x:c r="N92" s="30" t="n">
        <x:f>F92*L92</x:f>
        <x:v>0</x:v>
      </x:c>
      <x:c r="O92" s="30" t="n">
        <x:f>G92*L92</x:f>
        <x:v>13170.771844904802</x:v>
      </x:c>
    </x:row>
    <x:row r="93" ht="21" customHeight="1">
      <x:c r="A93" s="28" t="n">
        <x:v>87</x:v>
      </x:c>
      <x:c r="B93" s="29" t="n">
        <x:v>47444</x:v>
      </x:c>
      <x:c r="C93" s="28" t="n">
        <x:f>B93-B92</x:f>
        <x:v>31</x:v>
      </x:c>
      <x:c r="D93" s="30" t="n">
        <x:f>H92</x:f>
        <x:v>3646037.89</x:v>
      </x:c>
      <x:c r="E93" s="30" t="n">
        <x:f>ROUND(D93*I93,2)</x:f>
        <x:v>23224.76</x:v>
      </x:c>
      <x:c r="F93" s="30" t="n">
        <x:f>0</x:f>
        <x:v>0</x:v>
      </x:c>
      <x:c r="G93" s="30" t="n">
        <x:f>ROUND(E93+F93,2)</x:f>
        <x:v>23224.76</x:v>
      </x:c>
      <x:c r="H93" s="30" t="n">
        <x:f>ROUND(D93-F93,2)</x:f>
        <x:v>3646037.89</x:v>
      </x:c>
      <x:c r="I93" s="33" t="n">
        <x:f>IF(AND(ISNUMBER('Параметры'!$C$7),'Параметры'!$C$7&gt;=0),'Параметры'!$C$7*C93/365,NA())</x:f>
        <x:v>0.00636986301369863</x:v>
      </x:c>
      <x:c r="J93" s="32" t="n">
        <x:f>J92/(1+I93)</x:f>
        <x:v>0.5822945105766956</x:v>
      </x:c>
      <x:c r="K93" s="33" t="n">
        <x:f>IF(AND(ISNUMBER('Параметры'!$C$8),'Параметры'!$C$8&gt;=0),'Параметры'!$C$8*C93/365,NA())</x:f>
        <x:v>0.00636986301369863</x:v>
      </x:c>
      <x:c r="L93" s="32" t="n">
        <x:f>L92/(1+K93)</x:f>
        <x:v>0.5822945105766956</x:v>
      </x:c>
      <x:c r="M93" s="30" t="n">
        <x:f>E93*L93</x:f>
        <x:v>13523.650257461215</x:v>
      </x:c>
      <x:c r="N93" s="30" t="n">
        <x:f>F93*L93</x:f>
        <x:v>0</x:v>
      </x:c>
      <x:c r="O93" s="30" t="n">
        <x:f>G93*L93</x:f>
        <x:v>13523.650257461215</x:v>
      </x:c>
    </x:row>
    <x:row r="94" ht="21" customHeight="1">
      <x:c r="A94" s="28" t="n">
        <x:v>88</x:v>
      </x:c>
      <x:c r="B94" s="29" t="n">
        <x:v>47474</x:v>
      </x:c>
      <x:c r="C94" s="28" t="n">
        <x:f>B94-B93</x:f>
        <x:v>30</x:v>
      </x:c>
      <x:c r="D94" s="30" t="n">
        <x:f>H93</x:f>
        <x:v>3646037.89</x:v>
      </x:c>
      <x:c r="E94" s="30" t="n">
        <x:f>ROUND(D94*I94,2)</x:f>
        <x:v>22475.58</x:v>
      </x:c>
      <x:c r="F94" s="30" t="n">
        <x:f>0</x:f>
        <x:v>0</x:v>
      </x:c>
      <x:c r="G94" s="30" t="n">
        <x:f>ROUND(E94+F94,2)</x:f>
        <x:v>22475.58</x:v>
      </x:c>
      <x:c r="H94" s="30" t="n">
        <x:f>ROUND(D94-F94,2)</x:f>
        <x:v>3646037.89</x:v>
      </x:c>
      <x:c r="I94" s="33" t="n">
        <x:f>IF(AND(ISNUMBER('Параметры'!$C$7),'Параметры'!$C$7&gt;=0),'Параметры'!$C$7*C94/365,NA())</x:f>
        <x:v>0.0061643835616438354</x:v>
      </x:c>
      <x:c r="J94" s="32" t="n">
        <x:f>J93/(1+I94)</x:f>
        <x:v>0.5787270152770425</x:v>
      </x:c>
      <x:c r="K94" s="33" t="n">
        <x:f>IF(AND(ISNUMBER('Параметры'!$C$8),'Параметры'!$C$8&gt;=0),'Параметры'!$C$8*C94/365,NA())</x:f>
        <x:v>0.0061643835616438354</x:v>
      </x:c>
      <x:c r="L94" s="32" t="n">
        <x:f>L93/(1+K94)</x:f>
        <x:v>0.5787270152770425</x:v>
      </x:c>
      <x:c r="M94" s="30" t="n">
        <x:f>E94*L94</x:f>
        <x:v>13007.225330020392</x:v>
      </x:c>
      <x:c r="N94" s="30" t="n">
        <x:f>F94*L94</x:f>
        <x:v>0</x:v>
      </x:c>
      <x:c r="O94" s="30" t="n">
        <x:f>G94*L94</x:f>
        <x:v>13007.225330020392</x:v>
      </x:c>
    </x:row>
    <x:row r="95" ht="21" customHeight="1">
      <x:c r="A95" s="28" t="n">
        <x:v>89</x:v>
      </x:c>
      <x:c r="B95" s="29" t="n">
        <x:v>47505</x:v>
      </x:c>
      <x:c r="C95" s="28" t="n">
        <x:f>B95-B94</x:f>
        <x:v>31</x:v>
      </x:c>
      <x:c r="D95" s="30" t="n">
        <x:f>H94</x:f>
        <x:v>3646037.89</x:v>
      </x:c>
      <x:c r="E95" s="30" t="n">
        <x:f>ROUND(D95*I95,2)</x:f>
        <x:v>23224.76</x:v>
      </x:c>
      <x:c r="F95" s="30" t="n">
        <x:f>0</x:f>
        <x:v>0</x:v>
      </x:c>
      <x:c r="G95" s="30" t="n">
        <x:f>ROUND(E95+F95,2)</x:f>
        <x:v>23224.76</x:v>
      </x:c>
      <x:c r="H95" s="30" t="n">
        <x:f>ROUND(D95-F95,2)</x:f>
        <x:v>3646037.89</x:v>
      </x:c>
      <x:c r="I95" s="33" t="n">
        <x:f>IF(AND(ISNUMBER('Параметры'!$C$7),'Параметры'!$C$7&gt;=0),'Параметры'!$C$7*C95/365,NA())</x:f>
        <x:v>0.00636986301369863</x:v>
      </x:c>
      <x:c r="J95" s="32" t="n">
        <x:f>J94/(1+I95)</x:f>
        <x:v>0.5750639367756634</x:v>
      </x:c>
      <x:c r="K95" s="33" t="n">
        <x:f>IF(AND(ISNUMBER('Параметры'!$C$8),'Параметры'!$C$8&gt;=0),'Параметры'!$C$8*C95/365,NA())</x:f>
        <x:v>0.00636986301369863</x:v>
      </x:c>
      <x:c r="L95" s="32" t="n">
        <x:f>L94/(1+K95)</x:f>
        <x:v>0.5750639367756634</x:v>
      </x:c>
      <x:c r="M95" s="30" t="n">
        <x:f>E95*L95</x:f>
        <x:v>13355.721916269955</x:v>
      </x:c>
      <x:c r="N95" s="30" t="n">
        <x:f>F95*L95</x:f>
        <x:v>0</x:v>
      </x:c>
      <x:c r="O95" s="30" t="n">
        <x:f>G95*L95</x:f>
        <x:v>13355.721916269955</x:v>
      </x:c>
    </x:row>
    <x:row r="96" ht="21" customHeight="1">
      <x:c r="A96" s="28" t="n">
        <x:v>90</x:v>
      </x:c>
      <x:c r="B96" s="29" t="n">
        <x:v>47536</x:v>
      </x:c>
      <x:c r="C96" s="28" t="n">
        <x:f>B96-B95</x:f>
        <x:v>31</x:v>
      </x:c>
      <x:c r="D96" s="30" t="n">
        <x:f>H95</x:f>
        <x:v>3646037.89</x:v>
      </x:c>
      <x:c r="E96" s="30" t="n">
        <x:f>ROUND(D96*I96,2)</x:f>
        <x:v>23224.76</x:v>
      </x:c>
      <x:c r="F96" s="30" t="n">
        <x:f>0</x:f>
        <x:v>0</x:v>
      </x:c>
      <x:c r="G96" s="30" t="n">
        <x:f>ROUND(E96+F96,2)</x:f>
        <x:v>23224.76</x:v>
      </x:c>
      <x:c r="H96" s="30" t="n">
        <x:f>ROUND(D96-F96,2)</x:f>
        <x:v>3646037.89</x:v>
      </x:c>
      <x:c r="I96" s="33" t="n">
        <x:f>IF(AND(ISNUMBER('Параметры'!$C$7),'Параметры'!$C$7&gt;=0),'Параметры'!$C$7*C96/365,NA())</x:f>
        <x:v>0.00636986301369863</x:v>
      </x:c>
      <x:c r="J96" s="32" t="n">
        <x:f>J95/(1+I96)</x:f>
        <x:v>0.5714240438933291</x:v>
      </x:c>
      <x:c r="K96" s="33" t="n">
        <x:f>IF(AND(ISNUMBER('Параметры'!$C$8),'Параметры'!$C$8&gt;=0),'Параметры'!$C$8*C96/365,NA())</x:f>
        <x:v>0.00636986301369863</x:v>
      </x:c>
      <x:c r="L96" s="32" t="n">
        <x:f>L95/(1+K96)</x:f>
        <x:v>0.5714240438933291</x:v>
      </x:c>
      <x:c r="M96" s="30" t="n">
        <x:f>E96*L96</x:f>
        <x:v>13271.186277652034</x:v>
      </x:c>
      <x:c r="N96" s="30" t="n">
        <x:f>F96*L96</x:f>
        <x:v>0</x:v>
      </x:c>
      <x:c r="O96" s="30" t="n">
        <x:f>G96*L96</x:f>
        <x:v>13271.186277652034</x:v>
      </x:c>
    </x:row>
    <x:row r="97" ht="21" customHeight="1">
      <x:c r="A97" s="28" t="n">
        <x:v>91</x:v>
      </x:c>
      <x:c r="B97" s="29" t="n">
        <x:v>47564</x:v>
      </x:c>
      <x:c r="C97" s="28" t="n">
        <x:f>B97-B96</x:f>
        <x:v>28</x:v>
      </x:c>
      <x:c r="D97" s="30" t="n">
        <x:f>H96</x:f>
        <x:v>3646037.89</x:v>
      </x:c>
      <x:c r="E97" s="30" t="n">
        <x:f>ROUND(D97*I97,2)</x:f>
        <x:v>20977.2</x:v>
      </x:c>
      <x:c r="F97" s="30" t="n">
        <x:f>0</x:f>
        <x:v>0</x:v>
      </x:c>
      <x:c r="G97" s="30" t="n">
        <x:f>ROUND(E97+F97,2)</x:f>
        <x:v>20977.2</x:v>
      </x:c>
      <x:c r="H97" s="30" t="n">
        <x:f>ROUND(D97-F97,2)</x:f>
        <x:v>3646037.89</x:v>
      </x:c>
      <x:c r="I97" s="33" t="n">
        <x:f>IF(AND(ISNUMBER('Параметры'!$C$7),'Параметры'!$C$7&gt;=0),'Параметры'!$C$7*C97/365,NA())</x:f>
        <x:v>0.005753424657534247</x:v>
      </x:c>
      <x:c r="J97" s="32" t="n">
        <x:f>J96/(1+I97)</x:f>
        <x:v>0.5681552057234136</x:v>
      </x:c>
      <x:c r="K97" s="33" t="n">
        <x:f>IF(AND(ISNUMBER('Параметры'!$C$8),'Параметры'!$C$8&gt;=0),'Параметры'!$C$8*C97/365,NA())</x:f>
        <x:v>0.005753424657534247</x:v>
      </x:c>
      <x:c r="L97" s="32" t="n">
        <x:f>L96/(1+K97)</x:f>
        <x:v>0.5681552057234136</x:v>
      </x:c>
      <x:c r="M97" s="30" t="n">
        <x:f>E97*L97</x:f>
        <x:v>11918.305381501192</x:v>
      </x:c>
      <x:c r="N97" s="30" t="n">
        <x:f>F97*L97</x:f>
        <x:v>0</x:v>
      </x:c>
      <x:c r="O97" s="30" t="n">
        <x:f>G97*L97</x:f>
        <x:v>11918.305381501192</x:v>
      </x:c>
    </x:row>
    <x:row r="98" ht="21" customHeight="1">
      <x:c r="A98" s="28" t="n">
        <x:v>92</x:v>
      </x:c>
      <x:c r="B98" s="29" t="n">
        <x:v>47595</x:v>
      </x:c>
      <x:c r="C98" s="28" t="n">
        <x:f>B98-B97</x:f>
        <x:v>31</x:v>
      </x:c>
      <x:c r="D98" s="30" t="n">
        <x:f>H97</x:f>
        <x:v>3646037.89</x:v>
      </x:c>
      <x:c r="E98" s="30" t="n">
        <x:f>ROUND(D98*I98,2)</x:f>
        <x:v>23224.76</x:v>
      </x:c>
      <x:c r="F98" s="30" t="n">
        <x:f>0</x:f>
        <x:v>0</x:v>
      </x:c>
      <x:c r="G98" s="30" t="n">
        <x:f>ROUND(E98+F98,2)</x:f>
        <x:v>23224.76</x:v>
      </x:c>
      <x:c r="H98" s="30" t="n">
        <x:f>ROUND(D98-F98,2)</x:f>
        <x:v>3646037.89</x:v>
      </x:c>
      <x:c r="I98" s="33" t="n">
        <x:f>IF(AND(ISNUMBER('Параметры'!$C$7),'Параметры'!$C$7&gt;=0),'Параметры'!$C$7*C98/365,NA())</x:f>
        <x:v>0.00636986301369863</x:v>
      </x:c>
      <x:c r="J98" s="32" t="n">
        <x:f>J97/(1+I98)</x:f>
        <x:v>0.5645590419629646</x:v>
      </x:c>
      <x:c r="K98" s="33" t="n">
        <x:f>IF(AND(ISNUMBER('Параметры'!$C$8),'Параметры'!$C$8&gt;=0),'Параметры'!$C$8*C98/365,NA())</x:f>
        <x:v>0.00636986301369863</x:v>
      </x:c>
      <x:c r="L98" s="32" t="n">
        <x:f>L97/(1+K98)</x:f>
        <x:v>0.5645590419629646</x:v>
      </x:c>
      <x:c r="M98" s="30" t="n">
        <x:f>E98*L98</x:f>
        <x:v>13111.74825541978</x:v>
      </x:c>
      <x:c r="N98" s="30" t="n">
        <x:f>F98*L98</x:f>
        <x:v>0</x:v>
      </x:c>
      <x:c r="O98" s="30" t="n">
        <x:f>G98*L98</x:f>
        <x:v>13111.74825541978</x:v>
      </x:c>
    </x:row>
    <x:row r="99" ht="21" customHeight="1">
      <x:c r="A99" s="28" t="n">
        <x:v>93</x:v>
      </x:c>
      <x:c r="B99" s="29" t="n">
        <x:v>47625</x:v>
      </x:c>
      <x:c r="C99" s="28" t="n">
        <x:f>B99-B98</x:f>
        <x:v>30</x:v>
      </x:c>
      <x:c r="D99" s="30" t="n">
        <x:f>H98</x:f>
        <x:v>3646037.89</x:v>
      </x:c>
      <x:c r="E99" s="30" t="n">
        <x:f>ROUND(D99*I99,2)</x:f>
        <x:v>22475.58</x:v>
      </x:c>
      <x:c r="F99" s="30" t="n">
        <x:f>0</x:f>
        <x:v>0</x:v>
      </x:c>
      <x:c r="G99" s="30" t="n">
        <x:f>ROUND(E99+F99,2)</x:f>
        <x:v>22475.58</x:v>
      </x:c>
      <x:c r="H99" s="30" t="n">
        <x:f>ROUND(D99-F99,2)</x:f>
        <x:v>3646037.89</x:v>
      </x:c>
      <x:c r="I99" s="33" t="n">
        <x:f>IF(AND(ISNUMBER('Параметры'!$C$7),'Параметры'!$C$7&gt;=0),'Параметры'!$C$7*C99/365,NA())</x:f>
        <x:v>0.0061643835616438354</x:v>
      </x:c>
      <x:c r="J99" s="32" t="n">
        <x:f>J98/(1+I99)</x:f>
        <x:v>0.5611002050823202</x:v>
      </x:c>
      <x:c r="K99" s="33" t="n">
        <x:f>IF(AND(ISNUMBER('Параметры'!$C$8),'Параметры'!$C$8&gt;=0),'Параметры'!$C$8*C99/365,NA())</x:f>
        <x:v>0.0061643835616438354</x:v>
      </x:c>
      <x:c r="L99" s="32" t="n">
        <x:f>L98/(1+K99)</x:f>
        <x:v>0.5611002050823202</x:v>
      </x:c>
      <x:c r="M99" s="30" t="n">
        <x:f>E99*L99</x:f>
        <x:v>12611.052547344094</x:v>
      </x:c>
      <x:c r="N99" s="30" t="n">
        <x:f>F99*L99</x:f>
        <x:v>0</x:v>
      </x:c>
      <x:c r="O99" s="30" t="n">
        <x:f>G99*L99</x:f>
        <x:v>12611.052547344094</x:v>
      </x:c>
    </x:row>
    <x:row r="100" ht="21" customHeight="1">
      <x:c r="A100" s="28" t="n">
        <x:v>94</x:v>
      </x:c>
      <x:c r="B100" s="29" t="n">
        <x:v>47656</x:v>
      </x:c>
      <x:c r="C100" s="28" t="n">
        <x:f>B100-B99</x:f>
        <x:v>31</x:v>
      </x:c>
      <x:c r="D100" s="30" t="n">
        <x:f>H99</x:f>
        <x:v>3646037.89</x:v>
      </x:c>
      <x:c r="E100" s="30" t="n">
        <x:f>ROUND(D100*I100,2)</x:f>
        <x:v>23224.76</x:v>
      </x:c>
      <x:c r="F100" s="30" t="n">
        <x:f>0</x:f>
        <x:v>0</x:v>
      </x:c>
      <x:c r="G100" s="30" t="n">
        <x:f>ROUND(E100+F100,2)</x:f>
        <x:v>23224.76</x:v>
      </x:c>
      <x:c r="H100" s="30" t="n">
        <x:f>ROUND(D100-F100,2)</x:f>
        <x:v>3646037.89</x:v>
      </x:c>
      <x:c r="I100" s="33" t="n">
        <x:f>IF(AND(ISNUMBER('Параметры'!$C$7),'Параметры'!$C$7&gt;=0),'Параметры'!$C$7*C100/365,NA())</x:f>
        <x:v>0.00636986301369863</x:v>
      </x:c>
      <x:c r="J100" s="32" t="n">
        <x:f>J99/(1+I100)</x:f>
        <x:v>0.5575486962636544</x:v>
      </x:c>
      <x:c r="K100" s="33" t="n">
        <x:f>IF(AND(ISNUMBER('Параметры'!$C$8),'Параметры'!$C$8&gt;=0),'Параметры'!$C$8*C100/365,NA())</x:f>
        <x:v>0.00636986301369863</x:v>
      </x:c>
      <x:c r="L100" s="32" t="n">
        <x:f>L99/(1+K100)</x:f>
        <x:v>0.5575486962636544</x:v>
      </x:c>
      <x:c r="M100" s="30" t="n">
        <x:f>E100*L100</x:f>
        <x:v>12948.934659036271</x:v>
      </x:c>
      <x:c r="N100" s="30" t="n">
        <x:f>F100*L100</x:f>
        <x:v>0</x:v>
      </x:c>
      <x:c r="O100" s="30" t="n">
        <x:f>G100*L100</x:f>
        <x:v>12948.934659036271</x:v>
      </x:c>
    </x:row>
    <x:row r="101" ht="21" customHeight="1">
      <x:c r="A101" s="28" t="n">
        <x:v>95</x:v>
      </x:c>
      <x:c r="B101" s="29" t="n">
        <x:v>47686</x:v>
      </x:c>
      <x:c r="C101" s="28" t="n">
        <x:f>B101-B100</x:f>
        <x:v>30</x:v>
      </x:c>
      <x:c r="D101" s="30" t="n">
        <x:f>H100</x:f>
        <x:v>3646037.89</x:v>
      </x:c>
      <x:c r="E101" s="30" t="n">
        <x:f>ROUND(D101*I101,2)</x:f>
        <x:v>22475.58</x:v>
      </x:c>
      <x:c r="F101" s="30" t="n">
        <x:f>0</x:f>
        <x:v>0</x:v>
      </x:c>
      <x:c r="G101" s="30" t="n">
        <x:f>ROUND(E101+F101,2)</x:f>
        <x:v>22475.58</x:v>
      </x:c>
      <x:c r="H101" s="30" t="n">
        <x:f>ROUND(D101-F101,2)</x:f>
        <x:v>3646037.89</x:v>
      </x:c>
      <x:c r="I101" s="33" t="n">
        <x:f>IF(AND(ISNUMBER('Параметры'!$C$7),'Параметры'!$C$7&gt;=0),'Параметры'!$C$7*C101/365,NA())</x:f>
        <x:v>0.0061643835616438354</x:v>
      </x:c>
      <x:c r="J101" s="32" t="n">
        <x:f>J100/(1+I101)</x:f>
        <x:v>0.5541328090843672</x:v>
      </x:c>
      <x:c r="K101" s="33" t="n">
        <x:f>IF(AND(ISNUMBER('Параметры'!$C$8),'Параметры'!$C$8&gt;=0),'Параметры'!$C$8*C101/365,NA())</x:f>
        <x:v>0.0061643835616438354</x:v>
      </x:c>
      <x:c r="L101" s="32" t="n">
        <x:f>L100/(1+K101)</x:f>
        <x:v>0.5541328090843672</x:v>
      </x:c>
      <x:c r="M101" s="30" t="n">
        <x:f>E101*L101</x:f>
        <x:v>12454.456281200424</x:v>
      </x:c>
      <x:c r="N101" s="30" t="n">
        <x:f>F101*L101</x:f>
        <x:v>0</x:v>
      </x:c>
      <x:c r="O101" s="30" t="n">
        <x:f>G101*L101</x:f>
        <x:v>12454.456281200424</x:v>
      </x:c>
    </x:row>
    <x:row r="102" ht="21" customHeight="1">
      <x:c r="A102" s="28" t="n">
        <x:v>96</x:v>
      </x:c>
      <x:c r="B102" s="29" t="n">
        <x:v>47717</x:v>
      </x:c>
      <x:c r="C102" s="28" t="n">
        <x:f>B102-B101</x:f>
        <x:v>31</x:v>
      </x:c>
      <x:c r="D102" s="30" t="n">
        <x:f>H101</x:f>
        <x:v>3646037.89</x:v>
      </x:c>
      <x:c r="E102" s="30" t="n">
        <x:f>ROUND(D102*I102,2)</x:f>
        <x:v>23224.76</x:v>
      </x:c>
      <x:c r="F102" s="30" t="n">
        <x:f>0</x:f>
        <x:v>0</x:v>
      </x:c>
      <x:c r="G102" s="30" t="n">
        <x:f>ROUND(E102+F102,2)</x:f>
        <x:v>23224.76</x:v>
      </x:c>
      <x:c r="H102" s="30" t="n">
        <x:f>ROUND(D102-F102,2)</x:f>
        <x:v>3646037.89</x:v>
      </x:c>
      <x:c r="I102" s="33" t="n">
        <x:f>IF(AND(ISNUMBER('Параметры'!$C$7),'Параметры'!$C$7&gt;=0),'Параметры'!$C$7*C102/365,NA())</x:f>
        <x:v>0.00636986301369863</x:v>
      </x:c>
      <x:c r="J102" s="32" t="n">
        <x:f>J101/(1+I102)</x:f>
        <x:v>0.5506254007099818</x:v>
      </x:c>
      <x:c r="K102" s="33" t="n">
        <x:f>IF(AND(ISNUMBER('Параметры'!$C$8),'Параметры'!$C$8&gt;=0),'Параметры'!$C$8*C102/365,NA())</x:f>
        <x:v>0.00636986301369863</x:v>
      </x:c>
      <x:c r="L102" s="32" t="n">
        <x:f>L101/(1+K102)</x:f>
        <x:v>0.5506254007099818</x:v>
      </x:c>
      <x:c r="M102" s="30" t="n">
        <x:f>E102*L102</x:f>
        <x:v>12788.142781393155</x:v>
      </x:c>
      <x:c r="N102" s="30" t="n">
        <x:f>F102*L102</x:f>
        <x:v>0</x:v>
      </x:c>
      <x:c r="O102" s="30" t="n">
        <x:f>G102*L102</x:f>
        <x:v>12788.142781393155</x:v>
      </x:c>
    </x:row>
    <x:row r="103" ht="21" customHeight="1">
      <x:c r="A103" s="28" t="n">
        <x:v>97</x:v>
      </x:c>
      <x:c r="B103" s="29" t="n">
        <x:v>47748</x:v>
      </x:c>
      <x:c r="C103" s="28" t="n">
        <x:f>B103-B102</x:f>
        <x:v>31</x:v>
      </x:c>
      <x:c r="D103" s="30" t="n">
        <x:f>H102</x:f>
        <x:v>3646037.89</x:v>
      </x:c>
      <x:c r="E103" s="30" t="n">
        <x:f>ROUND(D103*I103,2)</x:f>
        <x:v>23224.76</x:v>
      </x:c>
      <x:c r="F103" s="30" t="n">
        <x:f>0</x:f>
        <x:v>0</x:v>
      </x:c>
      <x:c r="G103" s="30" t="n">
        <x:f>ROUND(E103+F103,2)</x:f>
        <x:v>23224.76</x:v>
      </x:c>
      <x:c r="H103" s="30" t="n">
        <x:f>ROUND(D103-F103,2)</x:f>
        <x:v>3646037.89</x:v>
      </x:c>
      <x:c r="I103" s="33" t="n">
        <x:f>IF(AND(ISNUMBER('Параметры'!$C$7),'Параметры'!$C$7&gt;=0),'Параметры'!$C$7*C103/365,NA())</x:f>
        <x:v>0.00636986301369863</x:v>
      </x:c>
      <x:c r="J103" s="32" t="n">
        <x:f>J102/(1+I103)</x:f>
        <x:v>0.547140192633617</x:v>
      </x:c>
      <x:c r="K103" s="33" t="n">
        <x:f>IF(AND(ISNUMBER('Параметры'!$C$8),'Параметры'!$C$8&gt;=0),'Параметры'!$C$8*C103/365,NA())</x:f>
        <x:v>0.00636986301369863</x:v>
      </x:c>
      <x:c r="L103" s="32" t="n">
        <x:f>L102/(1+K103)</x:f>
        <x:v>0.547140192633617</x:v>
      </x:c>
      <x:c r="M103" s="30" t="n">
        <x:f>E103*L103</x:f>
        <x:v>12707.199660269522</x:v>
      </x:c>
      <x:c r="N103" s="30" t="n">
        <x:f>F103*L103</x:f>
        <x:v>0</x:v>
      </x:c>
      <x:c r="O103" s="30" t="n">
        <x:f>G103*L103</x:f>
        <x:v>12707.199660269522</x:v>
      </x:c>
    </x:row>
    <x:row r="104" ht="21" customHeight="1">
      <x:c r="A104" s="28" t="n">
        <x:v>98</x:v>
      </x:c>
      <x:c r="B104" s="29" t="n">
        <x:v>47778</x:v>
      </x:c>
      <x:c r="C104" s="28" t="n">
        <x:f>B104-B103</x:f>
        <x:v>30</x:v>
      </x:c>
      <x:c r="D104" s="30" t="n">
        <x:f>H103</x:f>
        <x:v>3646037.89</x:v>
      </x:c>
      <x:c r="E104" s="30" t="n">
        <x:f>ROUND(D104*I104,2)</x:f>
        <x:v>22475.58</x:v>
      </x:c>
      <x:c r="F104" s="30" t="n">
        <x:f>0</x:f>
        <x:v>0</x:v>
      </x:c>
      <x:c r="G104" s="30" t="n">
        <x:f>ROUND(E104+F104,2)</x:f>
        <x:v>22475.58</x:v>
      </x:c>
      <x:c r="H104" s="30" t="n">
        <x:f>ROUND(D104-F104,2)</x:f>
        <x:v>3646037.89</x:v>
      </x:c>
      <x:c r="I104" s="33" t="n">
        <x:f>IF(AND(ISNUMBER('Параметры'!$C$7),'Параметры'!$C$7&gt;=0),'Параметры'!$C$7*C104/365,NA())</x:f>
        <x:v>0.0061643835616438354</x:v>
      </x:c>
      <x:c r="J104" s="32" t="n">
        <x:f>J103/(1+I104)</x:f>
        <x:v>0.5437880743669713</x:v>
      </x:c>
      <x:c r="K104" s="33" t="n">
        <x:f>IF(AND(ISNUMBER('Параметры'!$C$8),'Параметры'!$C$8&gt;=0),'Параметры'!$C$8*C104/365,NA())</x:f>
        <x:v>0.0061643835616438354</x:v>
      </x:c>
      <x:c r="L104" s="32" t="n">
        <x:f>L103/(1+K104)</x:f>
        <x:v>0.5437880743669713</x:v>
      </x:c>
      <x:c r="M104" s="30" t="n">
        <x:f>E104*L104</x:f>
        <x:v>12221.952368480814</x:v>
      </x:c>
      <x:c r="N104" s="30" t="n">
        <x:f>F104*L104</x:f>
        <x:v>0</x:v>
      </x:c>
      <x:c r="O104" s="30" t="n">
        <x:f>G104*L104</x:f>
        <x:v>12221.952368480814</x:v>
      </x:c>
    </x:row>
    <x:row r="105" ht="21" customHeight="1">
      <x:c r="A105" s="28" t="n">
        <x:v>99</x:v>
      </x:c>
      <x:c r="B105" s="29" t="n">
        <x:v>47809</x:v>
      </x:c>
      <x:c r="C105" s="28" t="n">
        <x:f>B105-B104</x:f>
        <x:v>31</x:v>
      </x:c>
      <x:c r="D105" s="30" t="n">
        <x:f>H104</x:f>
        <x:v>3646037.89</x:v>
      </x:c>
      <x:c r="E105" s="30" t="n">
        <x:f>ROUND(D105*I105,2)</x:f>
        <x:v>23224.76</x:v>
      </x:c>
      <x:c r="F105" s="30" t="n">
        <x:f>0</x:f>
        <x:v>0</x:v>
      </x:c>
      <x:c r="G105" s="30" t="n">
        <x:f>ROUND(E105+F105,2)</x:f>
        <x:v>23224.76</x:v>
      </x:c>
      <x:c r="H105" s="30" t="n">
        <x:f>ROUND(D105-F105,2)</x:f>
        <x:v>3646037.89</x:v>
      </x:c>
      <x:c r="I105" s="33" t="n">
        <x:f>IF(AND(ISNUMBER('Параметры'!$C$7),'Параметры'!$C$7&gt;=0),'Параметры'!$C$7*C105/365,NA())</x:f>
        <x:v>0.00636986301369863</x:v>
      </x:c>
      <x:c r="J105" s="32" t="n">
        <x:f>J104/(1+I105)</x:f>
        <x:v>0.5403461434531941</x:v>
      </x:c>
      <x:c r="K105" s="33" t="n">
        <x:f>IF(AND(ISNUMBER('Параметры'!$C$8),'Параметры'!$C$8&gt;=0),'Параметры'!$C$8*C105/365,NA())</x:f>
        <x:v>0.00636986301369863</x:v>
      </x:c>
      <x:c r="L105" s="32" t="n">
        <x:f>L104/(1+K105)</x:f>
        <x:v>0.5403461434531941</x:v>
      </x:c>
      <x:c r="M105" s="30" t="n">
        <x:f>E105*L105</x:f>
        <x:v>12549.409498626002</x:v>
      </x:c>
      <x:c r="N105" s="30" t="n">
        <x:f>F105*L105</x:f>
        <x:v>0</x:v>
      </x:c>
      <x:c r="O105" s="30" t="n">
        <x:f>G105*L105</x:f>
        <x:v>12549.409498626002</x:v>
      </x:c>
    </x:row>
    <x:row r="106" ht="21" customHeight="1">
      <x:c r="A106" s="28" t="n">
        <x:v>100</x:v>
      </x:c>
      <x:c r="B106" s="29" t="n">
        <x:v>47839</x:v>
      </x:c>
      <x:c r="C106" s="28" t="n">
        <x:f>B106-B105</x:f>
        <x:v>30</x:v>
      </x:c>
      <x:c r="D106" s="30" t="n">
        <x:f>H105</x:f>
        <x:v>3646037.89</x:v>
      </x:c>
      <x:c r="E106" s="30" t="n">
        <x:f>ROUND(D106*I106,2)</x:f>
        <x:v>22475.58</x:v>
      </x:c>
      <x:c r="F106" s="30" t="n">
        <x:f>0</x:f>
        <x:v>0</x:v>
      </x:c>
      <x:c r="G106" s="30" t="n">
        <x:f>ROUND(E106+F106,2)</x:f>
        <x:v>22475.58</x:v>
      </x:c>
      <x:c r="H106" s="30" t="n">
        <x:f>ROUND(D106-F106,2)</x:f>
        <x:v>3646037.89</x:v>
      </x:c>
      <x:c r="I106" s="33" t="n">
        <x:f>IF(AND(ISNUMBER('Параметры'!$C$7),'Параметры'!$C$7&gt;=0),'Параметры'!$C$7*C106/365,NA())</x:f>
        <x:v>0.0061643835616438354</x:v>
      </x:c>
      <x:c r="J106" s="32" t="n">
        <x:f>J105/(1+I106)</x:f>
        <x:v>0.5370356497220309</x:v>
      </x:c>
      <x:c r="K106" s="33" t="n">
        <x:f>IF(AND(ISNUMBER('Параметры'!$C$8),'Параметры'!$C$8&gt;=0),'Параметры'!$C$8*C106/365,NA())</x:f>
        <x:v>0.0061643835616438354</x:v>
      </x:c>
      <x:c r="L106" s="32" t="n">
        <x:f>L105/(1+K106)</x:f>
        <x:v>0.5370356497220309</x:v>
      </x:c>
      <x:c r="M106" s="30" t="n">
        <x:f>E106*L106</x:f>
        <x:v>12070.187708179485</x:v>
      </x:c>
      <x:c r="N106" s="30" t="n">
        <x:f>F106*L106</x:f>
        <x:v>0</x:v>
      </x:c>
      <x:c r="O106" s="30" t="n">
        <x:f>G106*L106</x:f>
        <x:v>12070.187708179485</x:v>
      </x:c>
    </x:row>
    <x:row r="107" ht="21" customHeight="1">
      <x:c r="A107" s="28" t="n">
        <x:v>101</x:v>
      </x:c>
      <x:c r="B107" s="29" t="n">
        <x:v>47870</x:v>
      </x:c>
      <x:c r="C107" s="28" t="n">
        <x:f>B107-B106</x:f>
        <x:v>31</x:v>
      </x:c>
      <x:c r="D107" s="30" t="n">
        <x:f>H106</x:f>
        <x:v>3646037.89</x:v>
      </x:c>
      <x:c r="E107" s="30" t="n">
        <x:f>ROUND(D107*I107,2)</x:f>
        <x:v>23224.76</x:v>
      </x:c>
      <x:c r="F107" s="30" t="n">
        <x:f>0</x:f>
        <x:v>0</x:v>
      </x:c>
      <x:c r="G107" s="30" t="n">
        <x:f>ROUND(E107+F107,2)</x:f>
        <x:v>23224.76</x:v>
      </x:c>
      <x:c r="H107" s="30" t="n">
        <x:f>ROUND(D107-F107,2)</x:f>
        <x:v>3646037.89</x:v>
      </x:c>
      <x:c r="I107" s="33" t="n">
        <x:f>IF(AND(ISNUMBER('Параметры'!$C$7),'Параметры'!$C$7&gt;=0),'Параметры'!$C$7*C107/365,NA())</x:f>
        <x:v>0.00636986301369863</x:v>
      </x:c>
      <x:c r="J107" s="32" t="n">
        <x:f>J106/(1+I107)</x:f>
        <x:v>0.5336364585817499</x:v>
      </x:c>
      <x:c r="K107" s="33" t="n">
        <x:f>IF(AND(ISNUMBER('Параметры'!$C$8),'Параметры'!$C$8&gt;=0),'Параметры'!$C$8*C107/365,NA())</x:f>
        <x:v>0.00636986301369863</x:v>
      </x:c>
      <x:c r="L107" s="32" t="n">
        <x:f>L106/(1+K107)</x:f>
        <x:v>0.5336364585817499</x:v>
      </x:c>
      <x:c r="M107" s="30" t="n">
        <x:f>E107*L107</x:f>
        <x:v>12393.578677811081</x:v>
      </x:c>
      <x:c r="N107" s="30" t="n">
        <x:f>F107*L107</x:f>
        <x:v>0</x:v>
      </x:c>
      <x:c r="O107" s="30" t="n">
        <x:f>G107*L107</x:f>
        <x:v>12393.578677811081</x:v>
      </x:c>
    </x:row>
    <x:row r="108" ht="21" customHeight="1">
      <x:c r="A108" s="28" t="n">
        <x:v>102</x:v>
      </x:c>
      <x:c r="B108" s="29" t="n">
        <x:v>47901</x:v>
      </x:c>
      <x:c r="C108" s="28" t="n">
        <x:f>B108-B107</x:f>
        <x:v>31</x:v>
      </x:c>
      <x:c r="D108" s="30" t="n">
        <x:f>H107</x:f>
        <x:v>3646037.89</x:v>
      </x:c>
      <x:c r="E108" s="30" t="n">
        <x:f>ROUND(D108*I108,2)</x:f>
        <x:v>23224.76</x:v>
      </x:c>
      <x:c r="F108" s="30" t="n">
        <x:f>0</x:f>
        <x:v>0</x:v>
      </x:c>
      <x:c r="G108" s="30" t="n">
        <x:f>ROUND(E108+F108,2)</x:f>
        <x:v>23224.76</x:v>
      </x:c>
      <x:c r="H108" s="30" t="n">
        <x:f>ROUND(D108-F108,2)</x:f>
        <x:v>3646037.89</x:v>
      </x:c>
      <x:c r="I108" s="33" t="n">
        <x:f>IF(AND(ISNUMBER('Параметры'!$C$7),'Параметры'!$C$7&gt;=0),'Параметры'!$C$7*C108/365,NA())</x:f>
        <x:v>0.00636986301369863</x:v>
      </x:c>
      <x:c r="J108" s="32" t="n">
        <x:f>J107/(1+I108)</x:f>
        <x:v>0.5302587827736711</x:v>
      </x:c>
      <x:c r="K108" s="33" t="n">
        <x:f>IF(AND(ISNUMBER('Параметры'!$C$8),'Параметры'!$C$8&gt;=0),'Параметры'!$C$8*C108/365,NA())</x:f>
        <x:v>0.00636986301369863</x:v>
      </x:c>
      <x:c r="L108" s="32" t="n">
        <x:f>L107/(1+K108)</x:f>
        <x:v>0.5302587827736711</x:v>
      </x:c>
      <x:c r="M108" s="30" t="n">
        <x:f>E108*L108</x:f>
        <x:v>12315.132967810645</x:v>
      </x:c>
      <x:c r="N108" s="30" t="n">
        <x:f>F108*L108</x:f>
        <x:v>0</x:v>
      </x:c>
      <x:c r="O108" s="30" t="n">
        <x:f>G108*L108</x:f>
        <x:v>12315.132967810645</x:v>
      </x:c>
    </x:row>
    <x:row r="109" ht="21" customHeight="1">
      <x:c r="A109" s="28" t="n">
        <x:v>103</x:v>
      </x:c>
      <x:c r="B109" s="29" t="n">
        <x:v>47929</x:v>
      </x:c>
      <x:c r="C109" s="28" t="n">
        <x:f>B109-B108</x:f>
        <x:v>28</x:v>
      </x:c>
      <x:c r="D109" s="30" t="n">
        <x:f>H108</x:f>
        <x:v>3646037.89</x:v>
      </x:c>
      <x:c r="E109" s="30" t="n">
        <x:f>ROUND(D109*I109,2)</x:f>
        <x:v>20977.2</x:v>
      </x:c>
      <x:c r="F109" s="30" t="n">
        <x:f>0</x:f>
        <x:v>0</x:v>
      </x:c>
      <x:c r="G109" s="30" t="n">
        <x:f>ROUND(E109+F109,2)</x:f>
        <x:v>20977.2</x:v>
      </x:c>
      <x:c r="H109" s="30" t="n">
        <x:f>ROUND(D109-F109,2)</x:f>
        <x:v>3646037.89</x:v>
      </x:c>
      <x:c r="I109" s="33" t="n">
        <x:f>IF(AND(ISNUMBER('Параметры'!$C$7),'Параметры'!$C$7&gt;=0),'Параметры'!$C$7*C109/365,NA())</x:f>
        <x:v>0.005753424657534247</x:v>
      </x:c>
      <x:c r="J109" s="32" t="n">
        <x:f>J108/(1+I109)</x:f>
        <x:v>0.5272254309789974</x:v>
      </x:c>
      <x:c r="K109" s="33" t="n">
        <x:f>IF(AND(ISNUMBER('Параметры'!$C$8),'Параметры'!$C$8&gt;=0),'Параметры'!$C$8*C109/365,NA())</x:f>
        <x:v>0.005753424657534247</x:v>
      </x:c>
      <x:c r="L109" s="32" t="n">
        <x:f>L108/(1+K109)</x:f>
        <x:v>0.5272254309789974</x:v>
      </x:c>
      <x:c r="M109" s="30" t="n">
        <x:f>E109*L109</x:f>
        <x:v>11059.713310732624</x:v>
      </x:c>
      <x:c r="N109" s="30" t="n">
        <x:f>F109*L109</x:f>
        <x:v>0</x:v>
      </x:c>
      <x:c r="O109" s="30" t="n">
        <x:f>G109*L109</x:f>
        <x:v>11059.713310732624</x:v>
      </x:c>
    </x:row>
    <x:row r="110" ht="21" customHeight="1">
      <x:c r="A110" s="28" t="n">
        <x:v>104</x:v>
      </x:c>
      <x:c r="B110" s="29" t="n">
        <x:v>47960</x:v>
      </x:c>
      <x:c r="C110" s="28" t="n">
        <x:f>B110-B109</x:f>
        <x:v>31</x:v>
      </x:c>
      <x:c r="D110" s="30" t="n">
        <x:f>H109</x:f>
        <x:v>3646037.89</x:v>
      </x:c>
      <x:c r="E110" s="30" t="n">
        <x:f>ROUND(D110*I110,2)</x:f>
        <x:v>23224.76</x:v>
      </x:c>
      <x:c r="F110" s="30" t="n">
        <x:f>0</x:f>
        <x:v>0</x:v>
      </x:c>
      <x:c r="G110" s="30" t="n">
        <x:f>ROUND(E110+F110,2)</x:f>
        <x:v>23224.76</x:v>
      </x:c>
      <x:c r="H110" s="30" t="n">
        <x:f>ROUND(D110-F110,2)</x:f>
        <x:v>3646037.89</x:v>
      </x:c>
      <x:c r="I110" s="33" t="n">
        <x:f>IF(AND(ISNUMBER('Параметры'!$C$7),'Параметры'!$C$7&gt;=0),'Параметры'!$C$7*C110/365,NA())</x:f>
        <x:v>0.00636986301369863</x:v>
      </x:c>
      <x:c r="J110" s="32" t="n">
        <x:f>J109/(1+I110)</x:f>
        <x:v>0.5238883340565822</x:v>
      </x:c>
      <x:c r="K110" s="33" t="n">
        <x:f>IF(AND(ISNUMBER('Параметры'!$C$8),'Параметры'!$C$8&gt;=0),'Параметры'!$C$8*C110/365,NA())</x:f>
        <x:v>0.00636986301369863</x:v>
      </x:c>
      <x:c r="L110" s="32" t="n">
        <x:f>L109/(1+K110)</x:f>
        <x:v>0.5238883340565822</x:v>
      </x:c>
      <x:c r="M110" s="30" t="n">
        <x:f>E110*L110</x:f>
        <x:v>12167.180825263948</x:v>
      </x:c>
      <x:c r="N110" s="30" t="n">
        <x:f>F110*L110</x:f>
        <x:v>0</x:v>
      </x:c>
      <x:c r="O110" s="30" t="n">
        <x:f>G110*L110</x:f>
        <x:v>12167.180825263948</x:v>
      </x:c>
    </x:row>
    <x:row r="111" ht="21" customHeight="1">
      <x:c r="A111" s="28" t="n">
        <x:v>105</x:v>
      </x:c>
      <x:c r="B111" s="29" t="n">
        <x:v>47990</x:v>
      </x:c>
      <x:c r="C111" s="28" t="n">
        <x:f>B111-B110</x:f>
        <x:v>30</x:v>
      </x:c>
      <x:c r="D111" s="30" t="n">
        <x:f>H110</x:f>
        <x:v>3646037.89</x:v>
      </x:c>
      <x:c r="E111" s="30" t="n">
        <x:f>ROUND(D111*I111,2)</x:f>
        <x:v>22475.58</x:v>
      </x:c>
      <x:c r="F111" s="30" t="n">
        <x:f>0</x:f>
        <x:v>0</x:v>
      </x:c>
      <x:c r="G111" s="30" t="n">
        <x:f>ROUND(E111+F111,2)</x:f>
        <x:v>22475.58</x:v>
      </x:c>
      <x:c r="H111" s="30" t="n">
        <x:f>ROUND(D111-F111,2)</x:f>
        <x:v>3646037.89</x:v>
      </x:c>
      <x:c r="I111" s="33" t="n">
        <x:f>IF(AND(ISNUMBER('Параметры'!$C$7),'Параметры'!$C$7&gt;=0),'Параметры'!$C$7*C111/365,NA())</x:f>
        <x:v>0.0061643835616438354</x:v>
      </x:c>
      <x:c r="J111" s="32" t="n">
        <x:f>J110/(1+I111)</x:f>
        <x:v>0.5206786710160721</x:v>
      </x:c>
      <x:c r="K111" s="33" t="n">
        <x:f>IF(AND(ISNUMBER('Параметры'!$C$8),'Параметры'!$C$8&gt;=0),'Параметры'!$C$8*C111/365,NA())</x:f>
        <x:v>0.0061643835616438354</x:v>
      </x:c>
      <x:c r="L111" s="32" t="n">
        <x:f>L110/(1+K111)</x:f>
        <x:v>0.5206786710160721</x:v>
      </x:c>
      <x:c r="M111" s="30" t="n">
        <x:f>E111*L111</x:f>
        <x:v>11702.55512471541</x:v>
      </x:c>
      <x:c r="N111" s="30" t="n">
        <x:f>F111*L111</x:f>
        <x:v>0</x:v>
      </x:c>
      <x:c r="O111" s="30" t="n">
        <x:f>G111*L111</x:f>
        <x:v>11702.55512471541</x:v>
      </x:c>
    </x:row>
    <x:row r="112" ht="21" customHeight="1">
      <x:c r="A112" s="28" t="n">
        <x:v>106</x:v>
      </x:c>
      <x:c r="B112" s="29" t="n">
        <x:v>48021</x:v>
      </x:c>
      <x:c r="C112" s="28" t="n">
        <x:f>B112-B111</x:f>
        <x:v>31</x:v>
      </x:c>
      <x:c r="D112" s="30" t="n">
        <x:f>H111</x:f>
        <x:v>3646037.89</x:v>
      </x:c>
      <x:c r="E112" s="30" t="n">
        <x:f>ROUND(D112*I112,2)</x:f>
        <x:v>23224.76</x:v>
      </x:c>
      <x:c r="F112" s="30" t="n">
        <x:f>0</x:f>
        <x:v>0</x:v>
      </x:c>
      <x:c r="G112" s="30" t="n">
        <x:f>ROUND(E112+F112,2)</x:f>
        <x:v>23224.76</x:v>
      </x:c>
      <x:c r="H112" s="30" t="n">
        <x:f>ROUND(D112-F112,2)</x:f>
        <x:v>3646037.89</x:v>
      </x:c>
      <x:c r="I112" s="33" t="n">
        <x:f>IF(AND(ISNUMBER('Параметры'!$C$7),'Параметры'!$C$7&gt;=0),'Параметры'!$C$7*C112/365,NA())</x:f>
        <x:v>0.00636986301369863</x:v>
      </x:c>
      <x:c r="J112" s="32" t="n">
        <x:f>J111/(1+I112)</x:f>
        <x:v>0.517383012103359</x:v>
      </x:c>
      <x:c r="K112" s="33" t="n">
        <x:f>IF(AND(ISNUMBER('Параметры'!$C$8),'Параметры'!$C$8&gt;=0),'Параметры'!$C$8*C112/365,NA())</x:f>
        <x:v>0.00636986301369863</x:v>
      </x:c>
      <x:c r="L112" s="32" t="n">
        <x:f>L111/(1+K112)</x:f>
        <x:v>0.517383012103359</x:v>
      </x:c>
      <x:c r="M112" s="30" t="n">
        <x:f>E112*L112</x:f>
        <x:v>12016.096284177607</x:v>
      </x:c>
      <x:c r="N112" s="30" t="n">
        <x:f>F112*L112</x:f>
        <x:v>0</x:v>
      </x:c>
      <x:c r="O112" s="30" t="n">
        <x:f>G112*L112</x:f>
        <x:v>12016.096284177607</x:v>
      </x:c>
    </x:row>
    <x:row r="113" ht="21" customHeight="1">
      <x:c r="A113" s="28" t="n">
        <x:v>107</x:v>
      </x:c>
      <x:c r="B113" s="29" t="n">
        <x:v>48051</x:v>
      </x:c>
      <x:c r="C113" s="28" t="n">
        <x:f>B113-B112</x:f>
        <x:v>30</x:v>
      </x:c>
      <x:c r="D113" s="30" t="n">
        <x:f>H112</x:f>
        <x:v>3646037.89</x:v>
      </x:c>
      <x:c r="E113" s="30" t="n">
        <x:f>ROUND(D113*I113,2)</x:f>
        <x:v>22475.58</x:v>
      </x:c>
      <x:c r="F113" s="30" t="n">
        <x:f>0</x:f>
        <x:v>0</x:v>
      </x:c>
      <x:c r="G113" s="30" t="n">
        <x:f>ROUND(E113+F113,2)</x:f>
        <x:v>22475.58</x:v>
      </x:c>
      <x:c r="H113" s="30" t="n">
        <x:f>ROUND(D113-F113,2)</x:f>
        <x:v>3646037.89</x:v>
      </x:c>
      <x:c r="I113" s="33" t="n">
        <x:f>IF(AND(ISNUMBER('Параметры'!$C$7),'Параметры'!$C$7&gt;=0),'Параметры'!$C$7*C113/365,NA())</x:f>
        <x:v>0.0061643835616438354</x:v>
      </x:c>
      <x:c r="J113" s="32" t="n">
        <x:f>J112/(1+I113)</x:f>
        <x:v>0.5142132046772663</x:v>
      </x:c>
      <x:c r="K113" s="33" t="n">
        <x:f>IF(AND(ISNUMBER('Параметры'!$C$8),'Параметры'!$C$8&gt;=0),'Параметры'!$C$8*C113/365,NA())</x:f>
        <x:v>0.0061643835616438354</x:v>
      </x:c>
      <x:c r="L113" s="32" t="n">
        <x:f>L112/(1+K113)</x:f>
        <x:v>0.5142132046772663</x:v>
      </x:c>
      <x:c r="M113" s="30" t="n">
        <x:f>E113*L113</x:f>
        <x:v>11557.240018780274</x:v>
      </x:c>
      <x:c r="N113" s="30" t="n">
        <x:f>F113*L113</x:f>
        <x:v>0</x:v>
      </x:c>
      <x:c r="O113" s="30" t="n">
        <x:f>G113*L113</x:f>
        <x:v>11557.240018780274</x:v>
      </x:c>
    </x:row>
    <x:row r="114" ht="21" customHeight="1">
      <x:c r="A114" s="28" t="n">
        <x:v>108</x:v>
      </x:c>
      <x:c r="B114" s="29" t="n">
        <x:v>48082</x:v>
      </x:c>
      <x:c r="C114" s="28" t="n">
        <x:f>B114-B113</x:f>
        <x:v>31</x:v>
      </x:c>
      <x:c r="D114" s="30" t="n">
        <x:f>H113</x:f>
        <x:v>3646037.89</x:v>
      </x:c>
      <x:c r="E114" s="30" t="n">
        <x:f>ROUND(D114*I114,2)</x:f>
        <x:v>23224.76</x:v>
      </x:c>
      <x:c r="F114" s="30" t="n">
        <x:f>0</x:f>
        <x:v>0</x:v>
      </x:c>
      <x:c r="G114" s="30" t="n">
        <x:f>ROUND(E114+F114,2)</x:f>
        <x:v>23224.76</x:v>
      </x:c>
      <x:c r="H114" s="30" t="n">
        <x:f>ROUND(D114-F114,2)</x:f>
        <x:v>3646037.89</x:v>
      </x:c>
      <x:c r="I114" s="33" t="n">
        <x:f>IF(AND(ISNUMBER('Параметры'!$C$7),'Параметры'!$C$7&gt;=0),'Параметры'!$C$7*C114/365,NA())</x:f>
        <x:v>0.00636986301369863</x:v>
      </x:c>
      <x:c r="J114" s="32" t="n">
        <x:f>J113/(1+I114)</x:f>
        <x:v>0.510958469222629</x:v>
      </x:c>
      <x:c r="K114" s="33" t="n">
        <x:f>IF(AND(ISNUMBER('Параметры'!$C$8),'Параметры'!$C$8&gt;=0),'Параметры'!$C$8*C114/365,NA())</x:f>
        <x:v>0.00636986301369863</x:v>
      </x:c>
      <x:c r="L114" s="32" t="n">
        <x:f>L113/(1+K114)</x:f>
        <x:v>0.510958469222629</x:v>
      </x:c>
      <x:c r="M114" s="30" t="n">
        <x:f>E114*L114</x:f>
        <x:v>11866.887817662944</x:v>
      </x:c>
      <x:c r="N114" s="30" t="n">
        <x:f>F114*L114</x:f>
        <x:v>0</x:v>
      </x:c>
      <x:c r="O114" s="30" t="n">
        <x:f>G114*L114</x:f>
        <x:v>11866.887817662944</x:v>
      </x:c>
    </x:row>
    <x:row r="115" ht="21" customHeight="1">
      <x:c r="A115" s="28" t="n">
        <x:v>109</x:v>
      </x:c>
      <x:c r="B115" s="29" t="n">
        <x:v>48113</x:v>
      </x:c>
      <x:c r="C115" s="28" t="n">
        <x:f>B115-B114</x:f>
        <x:v>31</x:v>
      </x:c>
      <x:c r="D115" s="30" t="n">
        <x:f>H114</x:f>
        <x:v>3646037.89</x:v>
      </x:c>
      <x:c r="E115" s="30" t="n">
        <x:f>ROUND(D115*I115,2)</x:f>
        <x:v>23224.76</x:v>
      </x:c>
      <x:c r="F115" s="30" t="n">
        <x:f>0</x:f>
        <x:v>0</x:v>
      </x:c>
      <x:c r="G115" s="30" t="n">
        <x:f>ROUND(E115+F115,2)</x:f>
        <x:v>23224.76</x:v>
      </x:c>
      <x:c r="H115" s="30" t="n">
        <x:f>ROUND(D115-F115,2)</x:f>
        <x:v>3646037.89</x:v>
      </x:c>
      <x:c r="I115" s="33" t="n">
        <x:f>IF(AND(ISNUMBER('Параметры'!$C$7),'Параметры'!$C$7&gt;=0),'Параметры'!$C$7*C115/365,NA())</x:f>
        <x:v>0.00636986301369863</x:v>
      </x:c>
      <x:c r="J115" s="32" t="n">
        <x:f>J114/(1+I115)</x:f>
        <x:v>0.5077243347614772</x:v>
      </x:c>
      <x:c r="K115" s="33" t="n">
        <x:f>IF(AND(ISNUMBER('Параметры'!$C$8),'Параметры'!$C$8&gt;=0),'Параметры'!$C$8*C115/365,NA())</x:f>
        <x:v>0.00636986301369863</x:v>
      </x:c>
      <x:c r="L115" s="32" t="n">
        <x:f>L114/(1+K115)</x:f>
        <x:v>0.5077243347614772</x:v>
      </x:c>
      <x:c r="M115" s="30" t="n">
        <x:f>E115*L115</x:f>
        <x:v>11791.775820994964</x:v>
      </x:c>
      <x:c r="N115" s="30" t="n">
        <x:f>F115*L115</x:f>
        <x:v>0</x:v>
      </x:c>
      <x:c r="O115" s="30" t="n">
        <x:f>G115*L115</x:f>
        <x:v>11791.775820994964</x:v>
      </x:c>
    </x:row>
    <x:row r="116" ht="21" customHeight="1">
      <x:c r="A116" s="28" t="n">
        <x:v>110</x:v>
      </x:c>
      <x:c r="B116" s="29" t="n">
        <x:v>48143</x:v>
      </x:c>
      <x:c r="C116" s="28" t="n">
        <x:f>B116-B115</x:f>
        <x:v>30</x:v>
      </x:c>
      <x:c r="D116" s="30" t="n">
        <x:f>H115</x:f>
        <x:v>3646037.89</x:v>
      </x:c>
      <x:c r="E116" s="30" t="n">
        <x:f>ROUND(D116*I116,2)</x:f>
        <x:v>22475.58</x:v>
      </x:c>
      <x:c r="F116" s="30" t="n">
        <x:f>0</x:f>
        <x:v>0</x:v>
      </x:c>
      <x:c r="G116" s="30" t="n">
        <x:f>ROUND(E116+F116,2)</x:f>
        <x:v>22475.58</x:v>
      </x:c>
      <x:c r="H116" s="30" t="n">
        <x:f>ROUND(D116-F116,2)</x:f>
        <x:v>3646037.89</x:v>
      </x:c>
      <x:c r="I116" s="33" t="n">
        <x:f>IF(AND(ISNUMBER('Параметры'!$C$7),'Параметры'!$C$7&gt;=0),'Параметры'!$C$7*C116/365,NA())</x:f>
        <x:v>0.0061643835616438354</x:v>
      </x:c>
      <x:c r="J116" s="32" t="n">
        <x:f>J115/(1+I116)</x:f>
        <x:v>0.5046137023497322</x:v>
      </x:c>
      <x:c r="K116" s="33" t="n">
        <x:f>IF(AND(ISNUMBER('Параметры'!$C$8),'Параметры'!$C$8&gt;=0),'Параметры'!$C$8*C116/365,NA())</x:f>
        <x:v>0.0061643835616438354</x:v>
      </x:c>
      <x:c r="L116" s="32" t="n">
        <x:f>L115/(1+K116)</x:f>
        <x:v>0.5046137023497322</x:v>
      </x:c>
      <x:c r="M116" s="30" t="n">
        <x:f>E116*L116</x:f>
        <x:v>11341.485636257596</x:v>
      </x:c>
      <x:c r="N116" s="30" t="n">
        <x:f>F116*L116</x:f>
        <x:v>0</x:v>
      </x:c>
      <x:c r="O116" s="30" t="n">
        <x:f>G116*L116</x:f>
        <x:v>11341.485636257596</x:v>
      </x:c>
    </x:row>
    <x:row r="117" ht="21" customHeight="1">
      <x:c r="A117" s="28" t="n">
        <x:v>111</x:v>
      </x:c>
      <x:c r="B117" s="29" t="n">
        <x:v>48174</x:v>
      </x:c>
      <x:c r="C117" s="28" t="n">
        <x:f>B117-B116</x:f>
        <x:v>31</x:v>
      </x:c>
      <x:c r="D117" s="30" t="n">
        <x:f>H116</x:f>
        <x:v>3646037.89</x:v>
      </x:c>
      <x:c r="E117" s="30" t="n">
        <x:f>ROUND(D117*I117,2)</x:f>
        <x:v>23224.76</x:v>
      </x:c>
      <x:c r="F117" s="30" t="n">
        <x:f>0</x:f>
        <x:v>0</x:v>
      </x:c>
      <x:c r="G117" s="30" t="n">
        <x:f>ROUND(E117+F117,2)</x:f>
        <x:v>23224.76</x:v>
      </x:c>
      <x:c r="H117" s="30" t="n">
        <x:f>ROUND(D117-F117,2)</x:f>
        <x:v>3646037.89</x:v>
      </x:c>
      <x:c r="I117" s="33" t="n">
        <x:f>IF(AND(ISNUMBER('Параметры'!$C$7),'Параметры'!$C$7&gt;=0),'Параметры'!$C$7*C117/365,NA())</x:f>
        <x:v>0.00636986301369863</x:v>
      </x:c>
      <x:c r="J117" s="32" t="n">
        <x:f>J116/(1+I117)</x:f>
        <x:v>0.5014197273739938</x:v>
      </x:c>
      <x:c r="K117" s="33" t="n">
        <x:f>IF(AND(ISNUMBER('Параметры'!$C$8),'Параметры'!$C$8&gt;=0),'Параметры'!$C$8*C117/365,NA())</x:f>
        <x:v>0.00636986301369863</x:v>
      </x:c>
      <x:c r="L117" s="32" t="n">
        <x:f>L116/(1+K117)</x:f>
        <x:v>0.5014197273739938</x:v>
      </x:c>
      <x:c r="M117" s="30" t="n">
        <x:f>E117*L117</x:f>
        <x:v>11645.352827526434</x:v>
      </x:c>
      <x:c r="N117" s="30" t="n">
        <x:f>F117*L117</x:f>
        <x:v>0</x:v>
      </x:c>
      <x:c r="O117" s="30" t="n">
        <x:f>G117*L117</x:f>
        <x:v>11645.352827526434</x:v>
      </x:c>
    </x:row>
    <x:row r="118" ht="21" customHeight="1">
      <x:c r="A118" s="28" t="n">
        <x:v>112</x:v>
      </x:c>
      <x:c r="B118" s="29" t="n">
        <x:v>48204</x:v>
      </x:c>
      <x:c r="C118" s="28" t="n">
        <x:f>B118-B117</x:f>
        <x:v>30</x:v>
      </x:c>
      <x:c r="D118" s="30" t="n">
        <x:f>H117</x:f>
        <x:v>3646037.89</x:v>
      </x:c>
      <x:c r="E118" s="30" t="n">
        <x:f>ROUND(D118*I118,2)</x:f>
        <x:v>22475.58</x:v>
      </x:c>
      <x:c r="F118" s="30" t="n">
        <x:f>0</x:f>
        <x:v>0</x:v>
      </x:c>
      <x:c r="G118" s="30" t="n">
        <x:f>ROUND(E118+F118,2)</x:f>
        <x:v>22475.58</x:v>
      </x:c>
      <x:c r="H118" s="30" t="n">
        <x:f>ROUND(D118-F118,2)</x:f>
        <x:v>3646037.89</x:v>
      </x:c>
      <x:c r="I118" s="33" t="n">
        <x:f>IF(AND(ISNUMBER('Параметры'!$C$7),'Параметры'!$C$7&gt;=0),'Параметры'!$C$7*C118/365,NA())</x:f>
        <x:v>0.0061643835616438354</x:v>
      </x:c>
      <x:c r="J118" s="32" t="n">
        <x:f>J117/(1+I118)</x:f>
        <x:v>0.4983477208754465</x:v>
      </x:c>
      <x:c r="K118" s="33" t="n">
        <x:f>IF(AND(ISNUMBER('Параметры'!$C$8),'Параметры'!$C$8&gt;=0),'Параметры'!$C$8*C118/365,NA())</x:f>
        <x:v>0.0061643835616438354</x:v>
      </x:c>
      <x:c r="L118" s="32" t="n">
        <x:f>L117/(1+K118)</x:f>
        <x:v>0.4983477208754465</x:v>
      </x:c>
      <x:c r="M118" s="30" t="n">
        <x:f>E118*L118</x:f>
        <x:v>11200.654068353768</x:v>
      </x:c>
      <x:c r="N118" s="30" t="n">
        <x:f>F118*L118</x:f>
        <x:v>0</x:v>
      </x:c>
      <x:c r="O118" s="30" t="n">
        <x:f>G118*L118</x:f>
        <x:v>11200.654068353768</x:v>
      </x:c>
    </x:row>
    <x:row r="119" ht="21" customHeight="1">
      <x:c r="A119" s="28" t="n">
        <x:v>113</x:v>
      </x:c>
      <x:c r="B119" s="29" t="n">
        <x:v>48235</x:v>
      </x:c>
      <x:c r="C119" s="28" t="n">
        <x:f>B119-B118</x:f>
        <x:v>31</x:v>
      </x:c>
      <x:c r="D119" s="30" t="n">
        <x:f>H118</x:f>
        <x:v>3646037.89</x:v>
      </x:c>
      <x:c r="E119" s="30" t="n">
        <x:f>ROUND(D119*I119,2)</x:f>
        <x:v>23224.76</x:v>
      </x:c>
      <x:c r="F119" s="30" t="n">
        <x:f>0</x:f>
        <x:v>0</x:v>
      </x:c>
      <x:c r="G119" s="30" t="n">
        <x:f>ROUND(E119+F119,2)</x:f>
        <x:v>23224.76</x:v>
      </x:c>
      <x:c r="H119" s="30" t="n">
        <x:f>ROUND(D119-F119,2)</x:f>
        <x:v>3646037.89</x:v>
      </x:c>
      <x:c r="I119" s="33" t="n">
        <x:f>IF(AND(ISNUMBER('Параметры'!$C$7),'Параметры'!$C$7&gt;=0),'Параметры'!$C$7*C119/365,NA())</x:f>
        <x:v>0.00636986301369863</x:v>
      </x:c>
      <x:c r="J119" s="32" t="n">
        <x:f>J118/(1+I119)</x:f>
        <x:v>0.49519340670942075</x:v>
      </x:c>
      <x:c r="K119" s="33" t="n">
        <x:f>IF(AND(ISNUMBER('Параметры'!$C$8),'Параметры'!$C$8&gt;=0),'Параметры'!$C$8*C119/365,NA())</x:f>
        <x:v>0.00636986301369863</x:v>
      </x:c>
      <x:c r="L119" s="32" t="n">
        <x:f>L118/(1+K119)</x:f>
        <x:v>0.49519340670942075</x:v>
      </x:c>
      <x:c r="M119" s="30" t="n">
        <x:f>E119*L119</x:f>
        <x:v>11500.748024408686</x:v>
      </x:c>
      <x:c r="N119" s="30" t="n">
        <x:f>F119*L119</x:f>
        <x:v>0</x:v>
      </x:c>
      <x:c r="O119" s="30" t="n">
        <x:f>G119*L119</x:f>
        <x:v>11500.748024408686</x:v>
      </x:c>
    </x:row>
    <x:row r="120" ht="21" customHeight="1">
      <x:c r="A120" s="28" t="n">
        <x:v>114</x:v>
      </x:c>
      <x:c r="B120" s="29" t="n">
        <x:v>48266</x:v>
      </x:c>
      <x:c r="C120" s="28" t="n">
        <x:f>B120-B119</x:f>
        <x:v>31</x:v>
      </x:c>
      <x:c r="D120" s="30" t="n">
        <x:f>H119</x:f>
        <x:v>3646037.89</x:v>
      </x:c>
      <x:c r="E120" s="30" t="n">
        <x:f>ROUND(D120*I120,2)</x:f>
        <x:v>23224.76</x:v>
      </x:c>
      <x:c r="F120" s="30" t="n">
        <x:f>0</x:f>
        <x:v>0</x:v>
      </x:c>
      <x:c r="G120" s="30" t="n">
        <x:f>ROUND(E120+F120,2)</x:f>
        <x:v>23224.76</x:v>
      </x:c>
      <x:c r="H120" s="30" t="n">
        <x:f>ROUND(D120-F120,2)</x:f>
        <x:v>3646037.89</x:v>
      </x:c>
      <x:c r="I120" s="33" t="n">
        <x:f>IF(AND(ISNUMBER('Параметры'!$C$7),'Параметры'!$C$7&gt;=0),'Параметры'!$C$7*C120/365,NA())</x:f>
        <x:v>0.00636986301369863</x:v>
      </x:c>
      <x:c r="J120" s="32" t="n">
        <x:f>J119/(1+I120)</x:f>
        <x:v>0.49205905791584725</x:v>
      </x:c>
      <x:c r="K120" s="33" t="n">
        <x:f>IF(AND(ISNUMBER('Параметры'!$C$8),'Параметры'!$C$8&gt;=0),'Параметры'!$C$8*C120/365,NA())</x:f>
        <x:v>0.00636986301369863</x:v>
      </x:c>
      <x:c r="L120" s="32" t="n">
        <x:f>L119/(1+K120)</x:f>
        <x:v>0.49205905791584725</x:v>
      </x:c>
      <x:c r="M120" s="30" t="n">
        <x:f>E120*L120</x:f>
        <x:v>11427.953525921652</x:v>
      </x:c>
      <x:c r="N120" s="30" t="n">
        <x:f>F120*L120</x:f>
        <x:v>0</x:v>
      </x:c>
      <x:c r="O120" s="30" t="n">
        <x:f>G120*L120</x:f>
        <x:v>11427.953525921652</x:v>
      </x:c>
    </x:row>
    <x:row r="121" ht="21" customHeight="1">
      <x:c r="A121" s="28" t="n">
        <x:v>115</x:v>
      </x:c>
      <x:c r="B121" s="29" t="n">
        <x:v>48295</x:v>
      </x:c>
      <x:c r="C121" s="28" t="n">
        <x:f>B121-B120</x:f>
        <x:v>29</x:v>
      </x:c>
      <x:c r="D121" s="30" t="n">
        <x:f>H120</x:f>
        <x:v>3646037.89</x:v>
      </x:c>
      <x:c r="E121" s="30" t="n">
        <x:f>ROUND(D121*I121,2)</x:f>
        <x:v>21726.39</x:v>
      </x:c>
      <x:c r="F121" s="30" t="n">
        <x:f>0</x:f>
        <x:v>0</x:v>
      </x:c>
      <x:c r="G121" s="30" t="n">
        <x:f>ROUND(E121+F121,2)</x:f>
        <x:v>21726.39</x:v>
      </x:c>
      <x:c r="H121" s="30" t="n">
        <x:f>ROUND(D121-F121,2)</x:f>
        <x:v>3646037.89</x:v>
      </x:c>
      <x:c r="I121" s="33" t="n">
        <x:f>IF(AND(ISNUMBER('Параметры'!$C$7),'Параметры'!$C$7&gt;=0),'Параметры'!$C$7*C121/365,NA())</x:f>
        <x:v>0.00595890410958904</x:v>
      </x:c>
      <x:c r="J121" s="32" t="n">
        <x:f>J120/(1+I121)</x:f>
        <x:v>0.48914429397231357</x:v>
      </x:c>
      <x:c r="K121" s="33" t="n">
        <x:f>IF(AND(ISNUMBER('Параметры'!$C$8),'Параметры'!$C$8&gt;=0),'Параметры'!$C$8*C121/365,NA())</x:f>
        <x:v>0.00595890410958904</x:v>
      </x:c>
      <x:c r="L121" s="32" t="n">
        <x:f>L120/(1+K121)</x:f>
        <x:v>0.48914429397231357</x:v>
      </x:c>
      <x:c r="M121" s="30" t="n">
        <x:f>E121*L121</x:f>
        <x:v>10627.339697117133</x:v>
      </x:c>
      <x:c r="N121" s="30" t="n">
        <x:f>F121*L121</x:f>
        <x:v>0</x:v>
      </x:c>
      <x:c r="O121" s="30" t="n">
        <x:f>G121*L121</x:f>
        <x:v>10627.339697117133</x:v>
      </x:c>
    </x:row>
    <x:row r="122" ht="21" customHeight="1">
      <x:c r="A122" s="28" t="n">
        <x:v>116</x:v>
      </x:c>
      <x:c r="B122" s="29" t="n">
        <x:v>48326</x:v>
      </x:c>
      <x:c r="C122" s="28" t="n">
        <x:f>B122-B121</x:f>
        <x:v>31</x:v>
      </x:c>
      <x:c r="D122" s="30" t="n">
        <x:f>H121</x:f>
        <x:v>3646037.89</x:v>
      </x:c>
      <x:c r="E122" s="30" t="n">
        <x:f>ROUND(D122*I122,2)</x:f>
        <x:v>23224.76</x:v>
      </x:c>
      <x:c r="F122" s="30" t="n">
        <x:f>0</x:f>
        <x:v>0</x:v>
      </x:c>
      <x:c r="G122" s="30" t="n">
        <x:f>ROUND(E122+F122,2)</x:f>
        <x:v>23224.76</x:v>
      </x:c>
      <x:c r="H122" s="30" t="n">
        <x:f>ROUND(D122-F122,2)</x:f>
        <x:v>3646037.89</x:v>
      </x:c>
      <x:c r="I122" s="33" t="n">
        <x:f>IF(AND(ISNUMBER('Параметры'!$C$7),'Параметры'!$C$7&gt;=0),'Параметры'!$C$7*C122/365,NA())</x:f>
        <x:v>0.00636986301369863</x:v>
      </x:c>
      <x:c r="J122" s="32" t="n">
        <x:f>J121/(1+I122)</x:f>
        <x:v>0.4860482333080908</x:v>
      </x:c>
      <x:c r="K122" s="33" t="n">
        <x:f>IF(AND(ISNUMBER('Параметры'!$C$8),'Параметры'!$C$8&gt;=0),'Параметры'!$C$8*C122/365,NA())</x:f>
        <x:v>0.00636986301369863</x:v>
      </x:c>
      <x:c r="L122" s="32" t="n">
        <x:f>L121/(1+K122)</x:f>
        <x:v>0.4860482333080908</x:v>
      </x:c>
      <x:c r="M122" s="30" t="n">
        <x:f>E122*L122</x:f>
        <x:v>11288.353567004415</x:v>
      </x:c>
      <x:c r="N122" s="30" t="n">
        <x:f>F122*L122</x:f>
        <x:v>0</x:v>
      </x:c>
      <x:c r="O122" s="30" t="n">
        <x:f>G122*L122</x:f>
        <x:v>11288.353567004415</x:v>
      </x:c>
    </x:row>
    <x:row r="123" ht="21" customHeight="1">
      <x:c r="A123" s="28" t="n">
        <x:v>117</x:v>
      </x:c>
      <x:c r="B123" s="29" t="n">
        <x:v>48356</x:v>
      </x:c>
      <x:c r="C123" s="28" t="n">
        <x:f>B123-B122</x:f>
        <x:v>30</x:v>
      </x:c>
      <x:c r="D123" s="30" t="n">
        <x:f>H122</x:f>
        <x:v>3646037.89</x:v>
      </x:c>
      <x:c r="E123" s="30" t="n">
        <x:f>ROUND(D123*I123,2)</x:f>
        <x:v>22475.58</x:v>
      </x:c>
      <x:c r="F123" s="30" t="n">
        <x:f>0</x:f>
        <x:v>0</x:v>
      </x:c>
      <x:c r="G123" s="30" t="n">
        <x:f>ROUND(E123+F123,2)</x:f>
        <x:v>22475.58</x:v>
      </x:c>
      <x:c r="H123" s="30" t="n">
        <x:f>ROUND(D123-F123,2)</x:f>
        <x:v>3646037.89</x:v>
      </x:c>
      <x:c r="I123" s="33" t="n">
        <x:f>IF(AND(ISNUMBER('Параметры'!$C$7),'Параметры'!$C$7&gt;=0),'Параметры'!$C$7*C123/365,NA())</x:f>
        <x:v>0.0061643835616438354</x:v>
      </x:c>
      <x:c r="J123" s="32" t="n">
        <x:f>J122/(1+I123)</x:f>
        <x:v>0.48307040206250007</x:v>
      </x:c>
      <x:c r="K123" s="33" t="n">
        <x:f>IF(AND(ISNUMBER('Параметры'!$C$8),'Параметры'!$C$8&gt;=0),'Параметры'!$C$8*C123/365,NA())</x:f>
        <x:v>0.0061643835616438354</x:v>
      </x:c>
      <x:c r="L123" s="32" t="n">
        <x:f>L122/(1+K123)</x:f>
        <x:v>0.48307040206250007</x:v>
      </x:c>
      <x:c r="M123" s="30" t="n">
        <x:f>E123*L123</x:f>
        <x:v>10857.287467187885</x:v>
      </x:c>
      <x:c r="N123" s="30" t="n">
        <x:f>F123*L123</x:f>
        <x:v>0</x:v>
      </x:c>
      <x:c r="O123" s="30" t="n">
        <x:f>G123*L123</x:f>
        <x:v>10857.287467187885</x:v>
      </x:c>
    </x:row>
    <x:row r="124" ht="21" customHeight="1">
      <x:c r="A124" s="28" t="n">
        <x:v>118</x:v>
      </x:c>
      <x:c r="B124" s="29" t="n">
        <x:v>48387</x:v>
      </x:c>
      <x:c r="C124" s="28" t="n">
        <x:f>B124-B123</x:f>
        <x:v>31</x:v>
      </x:c>
      <x:c r="D124" s="30" t="n">
        <x:f>H123</x:f>
        <x:v>3646037.89</x:v>
      </x:c>
      <x:c r="E124" s="30" t="n">
        <x:f>ROUND(D124*I124,2)</x:f>
        <x:v>23224.76</x:v>
      </x:c>
      <x:c r="F124" s="30" t="n">
        <x:f>0</x:f>
        <x:v>0</x:v>
      </x:c>
      <x:c r="G124" s="30" t="n">
        <x:f>ROUND(E124+F124,2)</x:f>
        <x:v>23224.76</x:v>
      </x:c>
      <x:c r="H124" s="30" t="n">
        <x:f>ROUND(D124-F124,2)</x:f>
        <x:v>3646037.89</x:v>
      </x:c>
      <x:c r="I124" s="33" t="n">
        <x:f>IF(AND(ISNUMBER('Параметры'!$C$7),'Параметры'!$C$7&gt;=0),'Параметры'!$C$7*C124/365,NA())</x:f>
        <x:v>0.00636986301369863</x:v>
      </x:c>
      <x:c r="J124" s="32" t="n">
        <x:f>J123/(1+I124)</x:f>
        <x:v>0.4800127863685089</x:v>
      </x:c>
      <x:c r="K124" s="33" t="n">
        <x:f>IF(AND(ISNUMBER('Параметры'!$C$8),'Параметры'!$C$8&gt;=0),'Параметры'!$C$8*C124/365,NA())</x:f>
        <x:v>0.00636986301369863</x:v>
      </x:c>
      <x:c r="L124" s="32" t="n">
        <x:f>L123/(1+K124)</x:f>
        <x:v>0.4800127863685089</x:v>
      </x:c>
      <x:c r="M124" s="30" t="n">
        <x:f>E124*L124</x:f>
        <x:v>11148.18176033989</x:v>
      </x:c>
      <x:c r="N124" s="30" t="n">
        <x:f>F124*L124</x:f>
        <x:v>0</x:v>
      </x:c>
      <x:c r="O124" s="30" t="n">
        <x:f>G124*L124</x:f>
        <x:v>11148.18176033989</x:v>
      </x:c>
    </x:row>
    <x:row r="125" ht="21" customHeight="1">
      <x:c r="A125" s="28" t="n">
        <x:v>119</x:v>
      </x:c>
      <x:c r="B125" s="29" t="n">
        <x:v>48417</x:v>
      </x:c>
      <x:c r="C125" s="28" t="n">
        <x:f>B125-B124</x:f>
        <x:v>30</x:v>
      </x:c>
      <x:c r="D125" s="30" t="n">
        <x:f>H124</x:f>
        <x:v>3646037.89</x:v>
      </x:c>
      <x:c r="E125" s="30" t="n">
        <x:f>ROUND(D125*I125,2)</x:f>
        <x:v>22475.58</x:v>
      </x:c>
      <x:c r="F125" s="30" t="n">
        <x:f>0</x:f>
        <x:v>0</x:v>
      </x:c>
      <x:c r="G125" s="30" t="n">
        <x:f>ROUND(E125+F125,2)</x:f>
        <x:v>22475.58</x:v>
      </x:c>
      <x:c r="H125" s="30" t="n">
        <x:f>ROUND(D125-F125,2)</x:f>
        <x:v>3646037.89</x:v>
      </x:c>
      <x:c r="I125" s="33" t="n">
        <x:f>IF(AND(ISNUMBER('Параметры'!$C$7),'Параметры'!$C$7&gt;=0),'Параметры'!$C$7*C125/365,NA())</x:f>
        <x:v>0.0061643835616438354</x:v>
      </x:c>
      <x:c r="J125" s="32" t="n">
        <x:f>J124/(1+I125)</x:f>
        <x:v>0.4770719319932083</x:v>
      </x:c>
      <x:c r="K125" s="33" t="n">
        <x:f>IF(AND(ISNUMBER('Параметры'!$C$8),'Параметры'!$C$8&gt;=0),'Параметры'!$C$8*C125/365,NA())</x:f>
        <x:v>0.0061643835616438354</x:v>
      </x:c>
      <x:c r="L125" s="32" t="n">
        <x:f>L124/(1+K125)</x:f>
        <x:v>0.4770719319932083</x:v>
      </x:c>
      <x:c r="M125" s="30" t="n">
        <x:f>E125*L125</x:f>
        <x:v>10722.468373267913</x:v>
      </x:c>
      <x:c r="N125" s="30" t="n">
        <x:f>F125*L125</x:f>
        <x:v>0</x:v>
      </x:c>
      <x:c r="O125" s="30" t="n">
        <x:f>G125*L125</x:f>
        <x:v>10722.468373267913</x:v>
      </x:c>
    </x:row>
    <x:row r="126" ht="21" customHeight="1">
      <x:c r="A126" s="28" t="n">
        <x:v>120</x:v>
      </x:c>
      <x:c r="B126" s="29" t="n">
        <x:v>48448</x:v>
      </x:c>
      <x:c r="C126" s="28" t="n">
        <x:f>B126-B125</x:f>
        <x:v>31</x:v>
      </x:c>
      <x:c r="D126" s="30" t="n">
        <x:f>H125</x:f>
        <x:v>3646037.89</x:v>
      </x:c>
      <x:c r="E126" s="30" t="n">
        <x:f>ROUND(D126*I126,2)</x:f>
        <x:v>23224.76</x:v>
      </x:c>
      <x:c r="F126" s="30" t="n">
        <x:f>0</x:f>
        <x:v>0</x:v>
      </x:c>
      <x:c r="G126" s="30" t="n">
        <x:f>ROUND(E126+F126,2)</x:f>
        <x:v>23224.76</x:v>
      </x:c>
      <x:c r="H126" s="30" t="n">
        <x:f>ROUND(D126-F126,2)</x:f>
        <x:v>3646037.89</x:v>
      </x:c>
      <x:c r="I126" s="33" t="n">
        <x:f>IF(AND(ISNUMBER('Параметры'!$C$7),'Параметры'!$C$7&gt;=0),'Параметры'!$C$7*C126/365,NA())</x:f>
        <x:v>0.00636986301369863</x:v>
      </x:c>
      <x:c r="J126" s="32" t="n">
        <x:f>J125/(1+I126)</x:f>
        <x:v>0.4740522838835392</x:v>
      </x:c>
      <x:c r="K126" s="33" t="n">
        <x:f>IF(AND(ISNUMBER('Параметры'!$C$8),'Параметры'!$C$8&gt;=0),'Параметры'!$C$8*C126/365,NA())</x:f>
        <x:v>0.00636986301369863</x:v>
      </x:c>
      <x:c r="L126" s="32" t="n">
        <x:f>L125/(1+K126)</x:f>
        <x:v>0.4740522838835392</x:v>
      </x:c>
      <x:c r="M126" s="30" t="n">
        <x:f>E126*L126</x:f>
        <x:v>11009.750520647065</x:v>
      </x:c>
      <x:c r="N126" s="30" t="n">
        <x:f>F126*L126</x:f>
        <x:v>0</x:v>
      </x:c>
      <x:c r="O126" s="30" t="n">
        <x:f>G126*L126</x:f>
        <x:v>11009.750520647065</x:v>
      </x:c>
    </x:row>
    <x:row r="127" ht="21" customHeight="1">
      <x:c r="A127" s="28" t="n">
        <x:v>121</x:v>
      </x:c>
      <x:c r="B127" s="29" t="n">
        <x:v>48479</x:v>
      </x:c>
      <x:c r="C127" s="28" t="n">
        <x:f>B127-B126</x:f>
        <x:v>31</x:v>
      </x:c>
      <x:c r="D127" s="30" t="n">
        <x:f>H126</x:f>
        <x:v>3646037.89</x:v>
      </x:c>
      <x:c r="E127" s="30" t="n">
        <x:f>ROUND(D127*I127,2)</x:f>
        <x:v>23224.76</x:v>
      </x:c>
      <x:c r="F127" s="30" t="n">
        <x:f>0</x:f>
        <x:v>0</x:v>
      </x:c>
      <x:c r="G127" s="30" t="n">
        <x:f>ROUND(E127+F127,2)</x:f>
        <x:v>23224.76</x:v>
      </x:c>
      <x:c r="H127" s="30" t="n">
        <x:f>ROUND(D127-F127,2)</x:f>
        <x:v>3646037.89</x:v>
      </x:c>
      <x:c r="I127" s="33" t="n">
        <x:f>IF(AND(ISNUMBER('Параметры'!$C$7),'Параметры'!$C$7&gt;=0),'Параметры'!$C$7*C127/365,NA())</x:f>
        <x:v>0.00636986301369863</x:v>
      </x:c>
      <x:c r="J127" s="32" t="n">
        <x:f>J126/(1+I127)</x:f>
        <x:v>0.4710517487715016</x:v>
      </x:c>
      <x:c r="K127" s="33" t="n">
        <x:f>IF(AND(ISNUMBER('Параметры'!$C$8),'Параметры'!$C$8&gt;=0),'Параметры'!$C$8*C127/365,NA())</x:f>
        <x:v>0.00636986301369863</x:v>
      </x:c>
      <x:c r="L127" s="32" t="n">
        <x:f>L126/(1+K127)</x:f>
        <x:v>0.4710517487715016</x:v>
      </x:c>
      <x:c r="M127" s="30" t="n">
        <x:f>E127*L127</x:f>
        <x:v>10940.063812798418</x:v>
      </x:c>
      <x:c r="N127" s="30" t="n">
        <x:f>F127*L127</x:f>
        <x:v>0</x:v>
      </x:c>
      <x:c r="O127" s="30" t="n">
        <x:f>G127*L127</x:f>
        <x:v>10940.063812798418</x:v>
      </x:c>
    </x:row>
    <x:row r="128" ht="21" customHeight="1">
      <x:c r="A128" s="28" t="n">
        <x:v>122</x:v>
      </x:c>
      <x:c r="B128" s="29" t="n">
        <x:v>48509</x:v>
      </x:c>
      <x:c r="C128" s="28" t="n">
        <x:f>B128-B127</x:f>
        <x:v>30</x:v>
      </x:c>
      <x:c r="D128" s="30" t="n">
        <x:f>H127</x:f>
        <x:v>3646037.89</x:v>
      </x:c>
      <x:c r="E128" s="30" t="n">
        <x:f>ROUND(D128*I128,2)</x:f>
        <x:v>22475.58</x:v>
      </x:c>
      <x:c r="F128" s="30" t="n">
        <x:f>0</x:f>
        <x:v>0</x:v>
      </x:c>
      <x:c r="G128" s="30" t="n">
        <x:f>ROUND(E128+F128,2)</x:f>
        <x:v>22475.58</x:v>
      </x:c>
      <x:c r="H128" s="30" t="n">
        <x:f>ROUND(D128-F128,2)</x:f>
        <x:v>3646037.89</x:v>
      </x:c>
      <x:c r="I128" s="33" t="n">
        <x:f>IF(AND(ISNUMBER('Параметры'!$C$7),'Параметры'!$C$7&gt;=0),'Параметры'!$C$7*C128/365,NA())</x:f>
        <x:v>0.0061643835616438354</x:v>
      </x:c>
      <x:c r="J128" s="32" t="n">
        <x:f>J127/(1+I128)</x:f>
        <x:v>0.4681657952392051</x:v>
      </x:c>
      <x:c r="K128" s="33" t="n">
        <x:f>IF(AND(ISNUMBER('Параметры'!$C$8),'Параметры'!$C$8&gt;=0),'Параметры'!$C$8*C128/365,NA())</x:f>
        <x:v>0.0061643835616438354</x:v>
      </x:c>
      <x:c r="L128" s="32" t="n">
        <x:f>L127/(1+K128)</x:f>
        <x:v>0.4681657952392051</x:v>
      </x:c>
      <x:c r="M128" s="30" t="n">
        <x:f>E128*L128</x:f>
        <x:v>10522.297784162374</x:v>
      </x:c>
      <x:c r="N128" s="30" t="n">
        <x:f>F128*L128</x:f>
        <x:v>0</x:v>
      </x:c>
      <x:c r="O128" s="30" t="n">
        <x:f>G128*L128</x:f>
        <x:v>10522.297784162374</x:v>
      </x:c>
    </x:row>
    <x:row r="129" ht="21" customHeight="1">
      <x:c r="A129" s="28" t="n">
        <x:v>123</x:v>
      </x:c>
      <x:c r="B129" s="29" t="n">
        <x:v>48540</x:v>
      </x:c>
      <x:c r="C129" s="28" t="n">
        <x:f>B129-B128</x:f>
        <x:v>31</x:v>
      </x:c>
      <x:c r="D129" s="30" t="n">
        <x:f>H128</x:f>
        <x:v>3646037.89</x:v>
      </x:c>
      <x:c r="E129" s="30" t="n">
        <x:f>ROUND(D129*I129,2)</x:f>
        <x:v>23224.76</x:v>
      </x:c>
      <x:c r="F129" s="30" t="n">
        <x:f>0</x:f>
        <x:v>0</x:v>
      </x:c>
      <x:c r="G129" s="30" t="n">
        <x:f>ROUND(E129+F129,2)</x:f>
        <x:v>23224.76</x:v>
      </x:c>
      <x:c r="H129" s="30" t="n">
        <x:f>ROUND(D129-F129,2)</x:f>
        <x:v>3646037.89</x:v>
      </x:c>
      <x:c r="I129" s="33" t="n">
        <x:f>IF(AND(ISNUMBER('Параметры'!$C$7),'Параметры'!$C$7&gt;=0),'Параметры'!$C$7*C129/365,NA())</x:f>
        <x:v>0.00636986301369863</x:v>
      </x:c>
      <x:c r="J129" s="32" t="n">
        <x:f>J128/(1+I129)</x:f>
        <x:v>0.4652025189200568</x:v>
      </x:c>
      <x:c r="K129" s="33" t="n">
        <x:f>IF(AND(ISNUMBER('Параметры'!$C$8),'Параметры'!$C$8&gt;=0),'Параметры'!$C$8*C129/365,NA())</x:f>
        <x:v>0.00636986301369863</x:v>
      </x:c>
      <x:c r="L129" s="32" t="n">
        <x:f>L128/(1+K129)</x:f>
        <x:v>0.4652025189200568</x:v>
      </x:c>
      <x:c r="M129" s="30" t="n">
        <x:f>E129*L129</x:f>
        <x:v>10804.216853313777</x:v>
      </x:c>
      <x:c r="N129" s="30" t="n">
        <x:f>F129*L129</x:f>
        <x:v>0</x:v>
      </x:c>
      <x:c r="O129" s="30" t="n">
        <x:f>G129*L129</x:f>
        <x:v>10804.216853313777</x:v>
      </x:c>
    </x:row>
    <x:row r="130" ht="21" customHeight="1">
      <x:c r="A130" s="28" t="n">
        <x:v>124</x:v>
      </x:c>
      <x:c r="B130" s="29" t="n">
        <x:v>48570</x:v>
      </x:c>
      <x:c r="C130" s="28" t="n">
        <x:f>B130-B129</x:f>
        <x:v>30</x:v>
      </x:c>
      <x:c r="D130" s="30" t="n">
        <x:f>H129</x:f>
        <x:v>3646037.89</x:v>
      </x:c>
      <x:c r="E130" s="30" t="n">
        <x:f>ROUND(D130*I130,2)</x:f>
        <x:v>22475.58</x:v>
      </x:c>
      <x:c r="F130" s="30" t="n">
        <x:f>0</x:f>
        <x:v>0</x:v>
      </x:c>
      <x:c r="G130" s="30" t="n">
        <x:f>ROUND(E130+F130,2)</x:f>
        <x:v>22475.58</x:v>
      </x:c>
      <x:c r="H130" s="30" t="n">
        <x:f>ROUND(D130-F130,2)</x:f>
        <x:v>3646037.89</x:v>
      </x:c>
      <x:c r="I130" s="33" t="n">
        <x:f>IF(AND(ISNUMBER('Параметры'!$C$7),'Параметры'!$C$7&gt;=0),'Параметры'!$C$7*C130/365,NA())</x:f>
        <x:v>0.0061643835616438354</x:v>
      </x:c>
      <x:c r="J130" s="32" t="n">
        <x:f>J129/(1+I130)</x:f>
        <x:v>0.4623524013773199</x:v>
      </x:c>
      <x:c r="K130" s="33" t="n">
        <x:f>IF(AND(ISNUMBER('Параметры'!$C$8),'Параметры'!$C$8&gt;=0),'Параметры'!$C$8*C130/365,NA())</x:f>
        <x:v>0.0061643835616438354</x:v>
      </x:c>
      <x:c r="L130" s="32" t="n">
        <x:f>L129/(1+K130)</x:f>
        <x:v>0.4623524013773199</x:v>
      </x:c>
      <x:c r="M130" s="30" t="n">
        <x:f>E130*L130</x:f>
        <x:v>10391.638385348066</x:v>
      </x:c>
      <x:c r="N130" s="30" t="n">
        <x:f>F130*L130</x:f>
        <x:v>0</x:v>
      </x:c>
      <x:c r="O130" s="30" t="n">
        <x:f>G130*L130</x:f>
        <x:v>10391.638385348066</x:v>
      </x:c>
    </x:row>
    <x:row r="131" ht="21" customHeight="1">
      <x:c r="A131" s="28" t="n">
        <x:v>125</x:v>
      </x:c>
      <x:c r="B131" s="29" t="n">
        <x:v>48601</x:v>
      </x:c>
      <x:c r="C131" s="28" t="n">
        <x:f>B131-B130</x:f>
        <x:v>31</x:v>
      </x:c>
      <x:c r="D131" s="30" t="n">
        <x:f>H130</x:f>
        <x:v>3646037.89</x:v>
      </x:c>
      <x:c r="E131" s="30" t="n">
        <x:f>ROUND(D131*I131,2)</x:f>
        <x:v>23224.76</x:v>
      </x:c>
      <x:c r="F131" s="30" t="n">
        <x:f>0</x:f>
        <x:v>0</x:v>
      </x:c>
      <x:c r="G131" s="30" t="n">
        <x:f>ROUND(E131+F131,2)</x:f>
        <x:v>23224.76</x:v>
      </x:c>
      <x:c r="H131" s="30" t="n">
        <x:f>ROUND(D131-F131,2)</x:f>
        <x:v>3646037.89</x:v>
      </x:c>
      <x:c r="I131" s="33" t="n">
        <x:f>IF(AND(ISNUMBER('Параметры'!$C$7),'Параметры'!$C$7&gt;=0),'Параметры'!$C$7*C131/365,NA())</x:f>
        <x:v>0.00636986301369863</x:v>
      </x:c>
      <x:c r="J131" s="32" t="n">
        <x:f>J130/(1+I131)</x:f>
        <x:v>0.45942592119436954</x:v>
      </x:c>
      <x:c r="K131" s="33" t="n">
        <x:f>IF(AND(ISNUMBER('Параметры'!$C$8),'Параметры'!$C$8&gt;=0),'Параметры'!$C$8*C131/365,NA())</x:f>
        <x:v>0.00636986301369863</x:v>
      </x:c>
      <x:c r="L131" s="32" t="n">
        <x:f>L130/(1+K131)</x:f>
        <x:v>0.45942592119436954</x:v>
      </x:c>
      <x:c r="M131" s="30" t="n">
        <x:f>E131*L131</x:f>
        <x:v>10670.056757518145</x:v>
      </x:c>
      <x:c r="N131" s="30" t="n">
        <x:f>F131*L131</x:f>
        <x:v>0</x:v>
      </x:c>
      <x:c r="O131" s="30" t="n">
        <x:f>G131*L131</x:f>
        <x:v>10670.056757518145</x:v>
      </x:c>
    </x:row>
    <x:row r="132" ht="21" customHeight="1">
      <x:c r="A132" s="28" t="n">
        <x:v>126</x:v>
      </x:c>
      <x:c r="B132" s="29" t="n">
        <x:v>48632</x:v>
      </x:c>
      <x:c r="C132" s="28" t="n">
        <x:f>B132-B131</x:f>
        <x:v>31</x:v>
      </x:c>
      <x:c r="D132" s="30" t="n">
        <x:f>H131</x:f>
        <x:v>3646037.89</x:v>
      </x:c>
      <x:c r="E132" s="30" t="n">
        <x:f>ROUND(D132*I132,2)</x:f>
        <x:v>23224.76</x:v>
      </x:c>
      <x:c r="F132" s="30" t="n">
        <x:f>0</x:f>
        <x:v>0</x:v>
      </x:c>
      <x:c r="G132" s="30" t="n">
        <x:f>ROUND(E132+F132,2)</x:f>
        <x:v>23224.76</x:v>
      </x:c>
      <x:c r="H132" s="30" t="n">
        <x:f>ROUND(D132-F132,2)</x:f>
        <x:v>3646037.89</x:v>
      </x:c>
      <x:c r="I132" s="33" t="n">
        <x:f>IF(AND(ISNUMBER('Параметры'!$C$7),'Параметры'!$C$7&gt;=0),'Параметры'!$C$7*C132/365,NA())</x:f>
        <x:v>0.00636986301369863</x:v>
      </x:c>
      <x:c r="J132" s="32" t="n">
        <x:f>J131/(1+I132)</x:f>
        <x:v>0.45651796429849556</x:v>
      </x:c>
      <x:c r="K132" s="33" t="n">
        <x:f>IF(AND(ISNUMBER('Параметры'!$C$8),'Параметры'!$C$8&gt;=0),'Параметры'!$C$8*C132/365,NA())</x:f>
        <x:v>0.00636986301369863</x:v>
      </x:c>
      <x:c r="L132" s="32" t="n">
        <x:f>L131/(1+K132)</x:f>
        <x:v>0.45651796429849556</x:v>
      </x:c>
      <x:c r="M132" s="30" t="n">
        <x:f>E132*L132</x:f>
        <x:v>10602.520156521126</x:v>
      </x:c>
      <x:c r="N132" s="30" t="n">
        <x:f>F132*L132</x:f>
        <x:v>0</x:v>
      </x:c>
      <x:c r="O132" s="30" t="n">
        <x:f>G132*L132</x:f>
        <x:v>10602.520156521126</x:v>
      </x:c>
    </x:row>
    <x:row r="133" ht="21" customHeight="1">
      <x:c r="A133" s="28" t="n">
        <x:v>127</x:v>
      </x:c>
      <x:c r="B133" s="29" t="n">
        <x:v>48660</x:v>
      </x:c>
      <x:c r="C133" s="28" t="n">
        <x:f>B133-B132</x:f>
        <x:v>28</x:v>
      </x:c>
      <x:c r="D133" s="30" t="n">
        <x:f>H132</x:f>
        <x:v>3646037.89</x:v>
      </x:c>
      <x:c r="E133" s="30" t="n">
        <x:f>ROUND(D133*I133,2)</x:f>
        <x:v>20977.2</x:v>
      </x:c>
      <x:c r="F133" s="30" t="n">
        <x:f>0</x:f>
        <x:v>0</x:v>
      </x:c>
      <x:c r="G133" s="30" t="n">
        <x:f>ROUND(E133+F133,2)</x:f>
        <x:v>20977.2</x:v>
      </x:c>
      <x:c r="H133" s="30" t="n">
        <x:f>ROUND(D133-F133,2)</x:f>
        <x:v>3646037.89</x:v>
      </x:c>
      <x:c r="I133" s="33" t="n">
        <x:f>IF(AND(ISNUMBER('Параметры'!$C$7),'Параметры'!$C$7&gt;=0),'Параметры'!$C$7*C133/365,NA())</x:f>
        <x:v>0.005753424657534247</x:v>
      </x:c>
      <x:c r="J133" s="32" t="n">
        <x:f>J132/(1+I133)</x:f>
        <x:v>0.45390644774979816</x:v>
      </x:c>
      <x:c r="K133" s="33" t="n">
        <x:f>IF(AND(ISNUMBER('Параметры'!$C$8),'Параметры'!$C$8&gt;=0),'Параметры'!$C$8*C133/365,NA())</x:f>
        <x:v>0.005753424657534247</x:v>
      </x:c>
      <x:c r="L133" s="32" t="n">
        <x:f>L132/(1+K133)</x:f>
        <x:v>0.45390644774979816</x:v>
      </x:c>
      <x:c r="M133" s="30" t="n">
        <x:f>E133*L133</x:f>
        <x:v>9521.686335737066</x:v>
      </x:c>
      <x:c r="N133" s="30" t="n">
        <x:f>F133*L133</x:f>
        <x:v>0</x:v>
      </x:c>
      <x:c r="O133" s="30" t="n">
        <x:f>G133*L133</x:f>
        <x:v>9521.686335737066</x:v>
      </x:c>
    </x:row>
    <x:row r="134" ht="21" customHeight="1">
      <x:c r="A134" s="28" t="n">
        <x:v>128</x:v>
      </x:c>
      <x:c r="B134" s="29" t="n">
        <x:v>48691</x:v>
      </x:c>
      <x:c r="C134" s="28" t="n">
        <x:f>B134-B133</x:f>
        <x:v>31</x:v>
      </x:c>
      <x:c r="D134" s="30" t="n">
        <x:f>H133</x:f>
        <x:v>3646037.89</x:v>
      </x:c>
      <x:c r="E134" s="30" t="n">
        <x:f>ROUND(D134*I134,2)</x:f>
        <x:v>23224.76</x:v>
      </x:c>
      <x:c r="F134" s="30" t="n">
        <x:f>0</x:f>
        <x:v>0</x:v>
      </x:c>
      <x:c r="G134" s="30" t="n">
        <x:f>ROUND(E134+F134,2)</x:f>
        <x:v>23224.76</x:v>
      </x:c>
      <x:c r="H134" s="30" t="n">
        <x:f>ROUND(D134-F134,2)</x:f>
        <x:v>3646037.89</x:v>
      </x:c>
      <x:c r="I134" s="33" t="n">
        <x:f>IF(AND(ISNUMBER('Параметры'!$C$7),'Параметры'!$C$7&gt;=0),'Параметры'!$C$7*C134/365,NA())</x:f>
        <x:v>0.00636986301369863</x:v>
      </x:c>
      <x:c r="J134" s="32" t="n">
        <x:f>J133/(1+I134)</x:f>
        <x:v>0.451033426607708</x:v>
      </x:c>
      <x:c r="K134" s="33" t="n">
        <x:f>IF(AND(ISNUMBER('Параметры'!$C$8),'Параметры'!$C$8&gt;=0),'Параметры'!$C$8*C134/365,NA())</x:f>
        <x:v>0.00636986301369863</x:v>
      </x:c>
      <x:c r="L134" s="32" t="n">
        <x:f>L133/(1+K134)</x:f>
        <x:v>0.451033426607708</x:v>
      </x:c>
      <x:c r="M134" s="30" t="n">
        <x:f>E134*L134</x:f>
        <x:v>10475.143084941632</x:v>
      </x:c>
      <x:c r="N134" s="30" t="n">
        <x:f>F134*L134</x:f>
        <x:v>0</x:v>
      </x:c>
      <x:c r="O134" s="30" t="n">
        <x:f>G134*L134</x:f>
        <x:v>10475.143084941632</x:v>
      </x:c>
    </x:row>
    <x:row r="135" ht="21" customHeight="1">
      <x:c r="A135" s="28" t="n">
        <x:v>129</x:v>
      </x:c>
      <x:c r="B135" s="29" t="n">
        <x:v>48721</x:v>
      </x:c>
      <x:c r="C135" s="28" t="n">
        <x:f>B135-B134</x:f>
        <x:v>30</x:v>
      </x:c>
      <x:c r="D135" s="30" t="n">
        <x:f>H134</x:f>
        <x:v>3646037.89</x:v>
      </x:c>
      <x:c r="E135" s="30" t="n">
        <x:f>ROUND(D135*I135,2)</x:f>
        <x:v>22475.58</x:v>
      </x:c>
      <x:c r="F135" s="30" t="n">
        <x:f>0</x:f>
        <x:v>0</x:v>
      </x:c>
      <x:c r="G135" s="30" t="n">
        <x:f>ROUND(E135+F135,2)</x:f>
        <x:v>22475.58</x:v>
      </x:c>
      <x:c r="H135" s="30" t="n">
        <x:f>ROUND(D135-F135,2)</x:f>
        <x:v>3646037.89</x:v>
      </x:c>
      <x:c r="I135" s="33" t="n">
        <x:f>IF(AND(ISNUMBER('Параметры'!$C$7),'Параметры'!$C$7&gt;=0),'Параметры'!$C$7*C135/365,NA())</x:f>
        <x:v>0.0061643835616438354</x:v>
      </x:c>
      <x:c r="J135" s="32" t="n">
        <x:f>J134/(1+I135)</x:f>
        <x:v>0.4482701176632088</x:v>
      </x:c>
      <x:c r="K135" s="33" t="n">
        <x:f>IF(AND(ISNUMBER('Параметры'!$C$8),'Параметры'!$C$8&gt;=0),'Параметры'!$C$8*C135/365,NA())</x:f>
        <x:v>0.0061643835616438354</x:v>
      </x:c>
      <x:c r="L135" s="32" t="n">
        <x:f>L134/(1+K135)</x:f>
        <x:v>0.4482701176632088</x:v>
      </x:c>
      <x:c r="M135" s="30" t="n">
        <x:f>E135*L135</x:f>
        <x:v>10075.130891148863</x:v>
      </x:c>
      <x:c r="N135" s="30" t="n">
        <x:f>F135*L135</x:f>
        <x:v>0</x:v>
      </x:c>
      <x:c r="O135" s="30" t="n">
        <x:f>G135*L135</x:f>
        <x:v>10075.130891148863</x:v>
      </x:c>
    </x:row>
    <x:row r="136" ht="21" customHeight="1">
      <x:c r="A136" s="28" t="n">
        <x:v>130</x:v>
      </x:c>
      <x:c r="B136" s="29" t="n">
        <x:v>48752</x:v>
      </x:c>
      <x:c r="C136" s="28" t="n">
        <x:f>B136-B135</x:f>
        <x:v>31</x:v>
      </x:c>
      <x:c r="D136" s="30" t="n">
        <x:f>H135</x:f>
        <x:v>3646037.89</x:v>
      </x:c>
      <x:c r="E136" s="30" t="n">
        <x:f>ROUND(D136*I136,2)</x:f>
        <x:v>23224.76</x:v>
      </x:c>
      <x:c r="F136" s="30" t="n">
        <x:f>0</x:f>
        <x:v>0</x:v>
      </x:c>
      <x:c r="G136" s="30" t="n">
        <x:f>ROUND(E136+F136,2)</x:f>
        <x:v>23224.76</x:v>
      </x:c>
      <x:c r="H136" s="30" t="n">
        <x:f>ROUND(D136-F136,2)</x:f>
        <x:v>3646037.89</x:v>
      </x:c>
      <x:c r="I136" s="33" t="n">
        <x:f>IF(AND(ISNUMBER('Параметры'!$C$7),'Параметры'!$C$7&gt;=0),'Параметры'!$C$7*C136/365,NA())</x:f>
        <x:v>0.00636986301369863</x:v>
      </x:c>
      <x:c r="J136" s="32" t="n">
        <x:f>J135/(1+I136)</x:f>
        <x:v>0.44543277192423936</x:v>
      </x:c>
      <x:c r="K136" s="33" t="n">
        <x:f>IF(AND(ISNUMBER('Параметры'!$C$8),'Параметры'!$C$8&gt;=0),'Параметры'!$C$8*C136/365,NA())</x:f>
        <x:v>0.00636986301369863</x:v>
      </x:c>
      <x:c r="L136" s="32" t="n">
        <x:f>L135/(1+K136)</x:f>
        <x:v>0.44543277192423936</x:v>
      </x:c>
      <x:c r="M136" s="30" t="n">
        <x:f>E136*L136</x:f>
        <x:v>10345.069224075196</x:v>
      </x:c>
      <x:c r="N136" s="30" t="n">
        <x:f>F136*L136</x:f>
        <x:v>0</x:v>
      </x:c>
      <x:c r="O136" s="30" t="n">
        <x:f>G136*L136</x:f>
        <x:v>10345.069224075196</x:v>
      </x:c>
    </x:row>
    <x:row r="137" ht="21" customHeight="1">
      <x:c r="A137" s="28" t="n">
        <x:v>131</x:v>
      </x:c>
      <x:c r="B137" s="29" t="n">
        <x:v>48782</x:v>
      </x:c>
      <x:c r="C137" s="28" t="n">
        <x:f>B137-B136</x:f>
        <x:v>30</x:v>
      </x:c>
      <x:c r="D137" s="30" t="n">
        <x:f>H136</x:f>
        <x:v>3646037.89</x:v>
      </x:c>
      <x:c r="E137" s="30" t="n">
        <x:f>ROUND(D137*I137,2)</x:f>
        <x:v>22475.58</x:v>
      </x:c>
      <x:c r="F137" s="30" t="n">
        <x:f>0</x:f>
        <x:v>0</x:v>
      </x:c>
      <x:c r="G137" s="30" t="n">
        <x:f>ROUND(E137+F137,2)</x:f>
        <x:v>22475.58</x:v>
      </x:c>
      <x:c r="H137" s="30" t="n">
        <x:f>ROUND(D137-F137,2)</x:f>
        <x:v>3646037.89</x:v>
      </x:c>
      <x:c r="I137" s="33" t="n">
        <x:f>IF(AND(ISNUMBER('Параметры'!$C$7),'Параметры'!$C$7&gt;=0),'Параметры'!$C$7*C137/365,NA())</x:f>
        <x:v>0.0061643835616438354</x:v>
      </x:c>
      <x:c r="J137" s="32" t="n">
        <x:f>J136/(1+I137)</x:f>
        <x:v>0.4427037760445129</x:v>
      </x:c>
      <x:c r="K137" s="33" t="n">
        <x:f>IF(AND(ISNUMBER('Параметры'!$C$8),'Параметры'!$C$8&gt;=0),'Параметры'!$C$8*C137/365,NA())</x:f>
        <x:v>0.0061643835616438354</x:v>
      </x:c>
      <x:c r="L137" s="32" t="n">
        <x:f>L136/(1+K137)</x:f>
        <x:v>0.4427037760445129</x:v>
      </x:c>
      <x:c r="M137" s="30" t="n">
        <x:f>E137*L137</x:f>
        <x:v>9950.024134790534</x:v>
      </x:c>
      <x:c r="N137" s="30" t="n">
        <x:f>F137*L137</x:f>
        <x:v>0</x:v>
      </x:c>
      <x:c r="O137" s="30" t="n">
        <x:f>G137*L137</x:f>
        <x:v>9950.024134790534</x:v>
      </x:c>
    </x:row>
    <x:row r="138" ht="21" customHeight="1">
      <x:c r="A138" s="28" t="n">
        <x:v>132</x:v>
      </x:c>
      <x:c r="B138" s="29" t="n">
        <x:v>48813</x:v>
      </x:c>
      <x:c r="C138" s="28" t="n">
        <x:f>B138-B137</x:f>
        <x:v>31</x:v>
      </x:c>
      <x:c r="D138" s="30" t="n">
        <x:f>H137</x:f>
        <x:v>3646037.89</x:v>
      </x:c>
      <x:c r="E138" s="30" t="n">
        <x:f>ROUND(D138*I138,2)</x:f>
        <x:v>23224.76</x:v>
      </x:c>
      <x:c r="F138" s="30" t="n">
        <x:f>0</x:f>
        <x:v>0</x:v>
      </x:c>
      <x:c r="G138" s="30" t="n">
        <x:f>ROUND(E138+F138,2)</x:f>
        <x:v>23224.76</x:v>
      </x:c>
      <x:c r="H138" s="30" t="n">
        <x:f>ROUND(D138-F138,2)</x:f>
        <x:v>3646037.89</x:v>
      </x:c>
      <x:c r="I138" s="33" t="n">
        <x:f>IF(AND(ISNUMBER('Параметры'!$C$7),'Параметры'!$C$7&gt;=0),'Параметры'!$C$7*C138/365,NA())</x:f>
        <x:v>0.00636986301369863</x:v>
      </x:c>
      <x:c r="J138" s="32" t="n">
        <x:f>J137/(1+I138)</x:f>
        <x:v>0.4399016627135295</x:v>
      </x:c>
      <x:c r="K138" s="33" t="n">
        <x:f>IF(AND(ISNUMBER('Параметры'!$C$8),'Параметры'!$C$8&gt;=0),'Параметры'!$C$8*C138/365,NA())</x:f>
        <x:v>0.00636986301369863</x:v>
      </x:c>
      <x:c r="L138" s="32" t="n">
        <x:f>L137/(1+K138)</x:f>
        <x:v>0.4399016627135295</x:v>
      </x:c>
      <x:c r="M138" s="30" t="n">
        <x:f>E138*L138</x:f>
        <x:v>10216.61054012267</x:v>
      </x:c>
      <x:c r="N138" s="30" t="n">
        <x:f>F138*L138</x:f>
        <x:v>0</x:v>
      </x:c>
      <x:c r="O138" s="30" t="n">
        <x:f>G138*L138</x:f>
        <x:v>10216.61054012267</x:v>
      </x:c>
    </x:row>
    <x:row r="139" ht="21" customHeight="1">
      <x:c r="A139" s="28" t="n">
        <x:v>133</x:v>
      </x:c>
      <x:c r="B139" s="29" t="n">
        <x:v>48844</x:v>
      </x:c>
      <x:c r="C139" s="28" t="n">
        <x:f>B139-B138</x:f>
        <x:v>31</x:v>
      </x:c>
      <x:c r="D139" s="30" t="n">
        <x:f>H138</x:f>
        <x:v>3646037.89</x:v>
      </x:c>
      <x:c r="E139" s="30" t="n">
        <x:f>ROUND(D139*I139,2)</x:f>
        <x:v>23224.76</x:v>
      </x:c>
      <x:c r="F139" s="30" t="n">
        <x:f>0</x:f>
        <x:v>0</x:v>
      </x:c>
      <x:c r="G139" s="30" t="n">
        <x:f>ROUND(E139+F139,2)</x:f>
        <x:v>23224.76</x:v>
      </x:c>
      <x:c r="H139" s="30" t="n">
        <x:f>ROUND(D139-F139,2)</x:f>
        <x:v>3646037.89</x:v>
      </x:c>
      <x:c r="I139" s="33" t="n">
        <x:f>IF(AND(ISNUMBER('Параметры'!$C$7),'Параметры'!$C$7&gt;=0),'Параметры'!$C$7*C139/365,NA())</x:f>
        <x:v>0.00636986301369863</x:v>
      </x:c>
      <x:c r="J139" s="32" t="n">
        <x:f>J138/(1+I139)</x:f>
        <x:v>0.43711728548407613</x:v>
      </x:c>
      <x:c r="K139" s="33" t="n">
        <x:f>IF(AND(ISNUMBER('Параметры'!$C$8),'Параметры'!$C$8&gt;=0),'Параметры'!$C$8*C139/365,NA())</x:f>
        <x:v>0.00636986301369863</x:v>
      </x:c>
      <x:c r="L139" s="32" t="n">
        <x:f>L138/(1+K139)</x:f>
        <x:v>0.43711728548407613</x:v>
      </x:c>
      <x:c r="M139" s="30" t="n">
        <x:f>E139*L139</x:f>
        <x:v>10151.94404721915</x:v>
      </x:c>
      <x:c r="N139" s="30" t="n">
        <x:f>F139*L139</x:f>
        <x:v>0</x:v>
      </x:c>
      <x:c r="O139" s="30" t="n">
        <x:f>G139*L139</x:f>
        <x:v>10151.94404721915</x:v>
      </x:c>
    </x:row>
    <x:row r="140" ht="21" customHeight="1">
      <x:c r="A140" s="28" t="n">
        <x:v>134</x:v>
      </x:c>
      <x:c r="B140" s="29" t="n">
        <x:v>48874</x:v>
      </x:c>
      <x:c r="C140" s="28" t="n">
        <x:f>B140-B139</x:f>
        <x:v>30</x:v>
      </x:c>
      <x:c r="D140" s="30" t="n">
        <x:f>H139</x:f>
        <x:v>3646037.89</x:v>
      </x:c>
      <x:c r="E140" s="30" t="n">
        <x:f>ROUND(D140*I140,2)</x:f>
        <x:v>22475.58</x:v>
      </x:c>
      <x:c r="F140" s="30" t="n">
        <x:f>0</x:f>
        <x:v>0</x:v>
      </x:c>
      <x:c r="G140" s="30" t="n">
        <x:f>ROUND(E140+F140,2)</x:f>
        <x:v>22475.58</x:v>
      </x:c>
      <x:c r="H140" s="30" t="n">
        <x:f>ROUND(D140-F140,2)</x:f>
        <x:v>3646037.89</x:v>
      </x:c>
      <x:c r="I140" s="33" t="n">
        <x:f>IF(AND(ISNUMBER('Параметры'!$C$7),'Параметры'!$C$7&gt;=0),'Параметры'!$C$7*C140/365,NA())</x:f>
        <x:v>0.0061643835616438354</x:v>
      </x:c>
      <x:c r="J140" s="32" t="n">
        <x:f>J139/(1+I140)</x:f>
        <x:v>0.43443923540282586</x:v>
      </x:c>
      <x:c r="K140" s="33" t="n">
        <x:f>IF(AND(ISNUMBER('Параметры'!$C$8),'Параметры'!$C$8&gt;=0),'Параметры'!$C$8*C140/365,NA())</x:f>
        <x:v>0.0061643835616438354</x:v>
      </x:c>
      <x:c r="L140" s="32" t="n">
        <x:f>L139/(1+K140)</x:f>
        <x:v>0.43443923540282586</x:v>
      </x:c>
      <x:c r="M140" s="30" t="n">
        <x:f>E140*L140</x:f>
        <x:v>9764.273790435045</x:v>
      </x:c>
      <x:c r="N140" s="30" t="n">
        <x:f>F140*L140</x:f>
        <x:v>0</x:v>
      </x:c>
      <x:c r="O140" s="30" t="n">
        <x:f>G140*L140</x:f>
        <x:v>9764.273790435045</x:v>
      </x:c>
    </x:row>
    <x:row r="141" ht="21" customHeight="1">
      <x:c r="A141" s="28" t="n">
        <x:v>135</x:v>
      </x:c>
      <x:c r="B141" s="29" t="n">
        <x:v>48905</x:v>
      </x:c>
      <x:c r="C141" s="28" t="n">
        <x:f>B141-B140</x:f>
        <x:v>31</x:v>
      </x:c>
      <x:c r="D141" s="30" t="n">
        <x:f>H140</x:f>
        <x:v>3646037.89</x:v>
      </x:c>
      <x:c r="E141" s="30" t="n">
        <x:f>ROUND(D141*I141,2)</x:f>
        <x:v>23224.76</x:v>
      </x:c>
      <x:c r="F141" s="30" t="n">
        <x:f>0</x:f>
        <x:v>0</x:v>
      </x:c>
      <x:c r="G141" s="30" t="n">
        <x:f>ROUND(E141+F141,2)</x:f>
        <x:v>23224.76</x:v>
      </x:c>
      <x:c r="H141" s="30" t="n">
        <x:f>ROUND(D141-F141,2)</x:f>
        <x:v>3646037.89</x:v>
      </x:c>
      <x:c r="I141" s="33" t="n">
        <x:f>IF(AND(ISNUMBER('Параметры'!$C$7),'Параметры'!$C$7&gt;=0),'Параметры'!$C$7*C141/365,NA())</x:f>
        <x:v>0.00636986301369863</x:v>
      </x:c>
      <x:c r="J141" s="32" t="n">
        <x:f>J140/(1+I141)</x:f>
        <x:v>0.4316894328511031</x:v>
      </x:c>
      <x:c r="K141" s="33" t="n">
        <x:f>IF(AND(ISNUMBER('Параметры'!$C$8),'Параметры'!$C$8&gt;=0),'Параметры'!$C$8*C141/365,NA())</x:f>
        <x:v>0.00636986301369863</x:v>
      </x:c>
      <x:c r="L141" s="32" t="n">
        <x:f>L140/(1+K141)</x:f>
        <x:v>0.4316894328511031</x:v>
      </x:c>
      <x:c r="M141" s="30" t="n">
        <x:f>E141*L141</x:f>
        <x:v>10025.883472502985</x:v>
      </x:c>
      <x:c r="N141" s="30" t="n">
        <x:f>F141*L141</x:f>
        <x:v>0</x:v>
      </x:c>
      <x:c r="O141" s="30" t="n">
        <x:f>G141*L141</x:f>
        <x:v>10025.883472502985</x:v>
      </x:c>
    </x:row>
    <x:row r="142" ht="21" customHeight="1">
      <x:c r="A142" s="28" t="n">
        <x:v>136</x:v>
      </x:c>
      <x:c r="B142" s="29" t="n">
        <x:v>48935</x:v>
      </x:c>
      <x:c r="C142" s="28" t="n">
        <x:f>B142-B141</x:f>
        <x:v>30</x:v>
      </x:c>
      <x:c r="D142" s="30" t="n">
        <x:f>H141</x:f>
        <x:v>3646037.89</x:v>
      </x:c>
      <x:c r="E142" s="30" t="n">
        <x:f>ROUND(D142*I142,2)</x:f>
        <x:v>22475.58</x:v>
      </x:c>
      <x:c r="F142" s="30" t="n">
        <x:f>0</x:f>
        <x:v>0</x:v>
      </x:c>
      <x:c r="G142" s="30" t="n">
        <x:f>ROUND(E142+F142,2)</x:f>
        <x:v>22475.58</x:v>
      </x:c>
      <x:c r="H142" s="30" t="n">
        <x:f>ROUND(D142-F142,2)</x:f>
        <x:v>3646037.89</x:v>
      </x:c>
      <x:c r="I142" s="33" t="n">
        <x:f>IF(AND(ISNUMBER('Параметры'!$C$7),'Параметры'!$C$7&gt;=0),'Параметры'!$C$7*C142/365,NA())</x:f>
        <x:v>0.0061643835616438354</x:v>
      </x:c>
      <x:c r="J142" s="32" t="n">
        <x:f>J141/(1+I142)</x:f>
        <x:v>0.42904463714268926</x:v>
      </x:c>
      <x:c r="K142" s="33" t="n">
        <x:f>IF(AND(ISNUMBER('Параметры'!$C$8),'Параметры'!$C$8&gt;=0),'Параметры'!$C$8*C142/365,NA())</x:f>
        <x:v>0.0061643835616438354</x:v>
      </x:c>
      <x:c r="L142" s="32" t="n">
        <x:f>L141/(1+K142)</x:f>
        <x:v>0.42904463714268926</x:v>
      </x:c>
      <x:c r="M142" s="30" t="n">
        <x:f>E142*L142</x:f>
        <x:v>9643.027065671484</x:v>
      </x:c>
      <x:c r="N142" s="30" t="n">
        <x:f>F142*L142</x:f>
        <x:v>0</x:v>
      </x:c>
      <x:c r="O142" s="30" t="n">
        <x:f>G142*L142</x:f>
        <x:v>9643.027065671484</x:v>
      </x:c>
    </x:row>
    <x:row r="143" ht="21" customHeight="1">
      <x:c r="A143" s="28" t="n">
        <x:v>137</x:v>
      </x:c>
      <x:c r="B143" s="29" t="n">
        <x:v>48966</x:v>
      </x:c>
      <x:c r="C143" s="28" t="n">
        <x:f>B143-B142</x:f>
        <x:v>31</x:v>
      </x:c>
      <x:c r="D143" s="30" t="n">
        <x:f>H142</x:f>
        <x:v>3646037.89</x:v>
      </x:c>
      <x:c r="E143" s="30" t="n">
        <x:f>ROUND(D143*I143,2)</x:f>
        <x:v>23224.76</x:v>
      </x:c>
      <x:c r="F143" s="30" t="n">
        <x:f>0</x:f>
        <x:v>0</x:v>
      </x:c>
      <x:c r="G143" s="30" t="n">
        <x:f>ROUND(E143+F143,2)</x:f>
        <x:v>23224.76</x:v>
      </x:c>
      <x:c r="H143" s="30" t="n">
        <x:f>ROUND(D143-F143,2)</x:f>
        <x:v>3646037.89</x:v>
      </x:c>
      <x:c r="I143" s="33" t="n">
        <x:f>IF(AND(ISNUMBER('Параметры'!$C$7),'Параметры'!$C$7&gt;=0),'Параметры'!$C$7*C143/365,NA())</x:f>
        <x:v>0.00636986301369863</x:v>
      </x:c>
      <x:c r="J143" s="32" t="n">
        <x:f>J142/(1+I143)</x:f>
        <x:v>0.42632897994169083</x:v>
      </x:c>
      <x:c r="K143" s="33" t="n">
        <x:f>IF(AND(ISNUMBER('Параметры'!$C$8),'Параметры'!$C$8&gt;=0),'Параметры'!$C$8*C143/365,NA())</x:f>
        <x:v>0.00636986301369863</x:v>
      </x:c>
      <x:c r="L143" s="32" t="n">
        <x:f>L142/(1+K143)</x:f>
        <x:v>0.42632897994169083</x:v>
      </x:c>
      <x:c r="M143" s="30" t="n">
        <x:f>E143*L143</x:f>
        <x:v>9901.388240190583</x:v>
      </x:c>
      <x:c r="N143" s="30" t="n">
        <x:f>F143*L143</x:f>
        <x:v>0</x:v>
      </x:c>
      <x:c r="O143" s="30" t="n">
        <x:f>G143*L143</x:f>
        <x:v>9901.388240190583</x:v>
      </x:c>
    </x:row>
    <x:row r="144" ht="21" customHeight="1">
      <x:c r="A144" s="28" t="n">
        <x:v>138</x:v>
      </x:c>
      <x:c r="B144" s="29" t="n">
        <x:v>48997</x:v>
      </x:c>
      <x:c r="C144" s="28" t="n">
        <x:f>B144-B143</x:f>
        <x:v>31</x:v>
      </x:c>
      <x:c r="D144" s="30" t="n">
        <x:f>H143</x:f>
        <x:v>3646037.89</x:v>
      </x:c>
      <x:c r="E144" s="30" t="n">
        <x:f>ROUND(D144*I144,2)</x:f>
        <x:v>23224.76</x:v>
      </x:c>
      <x:c r="F144" s="30" t="n">
        <x:f>0</x:f>
        <x:v>0</x:v>
      </x:c>
      <x:c r="G144" s="30" t="n">
        <x:f>ROUND(E144+F144,2)</x:f>
        <x:v>23224.76</x:v>
      </x:c>
      <x:c r="H144" s="30" t="n">
        <x:f>ROUND(D144-F144,2)</x:f>
        <x:v>3646037.89</x:v>
      </x:c>
      <x:c r="I144" s="33" t="n">
        <x:f>IF(AND(ISNUMBER('Параметры'!$C$7),'Параметры'!$C$7&gt;=0),'Параметры'!$C$7*C144/365,NA())</x:f>
        <x:v>0.00636986301369863</x:v>
      </x:c>
      <x:c r="J144" s="32" t="n">
        <x:f>J143/(1+I144)</x:f>
        <x:v>0.4236305116142848</x:v>
      </x:c>
      <x:c r="K144" s="33" t="n">
        <x:f>IF(AND(ISNUMBER('Параметры'!$C$8),'Параметры'!$C$8&gt;=0),'Параметры'!$C$8*C144/365,NA())</x:f>
        <x:v>0.00636986301369863</x:v>
      </x:c>
      <x:c r="L144" s="32" t="n">
        <x:f>L143/(1+K144)</x:f>
        <x:v>0.4236305116142848</x:v>
      </x:c>
      <x:c r="M144" s="30" t="n">
        <x:f>E144*L144</x:f>
        <x:v>9838.716960918975</x:v>
      </x:c>
      <x:c r="N144" s="30" t="n">
        <x:f>F144*L144</x:f>
        <x:v>0</x:v>
      </x:c>
      <x:c r="O144" s="30" t="n">
        <x:f>G144*L144</x:f>
        <x:v>9838.716960918975</x:v>
      </x:c>
    </x:row>
    <x:row r="145" ht="21" customHeight="1">
      <x:c r="A145" s="28" t="n">
        <x:v>139</x:v>
      </x:c>
      <x:c r="B145" s="29" t="n">
        <x:v>49025</x:v>
      </x:c>
      <x:c r="C145" s="28" t="n">
        <x:f>B145-B144</x:f>
        <x:v>28</x:v>
      </x:c>
      <x:c r="D145" s="30" t="n">
        <x:f>H144</x:f>
        <x:v>3646037.89</x:v>
      </x:c>
      <x:c r="E145" s="30" t="n">
        <x:f>ROUND(D145*I145,2)</x:f>
        <x:v>20977.2</x:v>
      </x:c>
      <x:c r="F145" s="30" t="n">
        <x:f>0</x:f>
        <x:v>0</x:v>
      </x:c>
      <x:c r="G145" s="30" t="n">
        <x:f>ROUND(E145+F145,2)</x:f>
        <x:v>20977.2</x:v>
      </x:c>
      <x:c r="H145" s="30" t="n">
        <x:f>ROUND(D145-F145,2)</x:f>
        <x:v>3646037.89</x:v>
      </x:c>
      <x:c r="I145" s="33" t="n">
        <x:f>IF(AND(ISNUMBER('Параметры'!$C$7),'Параметры'!$C$7&gt;=0),'Параметры'!$C$7*C145/365,NA())</x:f>
        <x:v>0.005753424657534247</x:v>
      </x:c>
      <x:c r="J145" s="32" t="n">
        <x:f>J144/(1+I145)</x:f>
        <x:v>0.4212071281373303</x:v>
      </x:c>
      <x:c r="K145" s="33" t="n">
        <x:f>IF(AND(ISNUMBER('Параметры'!$C$8),'Параметры'!$C$8&gt;=0),'Параметры'!$C$8*C145/365,NA())</x:f>
        <x:v>0.005753424657534247</x:v>
      </x:c>
      <x:c r="L145" s="32" t="n">
        <x:f>L144/(1+K145)</x:f>
        <x:v>0.4212071281373303</x:v>
      </x:c>
      <x:c r="M145" s="30" t="n">
        <x:f>E145*L145</x:f>
        <x:v>8835.746168362406</x:v>
      </x:c>
      <x:c r="N145" s="30" t="n">
        <x:f>F145*L145</x:f>
        <x:v>0</x:v>
      </x:c>
      <x:c r="O145" s="30" t="n">
        <x:f>G145*L145</x:f>
        <x:v>8835.746168362406</x:v>
      </x:c>
    </x:row>
    <x:row r="146" ht="21" customHeight="1">
      <x:c r="A146" s="28" t="n">
        <x:v>140</x:v>
      </x:c>
      <x:c r="B146" s="29" t="n">
        <x:v>49056</x:v>
      </x:c>
      <x:c r="C146" s="28" t="n">
        <x:f>B146-B145</x:f>
        <x:v>31</x:v>
      </x:c>
      <x:c r="D146" s="30" t="n">
        <x:f>H145</x:f>
        <x:v>3646037.89</x:v>
      </x:c>
      <x:c r="E146" s="30" t="n">
        <x:f>ROUND(D146*I146,2)</x:f>
        <x:v>23224.76</x:v>
      </x:c>
      <x:c r="F146" s="30" t="n">
        <x:f>0</x:f>
        <x:v>0</x:v>
      </x:c>
      <x:c r="G146" s="30" t="n">
        <x:f>ROUND(E146+F146,2)</x:f>
        <x:v>23224.76</x:v>
      </x:c>
      <x:c r="H146" s="30" t="n">
        <x:f>ROUND(D146-F146,2)</x:f>
        <x:v>3646037.89</x:v>
      </x:c>
      <x:c r="I146" s="33" t="n">
        <x:f>IF(AND(ISNUMBER('Параметры'!$C$7),'Параметры'!$C$7&gt;=0),'Параметры'!$C$7*C146/365,NA())</x:f>
        <x:v>0.00636986301369863</x:v>
      </x:c>
      <x:c r="J146" s="32" t="n">
        <x:f>J145/(1+I146)</x:f>
        <x:v>0.41854107879977015</x:v>
      </x:c>
      <x:c r="K146" s="33" t="n">
        <x:f>IF(AND(ISNUMBER('Параметры'!$C$8),'Параметры'!$C$8&gt;=0),'Параметры'!$C$8*C146/365,NA())</x:f>
        <x:v>0.00636986301369863</x:v>
      </x:c>
      <x:c r="L146" s="32" t="n">
        <x:f>L145/(1+K146)</x:f>
        <x:v>0.41854107879977015</x:v>
      </x:c>
      <x:c r="M146" s="30" t="n">
        <x:f>E146*L146</x:f>
        <x:v>9720.51610526575</x:v>
      </x:c>
      <x:c r="N146" s="30" t="n">
        <x:f>F146*L146</x:f>
        <x:v>0</x:v>
      </x:c>
      <x:c r="O146" s="30" t="n">
        <x:f>G146*L146</x:f>
        <x:v>9720.51610526575</x:v>
      </x:c>
    </x:row>
    <x:row r="147" ht="21" customHeight="1">
      <x:c r="A147" s="28" t="n">
        <x:v>141</x:v>
      </x:c>
      <x:c r="B147" s="29" t="n">
        <x:v>49086</x:v>
      </x:c>
      <x:c r="C147" s="28" t="n">
        <x:f>B147-B146</x:f>
        <x:v>30</x:v>
      </x:c>
      <x:c r="D147" s="30" t="n">
        <x:f>H146</x:f>
        <x:v>3646037.89</x:v>
      </x:c>
      <x:c r="E147" s="30" t="n">
        <x:f>ROUND(D147*I147,2)</x:f>
        <x:v>22475.58</x:v>
      </x:c>
      <x:c r="F147" s="30" t="n">
        <x:f>0</x:f>
        <x:v>0</x:v>
      </x:c>
      <x:c r="G147" s="30" t="n">
        <x:f>ROUND(E147+F147,2)</x:f>
        <x:v>22475.58</x:v>
      </x:c>
      <x:c r="H147" s="30" t="n">
        <x:f>ROUND(D147-F147,2)</x:f>
        <x:v>3646037.89</x:v>
      </x:c>
      <x:c r="I147" s="33" t="n">
        <x:f>IF(AND(ISNUMBER('Параметры'!$C$7),'Параметры'!$C$7&gt;=0),'Параметры'!$C$7*C147/365,NA())</x:f>
        <x:v>0.0061643835616438354</x:v>
      </x:c>
      <x:c r="J147" s="32" t="n">
        <x:f>J146/(1+I147)</x:f>
        <x:v>0.41597683801747065</x:v>
      </x:c>
      <x:c r="K147" s="33" t="n">
        <x:f>IF(AND(ISNUMBER('Параметры'!$C$8),'Параметры'!$C$8&gt;=0),'Параметры'!$C$8*C147/365,NA())</x:f>
        <x:v>0.0061643835616438354</x:v>
      </x:c>
      <x:c r="L147" s="32" t="n">
        <x:f>L146/(1+K147)</x:f>
        <x:v>0.41597683801747065</x:v>
      </x:c>
      <x:c r="M147" s="30" t="n">
        <x:f>E147*L147</x:f>
        <x:v>9349.320701008704</x:v>
      </x:c>
      <x:c r="N147" s="30" t="n">
        <x:f>F147*L147</x:f>
        <x:v>0</x:v>
      </x:c>
      <x:c r="O147" s="30" t="n">
        <x:f>G147*L147</x:f>
        <x:v>9349.320701008704</x:v>
      </x:c>
    </x:row>
    <x:row r="148" ht="21" customHeight="1">
      <x:c r="A148" s="28" t="n">
        <x:v>142</x:v>
      </x:c>
      <x:c r="B148" s="29" t="n">
        <x:v>49117</x:v>
      </x:c>
      <x:c r="C148" s="28" t="n">
        <x:f>B148-B147</x:f>
        <x:v>31</x:v>
      </x:c>
      <x:c r="D148" s="30" t="n">
        <x:f>H147</x:f>
        <x:v>3646037.89</x:v>
      </x:c>
      <x:c r="E148" s="30" t="n">
        <x:f>ROUND(D148*I148,2)</x:f>
        <x:v>23224.76</x:v>
      </x:c>
      <x:c r="F148" s="30" t="n">
        <x:f>0</x:f>
        <x:v>0</x:v>
      </x:c>
      <x:c r="G148" s="30" t="n">
        <x:f>ROUND(E148+F148,2)</x:f>
        <x:v>23224.76</x:v>
      </x:c>
      <x:c r="H148" s="30" t="n">
        <x:f>ROUND(D148-F148,2)</x:f>
        <x:v>3646037.89</x:v>
      </x:c>
      <x:c r="I148" s="33" t="n">
        <x:f>IF(AND(ISNUMBER('Параметры'!$C$7),'Параметры'!$C$7&gt;=0),'Параметры'!$C$7*C148/365,NA())</x:f>
        <x:v>0.00636986301369863</x:v>
      </x:c>
      <x:c r="J148" s="32" t="n">
        <x:f>J147/(1+I148)</x:f>
        <x:v>0.4133438940349195</x:v>
      </x:c>
      <x:c r="K148" s="33" t="n">
        <x:f>IF(AND(ISNUMBER('Параметры'!$C$8),'Параметры'!$C$8&gt;=0),'Параметры'!$C$8*C148/365,NA())</x:f>
        <x:v>0.00636986301369863</x:v>
      </x:c>
      <x:c r="L148" s="32" t="n">
        <x:f>L147/(1+K148)</x:f>
        <x:v>0.4133438940349195</x:v>
      </x:c>
      <x:c r="M148" s="30" t="n">
        <x:f>E148*L148</x:f>
        <x:v>9599.812736426436</x:v>
      </x:c>
      <x:c r="N148" s="30" t="n">
        <x:f>F148*L148</x:f>
        <x:v>0</x:v>
      </x:c>
      <x:c r="O148" s="30" t="n">
        <x:f>G148*L148</x:f>
        <x:v>9599.812736426436</x:v>
      </x:c>
    </x:row>
    <x:row r="149" ht="21" customHeight="1">
      <x:c r="A149" s="28" t="n">
        <x:v>143</x:v>
      </x:c>
      <x:c r="B149" s="29" t="n">
        <x:v>49147</x:v>
      </x:c>
      <x:c r="C149" s="28" t="n">
        <x:f>B149-B148</x:f>
        <x:v>30</x:v>
      </x:c>
      <x:c r="D149" s="30" t="n">
        <x:f>H148</x:f>
        <x:v>3646037.89</x:v>
      </x:c>
      <x:c r="E149" s="30" t="n">
        <x:f>ROUND(D149*I149,2)</x:f>
        <x:v>22475.58</x:v>
      </x:c>
      <x:c r="F149" s="30" t="n">
        <x:f>0</x:f>
        <x:v>0</x:v>
      </x:c>
      <x:c r="G149" s="30" t="n">
        <x:f>ROUND(E149+F149,2)</x:f>
        <x:v>22475.58</x:v>
      </x:c>
      <x:c r="H149" s="30" t="n">
        <x:f>ROUND(D149-F149,2)</x:f>
        <x:v>3646037.89</x:v>
      </x:c>
      <x:c r="I149" s="33" t="n">
        <x:f>IF(AND(ISNUMBER('Параметры'!$C$7),'Параметры'!$C$7&gt;=0),'Параметры'!$C$7*C149/365,NA())</x:f>
        <x:v>0.0061643835616438354</x:v>
      </x:c>
      <x:c r="J149" s="32" t="n">
        <x:f>J148/(1+I149)</x:f>
        <x:v>0.41081149441183284</x:v>
      </x:c>
      <x:c r="K149" s="33" t="n">
        <x:f>IF(AND(ISNUMBER('Параметры'!$C$8),'Параметры'!$C$8&gt;=0),'Параметры'!$C$8*C149/365,NA())</x:f>
        <x:v>0.0061643835616438354</x:v>
      </x:c>
      <x:c r="L149" s="32" t="n">
        <x:f>L148/(1+K149)</x:f>
        <x:v>0.41081149441183284</x:v>
      </x:c>
      <x:c r="M149" s="30" t="n">
        <x:f>E149*L149</x:f>
        <x:v>9233.226607572702</x:v>
      </x:c>
      <x:c r="N149" s="30" t="n">
        <x:f>F149*L149</x:f>
        <x:v>0</x:v>
      </x:c>
      <x:c r="O149" s="30" t="n">
        <x:f>G149*L149</x:f>
        <x:v>9233.226607572702</x:v>
      </x:c>
    </x:row>
    <x:row r="150" ht="21" customHeight="1">
      <x:c r="A150" s="28" t="n">
        <x:v>144</x:v>
      </x:c>
      <x:c r="B150" s="29" t="n">
        <x:v>49178</x:v>
      </x:c>
      <x:c r="C150" s="28" t="n">
        <x:f>B150-B149</x:f>
        <x:v>31</x:v>
      </x:c>
      <x:c r="D150" s="30" t="n">
        <x:f>H149</x:f>
        <x:v>3646037.89</x:v>
      </x:c>
      <x:c r="E150" s="30" t="n">
        <x:f>ROUND(D150*I150,2)</x:f>
        <x:v>23224.76</x:v>
      </x:c>
      <x:c r="F150" s="30" t="n">
        <x:f>0</x:f>
        <x:v>0</x:v>
      </x:c>
      <x:c r="G150" s="30" t="n">
        <x:f>ROUND(E150+F150,2)</x:f>
        <x:v>23224.76</x:v>
      </x:c>
      <x:c r="H150" s="30" t="n">
        <x:f>ROUND(D150-F150,2)</x:f>
        <x:v>3646037.89</x:v>
      </x:c>
      <x:c r="I150" s="33" t="n">
        <x:f>IF(AND(ISNUMBER('Параметры'!$C$7),'Параметры'!$C$7&gt;=0),'Параметры'!$C$7*C150/365,NA())</x:f>
        <x:v>0.00636986301369863</x:v>
      </x:c>
      <x:c r="J150" s="32" t="n">
        <x:f>J149/(1+I150)</x:f>
        <x:v>0.408211244702427</x:v>
      </x:c>
      <x:c r="K150" s="33" t="n">
        <x:f>IF(AND(ISNUMBER('Параметры'!$C$8),'Параметры'!$C$8&gt;=0),'Параметры'!$C$8*C150/365,NA())</x:f>
        <x:v>0.00636986301369863</x:v>
      </x:c>
      <x:c r="L150" s="32" t="n">
        <x:f>L149/(1+K150)</x:f>
        <x:v>0.408211244702427</x:v>
      </x:c>
      <x:c r="M150" s="30" t="n">
        <x:f>E150*L150</x:f>
        <x:v>9480.608187515138</x:v>
      </x:c>
      <x:c r="N150" s="30" t="n">
        <x:f>F150*L150</x:f>
        <x:v>0</x:v>
      </x:c>
      <x:c r="O150" s="30" t="n">
        <x:f>G150*L150</x:f>
        <x:v>9480.608187515138</x:v>
      </x:c>
    </x:row>
    <x:row r="151" ht="21" customHeight="1">
      <x:c r="A151" s="28" t="n">
        <x:v>145</x:v>
      </x:c>
      <x:c r="B151" s="29" t="n">
        <x:v>49209</x:v>
      </x:c>
      <x:c r="C151" s="28" t="n">
        <x:f>B151-B150</x:f>
        <x:v>31</x:v>
      </x:c>
      <x:c r="D151" s="30" t="n">
        <x:f>H150</x:f>
        <x:v>3646037.89</x:v>
      </x:c>
      <x:c r="E151" s="30" t="n">
        <x:f>ROUND(D151*I151,2)</x:f>
        <x:v>23224.76</x:v>
      </x:c>
      <x:c r="F151" s="30" t="n">
        <x:f>0</x:f>
        <x:v>0</x:v>
      </x:c>
      <x:c r="G151" s="30" t="n">
        <x:f>ROUND(E151+F151,2)</x:f>
        <x:v>23224.76</x:v>
      </x:c>
      <x:c r="H151" s="30" t="n">
        <x:f>ROUND(D151-F151,2)</x:f>
        <x:v>3646037.89</x:v>
      </x:c>
      <x:c r="I151" s="33" t="n">
        <x:f>IF(AND(ISNUMBER('Параметры'!$C$7),'Параметры'!$C$7&gt;=0),'Параметры'!$C$7*C151/365,NA())</x:f>
        <x:v>0.00636986301369863</x:v>
      </x:c>
      <x:c r="J151" s="32" t="n">
        <x:f>J150/(1+I151)</x:f>
        <x:v>0.40562745338973893</x:v>
      </x:c>
      <x:c r="K151" s="33" t="n">
        <x:f>IF(AND(ISNUMBER('Параметры'!$C$8),'Параметры'!$C$8&gt;=0),'Параметры'!$C$8*C151/365,NA())</x:f>
        <x:v>0.00636986301369863</x:v>
      </x:c>
      <x:c r="L151" s="32" t="n">
        <x:f>L150/(1+K151)</x:f>
        <x:v>0.40562745338973893</x:v>
      </x:c>
      <x:c r="M151" s="30" t="n">
        <x:f>E151*L151</x:f>
        <x:v>9420.600254387873</x:v>
      </x:c>
      <x:c r="N151" s="30" t="n">
        <x:f>F151*L151</x:f>
        <x:v>0</x:v>
      </x:c>
      <x:c r="O151" s="30" t="n">
        <x:f>G151*L151</x:f>
        <x:v>9420.600254387873</x:v>
      </x:c>
    </x:row>
    <x:row r="152" ht="21" customHeight="1">
      <x:c r="A152" s="28" t="n">
        <x:v>146</x:v>
      </x:c>
      <x:c r="B152" s="29" t="n">
        <x:v>49239</x:v>
      </x:c>
      <x:c r="C152" s="28" t="n">
        <x:f>B152-B151</x:f>
        <x:v>30</x:v>
      </x:c>
      <x:c r="D152" s="30" t="n">
        <x:f>H151</x:f>
        <x:v>3646037.89</x:v>
      </x:c>
      <x:c r="E152" s="30" t="n">
        <x:f>ROUND(D152*I152,2)</x:f>
        <x:v>22475.58</x:v>
      </x:c>
      <x:c r="F152" s="30" t="n">
        <x:f>0</x:f>
        <x:v>0</x:v>
      </x:c>
      <x:c r="G152" s="30" t="n">
        <x:f>ROUND(E152+F152,2)</x:f>
        <x:v>22475.58</x:v>
      </x:c>
      <x:c r="H152" s="30" t="n">
        <x:f>ROUND(D152-F152,2)</x:f>
        <x:v>3646037.89</x:v>
      </x:c>
      <x:c r="I152" s="33" t="n">
        <x:f>IF(AND(ISNUMBER('Параметры'!$C$7),'Параметры'!$C$7&gt;=0),'Параметры'!$C$7*C152/365,NA())</x:f>
        <x:v>0.0061643835616438354</x:v>
      </x:c>
      <x:c r="J152" s="32" t="n">
        <x:f>J151/(1+I152)</x:f>
        <x:v>0.4031423294411292</x:v>
      </x:c>
      <x:c r="K152" s="33" t="n">
        <x:f>IF(AND(ISNUMBER('Параметры'!$C$8),'Параметры'!$C$8&gt;=0),'Параметры'!$C$8*C152/365,NA())</x:f>
        <x:v>0.0061643835616438354</x:v>
      </x:c>
      <x:c r="L152" s="32" t="n">
        <x:f>L151/(1+K152)</x:f>
        <x:v>0.4031423294411292</x:v>
      </x:c>
      <x:c r="M152" s="30" t="n">
        <x:f>E152*L152</x:f>
        <x:v>9060.857676740456</x:v>
      </x:c>
      <x:c r="N152" s="30" t="n">
        <x:f>F152*L152</x:f>
        <x:v>0</x:v>
      </x:c>
      <x:c r="O152" s="30" t="n">
        <x:f>G152*L152</x:f>
        <x:v>9060.857676740456</x:v>
      </x:c>
    </x:row>
    <x:row r="153" ht="21" customHeight="1">
      <x:c r="A153" s="28" t="n">
        <x:v>147</x:v>
      </x:c>
      <x:c r="B153" s="29" t="n">
        <x:v>49270</x:v>
      </x:c>
      <x:c r="C153" s="28" t="n">
        <x:f>B153-B152</x:f>
        <x:v>31</x:v>
      </x:c>
      <x:c r="D153" s="30" t="n">
        <x:f>H152</x:f>
        <x:v>3646037.89</x:v>
      </x:c>
      <x:c r="E153" s="30" t="n">
        <x:f>ROUND(D153*I153,2)</x:f>
        <x:v>23224.76</x:v>
      </x:c>
      <x:c r="F153" s="30" t="n">
        <x:f>0</x:f>
        <x:v>0</x:v>
      </x:c>
      <x:c r="G153" s="30" t="n">
        <x:f>ROUND(E153+F153,2)</x:f>
        <x:v>23224.76</x:v>
      </x:c>
      <x:c r="H153" s="30" t="n">
        <x:f>ROUND(D153-F153,2)</x:f>
        <x:v>3646037.89</x:v>
      </x:c>
      <x:c r="I153" s="33" t="n">
        <x:f>IF(AND(ISNUMBER('Параметры'!$C$7),'Параметры'!$C$7&gt;=0),'Параметры'!$C$7*C153/365,NA())</x:f>
        <x:v>0.00636986301369863</x:v>
      </x:c>
      <x:c r="J153" s="32" t="n">
        <x:f>J152/(1+I153)</x:f>
        <x:v>0.4005906220540725</x:v>
      </x:c>
      <x:c r="K153" s="33" t="n">
        <x:f>IF(AND(ISNUMBER('Параметры'!$C$8),'Параметры'!$C$8&gt;=0),'Параметры'!$C$8*C153/365,NA())</x:f>
        <x:v>0.00636986301369863</x:v>
      </x:c>
      <x:c r="L153" s="32" t="n">
        <x:f>L152/(1+K153)</x:f>
        <x:v>0.4005906220540725</x:v>
      </x:c>
      <x:c r="M153" s="30" t="n">
        <x:f>E153*L153</x:f>
        <x:v>9303.62105545654</x:v>
      </x:c>
      <x:c r="N153" s="30" t="n">
        <x:f>F153*L153</x:f>
        <x:v>0</x:v>
      </x:c>
      <x:c r="O153" s="30" t="n">
        <x:f>G153*L153</x:f>
        <x:v>9303.62105545654</x:v>
      </x:c>
    </x:row>
    <x:row r="154" ht="21" customHeight="1">
      <x:c r="A154" s="28" t="n">
        <x:v>148</x:v>
      </x:c>
      <x:c r="B154" s="29" t="n">
        <x:v>49300</x:v>
      </x:c>
      <x:c r="C154" s="28" t="n">
        <x:f>B154-B153</x:f>
        <x:v>30</x:v>
      </x:c>
      <x:c r="D154" s="30" t="n">
        <x:f>H153</x:f>
        <x:v>3646037.89</x:v>
      </x:c>
      <x:c r="E154" s="30" t="n">
        <x:f>ROUND(D154*I154,2)</x:f>
        <x:v>22475.58</x:v>
      </x:c>
      <x:c r="F154" s="30" t="n">
        <x:f>0</x:f>
        <x:v>0</x:v>
      </x:c>
      <x:c r="G154" s="30" t="n">
        <x:f>ROUND(E154+F154,2)</x:f>
        <x:v>22475.58</x:v>
      </x:c>
      <x:c r="H154" s="30" t="n">
        <x:f>ROUND(D154-F154,2)</x:f>
        <x:v>3646037.89</x:v>
      </x:c>
      <x:c r="I154" s="33" t="n">
        <x:f>IF(AND(ISNUMBER('Параметры'!$C$7),'Параметры'!$C$7&gt;=0),'Параметры'!$C$7*C154/365,NA())</x:f>
        <x:v>0.0061643835616438354</x:v>
      </x:c>
      <x:c r="J154" s="32" t="n">
        <x:f>J153/(1+I154)</x:f>
        <x:v>0.39813635684067106</x:v>
      </x:c>
      <x:c r="K154" s="33" t="n">
        <x:f>IF(AND(ISNUMBER('Параметры'!$C$8),'Параметры'!$C$8&gt;=0),'Параметры'!$C$8*C154/365,NA())</x:f>
        <x:v>0.0061643835616438354</x:v>
      </x:c>
      <x:c r="L154" s="32" t="n">
        <x:f>L153/(1+K154)</x:f>
        <x:v>0.39813635684067106</x:v>
      </x:c>
      <x:c r="M154" s="30" t="n">
        <x:f>E154*L154</x:f>
        <x:v>8948.34553908105</x:v>
      </x:c>
      <x:c r="N154" s="30" t="n">
        <x:f>F154*L154</x:f>
        <x:v>0</x:v>
      </x:c>
      <x:c r="O154" s="30" t="n">
        <x:f>G154*L154</x:f>
        <x:v>8948.34553908105</x:v>
      </x:c>
    </x:row>
    <x:row r="155" ht="21" customHeight="1">
      <x:c r="A155" s="28" t="n">
        <x:v>149</x:v>
      </x:c>
      <x:c r="B155" s="29" t="n">
        <x:v>49331</x:v>
      </x:c>
      <x:c r="C155" s="28" t="n">
        <x:f>B155-B154</x:f>
        <x:v>31</x:v>
      </x:c>
      <x:c r="D155" s="30" t="n">
        <x:f>H154</x:f>
        <x:v>3646037.89</x:v>
      </x:c>
      <x:c r="E155" s="30" t="n">
        <x:f>ROUND(D155*I155,2)</x:f>
        <x:v>23224.76</x:v>
      </x:c>
      <x:c r="F155" s="30" t="n">
        <x:f>0</x:f>
        <x:v>0</x:v>
      </x:c>
      <x:c r="G155" s="30" t="n">
        <x:f>ROUND(E155+F155,2)</x:f>
        <x:v>23224.76</x:v>
      </x:c>
      <x:c r="H155" s="30" t="n">
        <x:f>ROUND(D155-F155,2)</x:f>
        <x:v>3646037.89</x:v>
      </x:c>
      <x:c r="I155" s="33" t="n">
        <x:f>IF(AND(ISNUMBER('Параметры'!$C$7),'Параметры'!$C$7&gt;=0),'Параметры'!$C$7*C155/365,NA())</x:f>
        <x:v>0.00636986301369863</x:v>
      </x:c>
      <x:c r="J155" s="32" t="n">
        <x:f>J154/(1+I155)</x:f>
        <x:v>0.39561633498086146</x:v>
      </x:c>
      <x:c r="K155" s="33" t="n">
        <x:f>IF(AND(ISNUMBER('Параметры'!$C$8),'Параметры'!$C$8&gt;=0),'Параметры'!$C$8*C155/365,NA())</x:f>
        <x:v>0.00636986301369863</x:v>
      </x:c>
      <x:c r="L155" s="32" t="n">
        <x:f>L154/(1+K155)</x:f>
        <x:v>0.39561633498086146</x:v>
      </x:c>
      <x:c r="M155" s="30" t="n">
        <x:f>E155*L155</x:f>
        <x:v>9188.094432010112</x:v>
      </x:c>
      <x:c r="N155" s="30" t="n">
        <x:f>F155*L155</x:f>
        <x:v>0</x:v>
      </x:c>
      <x:c r="O155" s="30" t="n">
        <x:f>G155*L155</x:f>
        <x:v>9188.094432010112</x:v>
      </x:c>
    </x:row>
    <x:row r="156" ht="21" customHeight="1">
      <x:c r="A156" s="28" t="n">
        <x:v>150</x:v>
      </x:c>
      <x:c r="B156" s="29" t="n">
        <x:v>49362</x:v>
      </x:c>
      <x:c r="C156" s="28" t="n">
        <x:f>B156-B155</x:f>
        <x:v>31</x:v>
      </x:c>
      <x:c r="D156" s="30" t="n">
        <x:f>H155</x:f>
        <x:v>3646037.89</x:v>
      </x:c>
      <x:c r="E156" s="30" t="n">
        <x:f>ROUND(D156*I156,2)</x:f>
        <x:v>23224.76</x:v>
      </x:c>
      <x:c r="F156" s="30" t="n">
        <x:f>0</x:f>
        <x:v>0</x:v>
      </x:c>
      <x:c r="G156" s="30" t="n">
        <x:f>ROUND(E156+F156,2)</x:f>
        <x:v>23224.76</x:v>
      </x:c>
      <x:c r="H156" s="30" t="n">
        <x:f>ROUND(D156-F156,2)</x:f>
        <x:v>3646037.89</x:v>
      </x:c>
      <x:c r="I156" s="33" t="n">
        <x:f>IF(AND(ISNUMBER('Параметры'!$C$7),'Параметры'!$C$7&gt;=0),'Параметры'!$C$7*C156/365,NA())</x:f>
        <x:v>0.00636986301369863</x:v>
      </x:c>
      <x:c r="J156" s="32" t="n">
        <x:f>J155/(1+I156)</x:f>
        <x:v>0.393112263712011</x:v>
      </x:c>
      <x:c r="K156" s="33" t="n">
        <x:f>IF(AND(ISNUMBER('Параметры'!$C$8),'Параметры'!$C$8&gt;=0),'Параметры'!$C$8*C156/365,NA())</x:f>
        <x:v>0.00636986301369863</x:v>
      </x:c>
      <x:c r="L156" s="32" t="n">
        <x:f>L155/(1+K156)</x:f>
        <x:v>0.393112263712011</x:v>
      </x:c>
      <x:c r="M156" s="30" t="n">
        <x:f>E156*L156</x:f>
        <x:v>9129.937977768164</x:v>
      </x:c>
      <x:c r="N156" s="30" t="n">
        <x:f>F156*L156</x:f>
        <x:v>0</x:v>
      </x:c>
      <x:c r="O156" s="30" t="n">
        <x:f>G156*L156</x:f>
        <x:v>9129.937977768164</x:v>
      </x:c>
    </x:row>
    <x:row r="157" ht="21" customHeight="1">
      <x:c r="A157" s="28" t="n">
        <x:v>151</x:v>
      </x:c>
      <x:c r="B157" s="29" t="n">
        <x:v>49390</x:v>
      </x:c>
      <x:c r="C157" s="28" t="n">
        <x:f>B157-B156</x:f>
        <x:v>28</x:v>
      </x:c>
      <x:c r="D157" s="30" t="n">
        <x:f>H156</x:f>
        <x:v>3646037.89</x:v>
      </x:c>
      <x:c r="E157" s="30" t="n">
        <x:f>ROUND(D157*I157,2)</x:f>
        <x:v>20977.2</x:v>
      </x:c>
      <x:c r="F157" s="30" t="n">
        <x:f>0</x:f>
        <x:v>0</x:v>
      </x:c>
      <x:c r="G157" s="30" t="n">
        <x:f>ROUND(E157+F157,2)</x:f>
        <x:v>20977.2</x:v>
      </x:c>
      <x:c r="H157" s="30" t="n">
        <x:f>ROUND(D157-F157,2)</x:f>
        <x:v>3646037.89</x:v>
      </x:c>
      <x:c r="I157" s="33" t="n">
        <x:f>IF(AND(ISNUMBER('Параметры'!$C$7),'Параметры'!$C$7&gt;=0),'Параметры'!$C$7*C157/365,NA())</x:f>
        <x:v>0.005753424657534247</x:v>
      </x:c>
      <x:c r="J157" s="32" t="n">
        <x:f>J156/(1+I157)</x:f>
        <x:v>0.39086346024212487</x:v>
      </x:c>
      <x:c r="K157" s="33" t="n">
        <x:f>IF(AND(ISNUMBER('Параметры'!$C$8),'Параметры'!$C$8&gt;=0),'Параметры'!$C$8*C157/365,NA())</x:f>
        <x:v>0.005753424657534247</x:v>
      </x:c>
      <x:c r="L157" s="32" t="n">
        <x:f>L156/(1+K157)</x:f>
        <x:v>0.39086346024212487</x:v>
      </x:c>
      <x:c r="M157" s="30" t="n">
        <x:f>E157*L157</x:f>
        <x:v>8199.220978191102</x:v>
      </x:c>
      <x:c r="N157" s="30" t="n">
        <x:f>F157*L157</x:f>
        <x:v>0</x:v>
      </x:c>
      <x:c r="O157" s="30" t="n">
        <x:f>G157*L157</x:f>
        <x:v>8199.220978191102</x:v>
      </x:c>
    </x:row>
    <x:row r="158" ht="21" customHeight="1">
      <x:c r="A158" s="28" t="n">
        <x:v>152</x:v>
      </x:c>
      <x:c r="B158" s="29" t="n">
        <x:v>49421</x:v>
      </x:c>
      <x:c r="C158" s="28" t="n">
        <x:f>B158-B157</x:f>
        <x:v>31</x:v>
      </x:c>
      <x:c r="D158" s="30" t="n">
        <x:f>H157</x:f>
        <x:v>3646037.89</x:v>
      </x:c>
      <x:c r="E158" s="30" t="n">
        <x:f>ROUND(D158*I158,2)</x:f>
        <x:v>23224.76</x:v>
      </x:c>
      <x:c r="F158" s="30" t="n">
        <x:f>0</x:f>
        <x:v>0</x:v>
      </x:c>
      <x:c r="G158" s="30" t="n">
        <x:f>ROUND(E158+F158,2)</x:f>
        <x:v>23224.76</x:v>
      </x:c>
      <x:c r="H158" s="30" t="n">
        <x:f>ROUND(D158-F158,2)</x:f>
        <x:v>3646037.89</x:v>
      </x:c>
      <x:c r="I158" s="33" t="n">
        <x:f>IF(AND(ISNUMBER('Параметры'!$C$7),'Параметры'!$C$7&gt;=0),'Параметры'!$C$7*C158/365,NA())</x:f>
        <x:v>0.00636986301369863</x:v>
      </x:c>
      <x:c r="J158" s="32" t="n">
        <x:f>J157/(1+I158)</x:f>
        <x:v>0.38838947250629713</x:v>
      </x:c>
      <x:c r="K158" s="33" t="n">
        <x:f>IF(AND(ISNUMBER('Параметры'!$C$8),'Параметры'!$C$8&gt;=0),'Параметры'!$C$8*C158/365,NA())</x:f>
        <x:v>0.00636986301369863</x:v>
      </x:c>
      <x:c r="L158" s="32" t="n">
        <x:f>L157/(1+K158)</x:f>
        <x:v>0.38838947250629713</x:v>
      </x:c>
      <x:c r="M158" s="30" t="n">
        <x:f>E158*L158</x:f>
        <x:v>9020.252285485349</x:v>
      </x:c>
      <x:c r="N158" s="30" t="n">
        <x:f>F158*L158</x:f>
        <x:v>0</x:v>
      </x:c>
      <x:c r="O158" s="30" t="n">
        <x:f>G158*L158</x:f>
        <x:v>9020.252285485349</x:v>
      </x:c>
    </x:row>
    <x:row r="159" ht="21" customHeight="1">
      <x:c r="A159" s="28" t="n">
        <x:v>153</x:v>
      </x:c>
      <x:c r="B159" s="29" t="n">
        <x:v>49451</x:v>
      </x:c>
      <x:c r="C159" s="28" t="n">
        <x:f>B159-B158</x:f>
        <x:v>30</x:v>
      </x:c>
      <x:c r="D159" s="30" t="n">
        <x:f>H158</x:f>
        <x:v>3646037.89</x:v>
      </x:c>
      <x:c r="E159" s="30" t="n">
        <x:f>ROUND(D159*I159,2)</x:f>
        <x:v>22475.58</x:v>
      </x:c>
      <x:c r="F159" s="30" t="n">
        <x:f>0</x:f>
        <x:v>0</x:v>
      </x:c>
      <x:c r="G159" s="30" t="n">
        <x:f>ROUND(E159+F159,2)</x:f>
        <x:v>22475.58</x:v>
      </x:c>
      <x:c r="H159" s="30" t="n">
        <x:f>ROUND(D159-F159,2)</x:f>
        <x:v>3646037.89</x:v>
      </x:c>
      <x:c r="I159" s="33" t="n">
        <x:f>IF(AND(ISNUMBER('Параметры'!$C$7),'Параметры'!$C$7&gt;=0),'Параметры'!$C$7*C159/365,NA())</x:f>
        <x:v>0.0061643835616438354</x:v>
      </x:c>
      <x:c r="J159" s="32" t="n">
        <x:f>J158/(1+I159)</x:f>
        <x:v>0.3860099590600366</x:v>
      </x:c>
      <x:c r="K159" s="33" t="n">
        <x:f>IF(AND(ISNUMBER('Параметры'!$C$8),'Параметры'!$C$8&gt;=0),'Параметры'!$C$8*C159/365,NA())</x:f>
        <x:v>0.0061643835616438354</x:v>
      </x:c>
      <x:c r="L159" s="32" t="n">
        <x:f>L158/(1+K159)</x:f>
        <x:v>0.3860099590600366</x:v>
      </x:c>
      <x:c r="M159" s="30" t="n">
        <x:f>E159*L159</x:f>
        <x:v>8675.797715650579</x:v>
      </x:c>
      <x:c r="N159" s="30" t="n">
        <x:f>F159*L159</x:f>
        <x:v>0</x:v>
      </x:c>
      <x:c r="O159" s="30" t="n">
        <x:f>G159*L159</x:f>
        <x:v>8675.797715650579</x:v>
      </x:c>
    </x:row>
    <x:row r="160" ht="21" customHeight="1">
      <x:c r="A160" s="28" t="n">
        <x:v>154</x:v>
      </x:c>
      <x:c r="B160" s="29" t="n">
        <x:v>49482</x:v>
      </x:c>
      <x:c r="C160" s="28" t="n">
        <x:f>B160-B159</x:f>
        <x:v>31</x:v>
      </x:c>
      <x:c r="D160" s="30" t="n">
        <x:f>H159</x:f>
        <x:v>3646037.89</x:v>
      </x:c>
      <x:c r="E160" s="30" t="n">
        <x:f>ROUND(D160*I160,2)</x:f>
        <x:v>23224.76</x:v>
      </x:c>
      <x:c r="F160" s="30" t="n">
        <x:f>0</x:f>
        <x:v>0</x:v>
      </x:c>
      <x:c r="G160" s="30" t="n">
        <x:f>ROUND(E160+F160,2)</x:f>
        <x:v>23224.76</x:v>
      </x:c>
      <x:c r="H160" s="30" t="n">
        <x:f>ROUND(D160-F160,2)</x:f>
        <x:v>3646037.89</x:v>
      </x:c>
      <x:c r="I160" s="33" t="n">
        <x:f>IF(AND(ISNUMBER('Параметры'!$C$7),'Параметры'!$C$7&gt;=0),'Параметры'!$C$7*C160/365,NA())</x:f>
        <x:v>0.00636986301369863</x:v>
      </x:c>
      <x:c r="J160" s="32" t="n">
        <x:f>J159/(1+I160)</x:f>
        <x:v>0.38356669177680086</x:v>
      </x:c>
      <x:c r="K160" s="33" t="n">
        <x:f>IF(AND(ISNUMBER('Параметры'!$C$8),'Параметры'!$C$8&gt;=0),'Параметры'!$C$8*C160/365,NA())</x:f>
        <x:v>0.00636986301369863</x:v>
      </x:c>
      <x:c r="L160" s="32" t="n">
        <x:f>L159/(1+K160)</x:f>
        <x:v>0.38356669177680086</x:v>
      </x:c>
      <x:c r="M160" s="30" t="n">
        <x:f>E160*L160</x:f>
        <x:v>8908.244360510173</x:v>
      </x:c>
      <x:c r="N160" s="30" t="n">
        <x:f>F160*L160</x:f>
        <x:v>0</x:v>
      </x:c>
      <x:c r="O160" s="30" t="n">
        <x:f>G160*L160</x:f>
        <x:v>8908.244360510173</x:v>
      </x:c>
    </x:row>
    <x:row r="161" ht="21" customHeight="1">
      <x:c r="A161" s="28" t="n">
        <x:v>155</x:v>
      </x:c>
      <x:c r="B161" s="29" t="n">
        <x:v>49512</x:v>
      </x:c>
      <x:c r="C161" s="28" t="n">
        <x:f>B161-B160</x:f>
        <x:v>30</x:v>
      </x:c>
      <x:c r="D161" s="30" t="n">
        <x:f>H160</x:f>
        <x:v>3646037.89</x:v>
      </x:c>
      <x:c r="E161" s="30" t="n">
        <x:f>ROUND(D161*I161,2)</x:f>
        <x:v>22475.58</x:v>
      </x:c>
      <x:c r="F161" s="30" t="n">
        <x:f>0</x:f>
        <x:v>0</x:v>
      </x:c>
      <x:c r="G161" s="30" t="n">
        <x:f>ROUND(E161+F161,2)</x:f>
        <x:v>22475.58</x:v>
      </x:c>
      <x:c r="H161" s="30" t="n">
        <x:f>ROUND(D161-F161,2)</x:f>
        <x:v>3646037.89</x:v>
      </x:c>
      <x:c r="I161" s="33" t="n">
        <x:f>IF(AND(ISNUMBER('Параметры'!$C$7),'Параметры'!$C$7&gt;=0),'Параметры'!$C$7*C161/365,NA())</x:f>
        <x:v>0.0061643835616438354</x:v>
      </x:c>
      <x:c r="J161" s="32" t="n">
        <x:f>J160/(1+I161)</x:f>
        <x:v>0.38121672565972037</x:v>
      </x:c>
      <x:c r="K161" s="33" t="n">
        <x:f>IF(AND(ISNUMBER('Параметры'!$C$8),'Параметры'!$C$8&gt;=0),'Параметры'!$C$8*C161/365,NA())</x:f>
        <x:v>0.0061643835616438354</x:v>
      </x:c>
      <x:c r="L161" s="32" t="n">
        <x:f>L160/(1+K161)</x:f>
        <x:v>0.38121672565972037</x:v>
      </x:c>
      <x:c r="M161" s="30" t="n">
        <x:f>E161*L161</x:f>
        <x:v>8568.0670149031</x:v>
      </x:c>
      <x:c r="N161" s="30" t="n">
        <x:f>F161*L161</x:f>
        <x:v>0</x:v>
      </x:c>
      <x:c r="O161" s="30" t="n">
        <x:f>G161*L161</x:f>
        <x:v>8568.0670149031</x:v>
      </x:c>
    </x:row>
    <x:row r="162" ht="21" customHeight="1">
      <x:c r="A162" s="28" t="n">
        <x:v>156</x:v>
      </x:c>
      <x:c r="B162" s="29" t="n">
        <x:v>49543</x:v>
      </x:c>
      <x:c r="C162" s="28" t="n">
        <x:f>B162-B161</x:f>
        <x:v>31</x:v>
      </x:c>
      <x:c r="D162" s="30" t="n">
        <x:f>H161</x:f>
        <x:v>3646037.89</x:v>
      </x:c>
      <x:c r="E162" s="30" t="n">
        <x:f>ROUND(D162*I162,2)</x:f>
        <x:v>23224.76</x:v>
      </x:c>
      <x:c r="F162" s="30" t="n">
        <x:f>0</x:f>
        <x:v>0</x:v>
      </x:c>
      <x:c r="G162" s="30" t="n">
        <x:f>ROUND(E162+F162,2)</x:f>
        <x:v>23224.76</x:v>
      </x:c>
      <x:c r="H162" s="30" t="n">
        <x:f>ROUND(D162-F162,2)</x:f>
        <x:v>3646037.89</x:v>
      </x:c>
      <x:c r="I162" s="33" t="n">
        <x:f>IF(AND(ISNUMBER('Параметры'!$C$7),'Параметры'!$C$7&gt;=0),'Параметры'!$C$7*C162/365,NA())</x:f>
        <x:v>0.00636986301369863</x:v>
      </x:c>
      <x:c r="J162" s="32" t="n">
        <x:f>J161/(1+I162)</x:f>
        <x:v>0.378803797361459</x:v>
      </x:c>
      <x:c r="K162" s="33" t="n">
        <x:f>IF(AND(ISNUMBER('Параметры'!$C$8),'Параметры'!$C$8&gt;=0),'Параметры'!$C$8*C162/365,NA())</x:f>
        <x:v>0.00636986301369863</x:v>
      </x:c>
      <x:c r="L162" s="32" t="n">
        <x:f>L161/(1+K162)</x:f>
        <x:v>0.378803797361459</x:v>
      </x:c>
      <x:c r="M162" s="30" t="n">
        <x:f>E162*L162</x:f>
        <x:v>8797.627280808518</x:v>
      </x:c>
      <x:c r="N162" s="30" t="n">
        <x:f>F162*L162</x:f>
        <x:v>0</x:v>
      </x:c>
      <x:c r="O162" s="30" t="n">
        <x:f>G162*L162</x:f>
        <x:v>8797.627280808518</x:v>
      </x:c>
    </x:row>
    <x:row r="163" ht="21" customHeight="1">
      <x:c r="A163" s="28" t="n">
        <x:v>157</x:v>
      </x:c>
      <x:c r="B163" s="29" t="n">
        <x:v>49574</x:v>
      </x:c>
      <x:c r="C163" s="28" t="n">
        <x:f>B163-B162</x:f>
        <x:v>31</x:v>
      </x:c>
      <x:c r="D163" s="30" t="n">
        <x:f>H162</x:f>
        <x:v>3646037.89</x:v>
      </x:c>
      <x:c r="E163" s="30" t="n">
        <x:f>ROUND(D163*I163,2)</x:f>
        <x:v>23224.76</x:v>
      </x:c>
      <x:c r="F163" s="30" t="n">
        <x:f>0</x:f>
        <x:v>0</x:v>
      </x:c>
      <x:c r="G163" s="30" t="n">
        <x:f>ROUND(E163+F163,2)</x:f>
        <x:v>23224.76</x:v>
      </x:c>
      <x:c r="H163" s="30" t="n">
        <x:f>ROUND(D163-F163,2)</x:f>
        <x:v>3646037.89</x:v>
      </x:c>
      <x:c r="I163" s="33" t="n">
        <x:f>IF(AND(ISNUMBER('Параметры'!$C$7),'Параметры'!$C$7&gt;=0),'Параметры'!$C$7*C163/365,NA())</x:f>
        <x:v>0.00636986301369863</x:v>
      </x:c>
      <x:c r="J163" s="32" t="n">
        <x:f>J162/(1+I163)</x:f>
        <x:v>0.37640614180067394</x:v>
      </x:c>
      <x:c r="K163" s="33" t="n">
        <x:f>IF(AND(ISNUMBER('Параметры'!$C$8),'Параметры'!$C$8&gt;=0),'Параметры'!$C$8*C163/365,NA())</x:f>
        <x:v>0.00636986301369863</x:v>
      </x:c>
      <x:c r="L163" s="32" t="n">
        <x:f>L162/(1+K163)</x:f>
        <x:v>0.37640614180067394</x:v>
      </x:c>
      <x:c r="M163" s="30" t="n">
        <x:f>E163*L163</x:f>
        <x:v>8741.94230584662</x:v>
      </x:c>
      <x:c r="N163" s="30" t="n">
        <x:f>F163*L163</x:f>
        <x:v>0</x:v>
      </x:c>
      <x:c r="O163" s="30" t="n">
        <x:f>G163*L163</x:f>
        <x:v>8741.94230584662</x:v>
      </x:c>
    </x:row>
    <x:row r="164" ht="21" customHeight="1">
      <x:c r="A164" s="28" t="n">
        <x:v>158</x:v>
      </x:c>
      <x:c r="B164" s="29" t="n">
        <x:v>49604</x:v>
      </x:c>
      <x:c r="C164" s="28" t="n">
        <x:f>B164-B163</x:f>
        <x:v>30</x:v>
      </x:c>
      <x:c r="D164" s="30" t="n">
        <x:f>H163</x:f>
        <x:v>3646037.89</x:v>
      </x:c>
      <x:c r="E164" s="30" t="n">
        <x:f>ROUND(D164*I164,2)</x:f>
        <x:v>22475.58</x:v>
      </x:c>
      <x:c r="F164" s="30" t="n">
        <x:f>0</x:f>
        <x:v>0</x:v>
      </x:c>
      <x:c r="G164" s="30" t="n">
        <x:f>ROUND(E164+F164,2)</x:f>
        <x:v>22475.58</x:v>
      </x:c>
      <x:c r="H164" s="30" t="n">
        <x:f>ROUND(D164-F164,2)</x:f>
        <x:v>3646037.89</x:v>
      </x:c>
      <x:c r="I164" s="33" t="n">
        <x:f>IF(AND(ISNUMBER('Параметры'!$C$7),'Параметры'!$C$7&gt;=0),'Параметры'!$C$7*C164/365,NA())</x:f>
        <x:v>0.0061643835616438354</x:v>
      </x:c>
      <x:c r="J164" s="32" t="n">
        <x:f>J163/(1+I164)</x:f>
        <x:v>0.3741000456289884</x:v>
      </x:c>
      <x:c r="K164" s="33" t="n">
        <x:f>IF(AND(ISNUMBER('Параметры'!$C$8),'Параметры'!$C$8&gt;=0),'Параметры'!$C$8*C164/365,NA())</x:f>
        <x:v>0.0061643835616438354</x:v>
      </x:c>
      <x:c r="L164" s="32" t="n">
        <x:f>L163/(1+K164)</x:f>
        <x:v>0.3741000456289884</x:v>
      </x:c>
      <x:c r="M164" s="30" t="n">
        <x:f>E164*L164</x:f>
        <x:v>8408.11550353798</x:v>
      </x:c>
      <x:c r="N164" s="30" t="n">
        <x:f>F164*L164</x:f>
        <x:v>0</x:v>
      </x:c>
      <x:c r="O164" s="30" t="n">
        <x:f>G164*L164</x:f>
        <x:v>8408.11550353798</x:v>
      </x:c>
    </x:row>
    <x:row r="165" ht="21" customHeight="1">
      <x:c r="A165" s="28" t="n">
        <x:v>159</x:v>
      </x:c>
      <x:c r="B165" s="29" t="n">
        <x:v>49635</x:v>
      </x:c>
      <x:c r="C165" s="28" t="n">
        <x:f>B165-B164</x:f>
        <x:v>31</x:v>
      </x:c>
      <x:c r="D165" s="30" t="n">
        <x:f>H164</x:f>
        <x:v>3646037.89</x:v>
      </x:c>
      <x:c r="E165" s="30" t="n">
        <x:f>ROUND(D165*I165,2)</x:f>
        <x:v>23224.76</x:v>
      </x:c>
      <x:c r="F165" s="30" t="n">
        <x:f>0</x:f>
        <x:v>0</x:v>
      </x:c>
      <x:c r="G165" s="30" t="n">
        <x:f>ROUND(E165+F165,2)</x:f>
        <x:v>23224.76</x:v>
      </x:c>
      <x:c r="H165" s="30" t="n">
        <x:f>ROUND(D165-F165,2)</x:f>
        <x:v>3646037.89</x:v>
      </x:c>
      <x:c r="I165" s="33" t="n">
        <x:f>IF(AND(ISNUMBER('Параметры'!$C$7),'Параметры'!$C$7&gt;=0),'Параметры'!$C$7*C165/365,NA())</x:f>
        <x:v>0.00636986301369863</x:v>
      </x:c>
      <x:c r="J165" s="32" t="n">
        <x:f>J164/(1+I165)</x:f>
        <x:v>0.371732162674963</x:v>
      </x:c>
      <x:c r="K165" s="33" t="n">
        <x:f>IF(AND(ISNUMBER('Параметры'!$C$8),'Параметры'!$C$8&gt;=0),'Параметры'!$C$8*C165/365,NA())</x:f>
        <x:v>0.00636986301369863</x:v>
      </x:c>
      <x:c r="L165" s="32" t="n">
        <x:f>L164/(1+K165)</x:f>
        <x:v>0.371732162674963</x:v>
      </x:c>
      <x:c r="M165" s="30" t="n">
        <x:f>E165*L165</x:f>
        <x:v>8633.390262406972</x:v>
      </x:c>
      <x:c r="N165" s="30" t="n">
        <x:f>F165*L165</x:f>
        <x:v>0</x:v>
      </x:c>
      <x:c r="O165" s="30" t="n">
        <x:f>G165*L165</x:f>
        <x:v>8633.390262406972</x:v>
      </x:c>
    </x:row>
    <x:row r="166" ht="21" customHeight="1">
      <x:c r="A166" s="28" t="n">
        <x:v>160</x:v>
      </x:c>
      <x:c r="B166" s="29" t="n">
        <x:v>49665</x:v>
      </x:c>
      <x:c r="C166" s="28" t="n">
        <x:f>B166-B165</x:f>
        <x:v>30</x:v>
      </x:c>
      <x:c r="D166" s="30" t="n">
        <x:f>H165</x:f>
        <x:v>3646037.89</x:v>
      </x:c>
      <x:c r="E166" s="30" t="n">
        <x:f>ROUND(D166*I166,2)</x:f>
        <x:v>22475.58</x:v>
      </x:c>
      <x:c r="F166" s="30" t="n">
        <x:f>0</x:f>
        <x:v>0</x:v>
      </x:c>
      <x:c r="G166" s="30" t="n">
        <x:f>ROUND(E166+F166,2)</x:f>
        <x:v>22475.58</x:v>
      </x:c>
      <x:c r="H166" s="30" t="n">
        <x:f>ROUND(D166-F166,2)</x:f>
        <x:v>3646037.89</x:v>
      </x:c>
      <x:c r="I166" s="33" t="n">
        <x:f>IF(AND(ISNUMBER('Параметры'!$C$7),'Параметры'!$C$7&gt;=0),'Параметры'!$C$7*C166/365,NA())</x:f>
        <x:v>0.0061643835616438354</x:v>
      </x:c>
      <x:c r="J166" s="32" t="n">
        <x:f>J165/(1+I166)</x:f>
        <x:v>0.3694547021820599</x:v>
      </x:c>
      <x:c r="K166" s="33" t="n">
        <x:f>IF(AND(ISNUMBER('Параметры'!$C$8),'Параметры'!$C$8&gt;=0),'Параметры'!$C$8*C166/365,NA())</x:f>
        <x:v>0.0061643835616438354</x:v>
      </x:c>
      <x:c r="L166" s="32" t="n">
        <x:f>L165/(1+K166)</x:f>
        <x:v>0.3694547021820599</x:v>
      </x:c>
      <x:c r="M166" s="30" t="n">
        <x:f>E166*L166</x:f>
        <x:v>8303.708715269062</x:v>
      </x:c>
      <x:c r="N166" s="30" t="n">
        <x:f>F166*L166</x:f>
        <x:v>0</x:v>
      </x:c>
      <x:c r="O166" s="30" t="n">
        <x:f>G166*L166</x:f>
        <x:v>8303.708715269062</x:v>
      </x:c>
    </x:row>
    <x:row r="167" ht="21" customHeight="1">
      <x:c r="A167" s="28" t="n">
        <x:v>161</x:v>
      </x:c>
      <x:c r="B167" s="29" t="n">
        <x:v>49696</x:v>
      </x:c>
      <x:c r="C167" s="28" t="n">
        <x:f>B167-B166</x:f>
        <x:v>31</x:v>
      </x:c>
      <x:c r="D167" s="30" t="n">
        <x:f>H166</x:f>
        <x:v>3646037.89</x:v>
      </x:c>
      <x:c r="E167" s="30" t="n">
        <x:f>ROUND(D167*I167,2)</x:f>
        <x:v>23224.76</x:v>
      </x:c>
      <x:c r="F167" s="30" t="n">
        <x:f>0</x:f>
        <x:v>0</x:v>
      </x:c>
      <x:c r="G167" s="30" t="n">
        <x:f>ROUND(E167+F167,2)</x:f>
        <x:v>23224.76</x:v>
      </x:c>
      <x:c r="H167" s="30" t="n">
        <x:f>ROUND(D167-F167,2)</x:f>
        <x:v>3646037.89</x:v>
      </x:c>
      <x:c r="I167" s="33" t="n">
        <x:f>IF(AND(ISNUMBER('Параметры'!$C$7),'Параметры'!$C$7&gt;=0),'Параметры'!$C$7*C167/365,NA())</x:f>
        <x:v>0.00636986301369863</x:v>
      </x:c>
      <x:c r="J167" s="32" t="n">
        <x:f>J166/(1+I167)</x:f>
        <x:v>0.36711622213694106</x:v>
      </x:c>
      <x:c r="K167" s="33" t="n">
        <x:f>IF(AND(ISNUMBER('Параметры'!$C$8),'Параметры'!$C$8&gt;=0),'Параметры'!$C$8*C167/365,NA())</x:f>
        <x:v>0.00636986301369863</x:v>
      </x:c>
      <x:c r="L167" s="32" t="n">
        <x:f>L166/(1+K167)</x:f>
        <x:v>0.36711622213694106</x:v>
      </x:c>
      <x:c r="M167" s="30" t="n">
        <x:f>E167*L167</x:f>
        <x:v>8526.186151237143</x:v>
      </x:c>
      <x:c r="N167" s="30" t="n">
        <x:f>F167*L167</x:f>
        <x:v>0</x:v>
      </x:c>
      <x:c r="O167" s="30" t="n">
        <x:f>G167*L167</x:f>
        <x:v>8526.186151237143</x:v>
      </x:c>
    </x:row>
    <x:row r="168" ht="21" customHeight="1">
      <x:c r="A168" s="28" t="n">
        <x:v>162</x:v>
      </x:c>
      <x:c r="B168" s="29" t="n">
        <x:v>49727</x:v>
      </x:c>
      <x:c r="C168" s="28" t="n">
        <x:f>B168-B167</x:f>
        <x:v>31</x:v>
      </x:c>
      <x:c r="D168" s="30" t="n">
        <x:f>H167</x:f>
        <x:v>3646037.89</x:v>
      </x:c>
      <x:c r="E168" s="30" t="n">
        <x:f>ROUND(D168*I168,2)</x:f>
        <x:v>23224.76</x:v>
      </x:c>
      <x:c r="F168" s="30" t="n">
        <x:f>0</x:f>
        <x:v>0</x:v>
      </x:c>
      <x:c r="G168" s="30" t="n">
        <x:f>ROUND(E168+F168,2)</x:f>
        <x:v>23224.76</x:v>
      </x:c>
      <x:c r="H168" s="30" t="n">
        <x:f>ROUND(D168-F168,2)</x:f>
        <x:v>3646037.89</x:v>
      </x:c>
      <x:c r="I168" s="33" t="n">
        <x:f>IF(AND(ISNUMBER('Параметры'!$C$7),'Параметры'!$C$7&gt;=0),'Параметры'!$C$7*C168/365,NA())</x:f>
        <x:v>0.00636986301369863</x:v>
      </x:c>
      <x:c r="J168" s="32" t="n">
        <x:f>J167/(1+I168)</x:f>
        <x:v>0.36479254360575375</x:v>
      </x:c>
      <x:c r="K168" s="33" t="n">
        <x:f>IF(AND(ISNUMBER('Параметры'!$C$8),'Параметры'!$C$8&gt;=0),'Параметры'!$C$8*C168/365,NA())</x:f>
        <x:v>0.00636986301369863</x:v>
      </x:c>
      <x:c r="L168" s="32" t="n">
        <x:f>L167/(1+K168)</x:f>
        <x:v>0.36479254360575375</x:v>
      </x:c>
      <x:c r="M168" s="30" t="n">
        <x:f>E168*L168</x:f>
        <x:v>8472.219275033165</x:v>
      </x:c>
      <x:c r="N168" s="30" t="n">
        <x:f>F168*L168</x:f>
        <x:v>0</x:v>
      </x:c>
      <x:c r="O168" s="30" t="n">
        <x:f>G168*L168</x:f>
        <x:v>8472.219275033165</x:v>
      </x:c>
    </x:row>
    <x:row r="169" ht="21" customHeight="1">
      <x:c r="A169" s="28" t="n">
        <x:v>163</x:v>
      </x:c>
      <x:c r="B169" s="29" t="n">
        <x:v>49756</x:v>
      </x:c>
      <x:c r="C169" s="28" t="n">
        <x:f>B169-B168</x:f>
        <x:v>29</x:v>
      </x:c>
      <x:c r="D169" s="30" t="n">
        <x:f>H168</x:f>
        <x:v>3646037.89</x:v>
      </x:c>
      <x:c r="E169" s="30" t="n">
        <x:f>ROUND(D169*I169,2)</x:f>
        <x:v>21726.39</x:v>
      </x:c>
      <x:c r="F169" s="30" t="n">
        <x:f>0</x:f>
        <x:v>0</x:v>
      </x:c>
      <x:c r="G169" s="30" t="n">
        <x:f>ROUND(E169+F169,2)</x:f>
        <x:v>21726.39</x:v>
      </x:c>
      <x:c r="H169" s="30" t="n">
        <x:f>ROUND(D169-F169,2)</x:f>
        <x:v>3646037.89</x:v>
      </x:c>
      <x:c r="I169" s="33" t="n">
        <x:f>IF(AND(ISNUMBER('Параметры'!$C$7),'Параметры'!$C$7&gt;=0),'Параметры'!$C$7*C169/365,NA())</x:f>
        <x:v>0.00595890410958904</x:v>
      </x:c>
      <x:c r="J169" s="32" t="n">
        <x:f>J168/(1+I169)</x:f>
        <x:v>0.36263165633853095</x:v>
      </x:c>
      <x:c r="K169" s="33" t="n">
        <x:f>IF(AND(ISNUMBER('Параметры'!$C$8),'Параметры'!$C$8&gt;=0),'Параметры'!$C$8*C169/365,NA())</x:f>
        <x:v>0.00595890410958904</x:v>
      </x:c>
      <x:c r="L169" s="32" t="n">
        <x:f>L168/(1+K169)</x:f>
        <x:v>0.36263165633853095</x:v>
      </x:c>
      <x:c r="M169" s="30" t="n">
        <x:f>E169*L169</x:f>
        <x:v>7878.676791956896</x:v>
      </x:c>
      <x:c r="N169" s="30" t="n">
        <x:f>F169*L169</x:f>
        <x:v>0</x:v>
      </x:c>
      <x:c r="O169" s="30" t="n">
        <x:f>G169*L169</x:f>
        <x:v>7878.676791956896</x:v>
      </x:c>
    </x:row>
    <x:row r="170" ht="21" customHeight="1">
      <x:c r="A170" s="28" t="n">
        <x:v>164</x:v>
      </x:c>
      <x:c r="B170" s="29" t="n">
        <x:v>49787</x:v>
      </x:c>
      <x:c r="C170" s="28" t="n">
        <x:f>B170-B169</x:f>
        <x:v>31</x:v>
      </x:c>
      <x:c r="D170" s="30" t="n">
        <x:f>H169</x:f>
        <x:v>3646037.89</x:v>
      </x:c>
      <x:c r="E170" s="30" t="n">
        <x:f>ROUND(D170*I170,2)</x:f>
        <x:v>23224.76</x:v>
      </x:c>
      <x:c r="F170" s="30" t="n">
        <x:f>0</x:f>
        <x:v>0</x:v>
      </x:c>
      <x:c r="G170" s="30" t="n">
        <x:f>ROUND(E170+F170,2)</x:f>
        <x:v>23224.76</x:v>
      </x:c>
      <x:c r="H170" s="30" t="n">
        <x:f>ROUND(D170-F170,2)</x:f>
        <x:v>3646037.89</x:v>
      </x:c>
      <x:c r="I170" s="33" t="n">
        <x:f>IF(AND(ISNUMBER('Параметры'!$C$7),'Параметры'!$C$7&gt;=0),'Параметры'!$C$7*C170/365,NA())</x:f>
        <x:v>0.00636986301369863</x:v>
      </x:c>
      <x:c r="J170" s="32" t="n">
        <x:f>J169/(1+I170)</x:f>
        <x:v>0.36033636306694017</x:v>
      </x:c>
      <x:c r="K170" s="33" t="n">
        <x:f>IF(AND(ISNUMBER('Параметры'!$C$8),'Параметры'!$C$8&gt;=0),'Параметры'!$C$8*C170/365,NA())</x:f>
        <x:v>0.00636986301369863</x:v>
      </x:c>
      <x:c r="L170" s="32" t="n">
        <x:f>L169/(1+K170)</x:f>
        <x:v>0.36033636306694017</x:v>
      </x:c>
      <x:c r="M170" s="30" t="n">
        <x:f>E170*L170</x:f>
        <x:v>8368.725551502548</x:v>
      </x:c>
      <x:c r="N170" s="30" t="n">
        <x:f>F170*L170</x:f>
        <x:v>0</x:v>
      </x:c>
      <x:c r="O170" s="30" t="n">
        <x:f>G170*L170</x:f>
        <x:v>8368.725551502548</x:v>
      </x:c>
    </x:row>
    <x:row r="171" ht="21" customHeight="1">
      <x:c r="A171" s="28" t="n">
        <x:v>165</x:v>
      </x:c>
      <x:c r="B171" s="29" t="n">
        <x:v>49817</x:v>
      </x:c>
      <x:c r="C171" s="28" t="n">
        <x:f>B171-B170</x:f>
        <x:v>30</x:v>
      </x:c>
      <x:c r="D171" s="30" t="n">
        <x:f>H170</x:f>
        <x:v>3646037.89</x:v>
      </x:c>
      <x:c r="E171" s="30" t="n">
        <x:f>ROUND(D171*I171,2)</x:f>
        <x:v>22475.58</x:v>
      </x:c>
      <x:c r="F171" s="30" t="n">
        <x:f>0</x:f>
        <x:v>0</x:v>
      </x:c>
      <x:c r="G171" s="30" t="n">
        <x:f>ROUND(E171+F171,2)</x:f>
        <x:v>22475.58</x:v>
      </x:c>
      <x:c r="H171" s="30" t="n">
        <x:f>ROUND(D171-F171,2)</x:f>
        <x:v>3646037.89</x:v>
      </x:c>
      <x:c r="I171" s="33" t="n">
        <x:f>IF(AND(ISNUMBER('Параметры'!$C$7),'Параметры'!$C$7&gt;=0),'Параметры'!$C$7*C171/365,NA())</x:f>
        <x:v>0.0061643835616438354</x:v>
      </x:c>
      <x:c r="J171" s="32" t="n">
        <x:f>J170/(1+I171)</x:f>
        <x:v>0.3581287202707506</x:v>
      </x:c>
      <x:c r="K171" s="33" t="n">
        <x:f>IF(AND(ISNUMBER('Параметры'!$C$8),'Параметры'!$C$8&gt;=0),'Параметры'!$C$8*C171/365,NA())</x:f>
        <x:v>0.0061643835616438354</x:v>
      </x:c>
      <x:c r="L171" s="32" t="n">
        <x:f>L170/(1+K171)</x:f>
        <x:v>0.3581287202707506</x:v>
      </x:c>
      <x:c r="M171" s="30" t="n">
        <x:f>E171*L171</x:f>
        <x:v>8049.150702742877</x:v>
      </x:c>
      <x:c r="N171" s="30" t="n">
        <x:f>F171*L171</x:f>
        <x:v>0</x:v>
      </x:c>
      <x:c r="O171" s="30" t="n">
        <x:f>G171*L171</x:f>
        <x:v>8049.150702742877</x:v>
      </x:c>
    </x:row>
    <x:row r="172" ht="21" customHeight="1">
      <x:c r="A172" s="28" t="n">
        <x:v>166</x:v>
      </x:c>
      <x:c r="B172" s="29" t="n">
        <x:v>49848</x:v>
      </x:c>
      <x:c r="C172" s="28" t="n">
        <x:f>B172-B171</x:f>
        <x:v>31</x:v>
      </x:c>
      <x:c r="D172" s="30" t="n">
        <x:f>H171</x:f>
        <x:v>3646037.89</x:v>
      </x:c>
      <x:c r="E172" s="30" t="n">
        <x:f>ROUND(D172*I172,2)</x:f>
        <x:v>23224.76</x:v>
      </x:c>
      <x:c r="F172" s="30" t="n">
        <x:f>0</x:f>
        <x:v>0</x:v>
      </x:c>
      <x:c r="G172" s="30" t="n">
        <x:f>ROUND(E172+F172,2)</x:f>
        <x:v>23224.76</x:v>
      </x:c>
      <x:c r="H172" s="30" t="n">
        <x:f>ROUND(D172-F172,2)</x:f>
        <x:v>3646037.89</x:v>
      </x:c>
      <x:c r="I172" s="33" t="n">
        <x:f>IF(AND(ISNUMBER('Параметры'!$C$7),'Параметры'!$C$7&gt;=0),'Параметры'!$C$7*C172/365,NA())</x:f>
        <x:v>0.00636986301369863</x:v>
      </x:c>
      <x:c r="J172" s="32" t="n">
        <x:f>J171/(1+I172)</x:f>
        <x:v>0.3558619285341972</x:v>
      </x:c>
      <x:c r="K172" s="33" t="n">
        <x:f>IF(AND(ISNUMBER('Параметры'!$C$8),'Параметры'!$C$8&gt;=0),'Параметры'!$C$8*C172/365,NA())</x:f>
        <x:v>0.00636986301369863</x:v>
      </x:c>
      <x:c r="L172" s="32" t="n">
        <x:f>L171/(1+K172)</x:f>
        <x:v>0.3558619285341972</x:v>
      </x:c>
      <x:c r="M172" s="30" t="n">
        <x:f>E172*L172</x:f>
        <x:v>8264.807883343881</x:v>
      </x:c>
      <x:c r="N172" s="30" t="n">
        <x:f>F172*L172</x:f>
        <x:v>0</x:v>
      </x:c>
      <x:c r="O172" s="30" t="n">
        <x:f>G172*L172</x:f>
        <x:v>8264.807883343881</x:v>
      </x:c>
    </x:row>
    <x:row r="173" ht="21" customHeight="1">
      <x:c r="A173" s="28" t="n">
        <x:v>167</x:v>
      </x:c>
      <x:c r="B173" s="29" t="n">
        <x:v>49878</x:v>
      </x:c>
      <x:c r="C173" s="28" t="n">
        <x:f>B173-B172</x:f>
        <x:v>30</x:v>
      </x:c>
      <x:c r="D173" s="30" t="n">
        <x:f>H172</x:f>
        <x:v>3646037.89</x:v>
      </x:c>
      <x:c r="E173" s="30" t="n">
        <x:f>ROUND(D173*I173,2)</x:f>
        <x:v>22475.58</x:v>
      </x:c>
      <x:c r="F173" s="30" t="n">
        <x:f>0</x:f>
        <x:v>0</x:v>
      </x:c>
      <x:c r="G173" s="30" t="n">
        <x:f>ROUND(E173+F173,2)</x:f>
        <x:v>22475.58</x:v>
      </x:c>
      <x:c r="H173" s="30" t="n">
        <x:f>ROUND(D173-F173,2)</x:f>
        <x:v>3646037.89</x:v>
      </x:c>
      <x:c r="I173" s="33" t="n">
        <x:f>IF(AND(ISNUMBER('Параметры'!$C$7),'Параметры'!$C$7&gt;=0),'Параметры'!$C$7*C173/365,NA())</x:f>
        <x:v>0.0061643835616438354</x:v>
      </x:c>
      <x:c r="J173" s="32" t="n">
        <x:f>J172/(1+I173)</x:f>
        <x:v>0.35368169888354517</x:v>
      </x:c>
      <x:c r="K173" s="33" t="n">
        <x:f>IF(AND(ISNUMBER('Параметры'!$C$8),'Параметры'!$C$8&gt;=0),'Параметры'!$C$8*C173/365,NA())</x:f>
        <x:v>0.0061643835616438354</x:v>
      </x:c>
      <x:c r="L173" s="32" t="n">
        <x:f>L172/(1+K173)</x:f>
        <x:v>0.35368169888354517</x:v>
      </x:c>
      <x:c r="M173" s="30" t="n">
        <x:f>E173*L173</x:f>
        <x:v>7949.201317793031</x:v>
      </x:c>
      <x:c r="N173" s="30" t="n">
        <x:f>F173*L173</x:f>
        <x:v>0</x:v>
      </x:c>
      <x:c r="O173" s="30" t="n">
        <x:f>G173*L173</x:f>
        <x:v>7949.201317793031</x:v>
      </x:c>
    </x:row>
    <x:row r="174" ht="21" customHeight="1">
      <x:c r="A174" s="28" t="n">
        <x:v>168</x:v>
      </x:c>
      <x:c r="B174" s="29" t="n">
        <x:v>49909</x:v>
      </x:c>
      <x:c r="C174" s="28" t="n">
        <x:f>B174-B173</x:f>
        <x:v>31</x:v>
      </x:c>
      <x:c r="D174" s="30" t="n">
        <x:f>H173</x:f>
        <x:v>3646037.89</x:v>
      </x:c>
      <x:c r="E174" s="30" t="n">
        <x:f>ROUND(D174*I174,2)</x:f>
        <x:v>23224.76</x:v>
      </x:c>
      <x:c r="F174" s="30" t="n">
        <x:f>0</x:f>
        <x:v>0</x:v>
      </x:c>
      <x:c r="G174" s="30" t="n">
        <x:f>ROUND(E174+F174,2)</x:f>
        <x:v>23224.76</x:v>
      </x:c>
      <x:c r="H174" s="30" t="n">
        <x:f>ROUND(D174-F174,2)</x:f>
        <x:v>3646037.89</x:v>
      </x:c>
      <x:c r="I174" s="33" t="n">
        <x:f>IF(AND(ISNUMBER('Параметры'!$C$7),'Параметры'!$C$7&gt;=0),'Параметры'!$C$7*C174/365,NA())</x:f>
        <x:v>0.00636986301369863</x:v>
      </x:c>
      <x:c r="J174" s="32" t="n">
        <x:f>J173/(1+I174)</x:f>
        <x:v>0.35144305476756005</x:v>
      </x:c>
      <x:c r="K174" s="33" t="n">
        <x:f>IF(AND(ISNUMBER('Параметры'!$C$8),'Параметры'!$C$8&gt;=0),'Параметры'!$C$8*C174/365,NA())</x:f>
        <x:v>0.00636986301369863</x:v>
      </x:c>
      <x:c r="L174" s="32" t="n">
        <x:f>L173/(1+K174)</x:f>
        <x:v>0.35144305476756005</x:v>
      </x:c>
      <x:c r="M174" s="30" t="n">
        <x:f>E174*L174</x:f>
        <x:v>8162.180600643437</x:v>
      </x:c>
      <x:c r="N174" s="30" t="n">
        <x:f>F174*L174</x:f>
        <x:v>0</x:v>
      </x:c>
      <x:c r="O174" s="30" t="n">
        <x:f>G174*L174</x:f>
        <x:v>8162.180600643437</x:v>
      </x:c>
    </x:row>
    <x:row r="175" ht="21" customHeight="1">
      <x:c r="A175" s="28" t="n">
        <x:v>169</x:v>
      </x:c>
      <x:c r="B175" s="29" t="n">
        <x:v>49940</x:v>
      </x:c>
      <x:c r="C175" s="28" t="n">
        <x:f>B175-B174</x:f>
        <x:v>31</x:v>
      </x:c>
      <x:c r="D175" s="30" t="n">
        <x:f>H174</x:f>
        <x:v>3646037.89</x:v>
      </x:c>
      <x:c r="E175" s="30" t="n">
        <x:f>ROUND(D175*I175,2)</x:f>
        <x:v>23224.76</x:v>
      </x:c>
      <x:c r="F175" s="30" t="n">
        <x:f>0</x:f>
        <x:v>0</x:v>
      </x:c>
      <x:c r="G175" s="30" t="n">
        <x:f>ROUND(E175+F175,2)</x:f>
        <x:v>23224.76</x:v>
      </x:c>
      <x:c r="H175" s="30" t="n">
        <x:f>ROUND(D175-F175,2)</x:f>
        <x:v>3646037.89</x:v>
      </x:c>
      <x:c r="I175" s="33" t="n">
        <x:f>IF(AND(ISNUMBER('Параметры'!$C$7),'Параметры'!$C$7&gt;=0),'Параметры'!$C$7*C175/365,NA())</x:f>
        <x:v>0.00636986301369863</x:v>
      </x:c>
      <x:c r="J175" s="32" t="n">
        <x:f>J174/(1+I175)</x:f>
        <x:v>0.34921858024953223</x:v>
      </x:c>
      <x:c r="K175" s="33" t="n">
        <x:f>IF(AND(ISNUMBER('Параметры'!$C$8),'Параметры'!$C$8&gt;=0),'Параметры'!$C$8*C175/365,NA())</x:f>
        <x:v>0.00636986301369863</x:v>
      </x:c>
      <x:c r="L175" s="32" t="n">
        <x:f>L174/(1+K175)</x:f>
        <x:v>0.34921858024953223</x:v>
      </x:c>
      <x:c r="M175" s="30" t="n">
        <x:f>E175*L175</x:f>
        <x:v>8110.517713836126</x:v>
      </x:c>
      <x:c r="N175" s="30" t="n">
        <x:f>F175*L175</x:f>
        <x:v>0</x:v>
      </x:c>
      <x:c r="O175" s="30" t="n">
        <x:f>G175*L175</x:f>
        <x:v>8110.517713836126</x:v>
      </x:c>
    </x:row>
    <x:row r="176" ht="21" customHeight="1">
      <x:c r="A176" s="28" t="n">
        <x:v>170</x:v>
      </x:c>
      <x:c r="B176" s="29" t="n">
        <x:v>49970</x:v>
      </x:c>
      <x:c r="C176" s="28" t="n">
        <x:f>B176-B175</x:f>
        <x:v>30</x:v>
      </x:c>
      <x:c r="D176" s="30" t="n">
        <x:f>H175</x:f>
        <x:v>3646037.89</x:v>
      </x:c>
      <x:c r="E176" s="30" t="n">
        <x:f>ROUND(D176*I176,2)</x:f>
        <x:v>22475.58</x:v>
      </x:c>
      <x:c r="F176" s="30" t="n">
        <x:f>0</x:f>
        <x:v>0</x:v>
      </x:c>
      <x:c r="G176" s="30" t="n">
        <x:f>ROUND(E176+F176,2)</x:f>
        <x:v>22475.58</x:v>
      </x:c>
      <x:c r="H176" s="30" t="n">
        <x:f>ROUND(D176-F176,2)</x:f>
        <x:v>3646037.89</x:v>
      </x:c>
      <x:c r="I176" s="33" t="n">
        <x:f>IF(AND(ISNUMBER('Параметры'!$C$7),'Параметры'!$C$7&gt;=0),'Параметры'!$C$7*C176/365,NA())</x:f>
        <x:v>0.0061643835616438354</x:v>
      </x:c>
      <x:c r="J176" s="32" t="n">
        <x:f>J175/(1+I176)</x:f>
        <x:v>0.34707905184773113</x:v>
      </x:c>
      <x:c r="K176" s="33" t="n">
        <x:f>IF(AND(ISNUMBER('Параметры'!$C$8),'Параметры'!$C$8&gt;=0),'Параметры'!$C$8*C176/365,NA())</x:f>
        <x:v>0.0061643835616438354</x:v>
      </x:c>
      <x:c r="L176" s="32" t="n">
        <x:f>L175/(1+K176)</x:f>
        <x:v>0.34707905184773113</x:v>
      </x:c>
      <x:c r="M176" s="30" t="n">
        <x:f>E176*L176</x:f>
        <x:v>7800.80299612783</x:v>
      </x:c>
      <x:c r="N176" s="30" t="n">
        <x:f>F176*L176</x:f>
        <x:v>0</x:v>
      </x:c>
      <x:c r="O176" s="30" t="n">
        <x:f>G176*L176</x:f>
        <x:v>7800.80299612783</x:v>
      </x:c>
    </x:row>
    <x:row r="177" ht="21" customHeight="1">
      <x:c r="A177" s="28" t="n">
        <x:v>171</x:v>
      </x:c>
      <x:c r="B177" s="29" t="n">
        <x:v>50001</x:v>
      </x:c>
      <x:c r="C177" s="28" t="n">
        <x:f>B177-B176</x:f>
        <x:v>31</x:v>
      </x:c>
      <x:c r="D177" s="30" t="n">
        <x:f>H176</x:f>
        <x:v>3646037.89</x:v>
      </x:c>
      <x:c r="E177" s="30" t="n">
        <x:f>ROUND(D177*I177,2)</x:f>
        <x:v>23224.76</x:v>
      </x:c>
      <x:c r="F177" s="30" t="n">
        <x:f>0</x:f>
        <x:v>0</x:v>
      </x:c>
      <x:c r="G177" s="30" t="n">
        <x:f>ROUND(E177+F177,2)</x:f>
        <x:v>23224.76</x:v>
      </x:c>
      <x:c r="H177" s="30" t="n">
        <x:f>ROUND(D177-F177,2)</x:f>
        <x:v>3646037.89</x:v>
      </x:c>
      <x:c r="I177" s="33" t="n">
        <x:f>IF(AND(ISNUMBER('Параметры'!$C$7),'Параметры'!$C$7&gt;=0),'Параметры'!$C$7*C177/365,NA())</x:f>
        <x:v>0.00636986301369863</x:v>
      </x:c>
      <x:c r="J177" s="32" t="n">
        <x:f>J176/(1+I177)</x:f>
        <x:v>0.344882199481173</x:v>
      </x:c>
      <x:c r="K177" s="33" t="n">
        <x:f>IF(AND(ISNUMBER('Параметры'!$C$8),'Параметры'!$C$8&gt;=0),'Параметры'!$C$8*C177/365,NA())</x:f>
        <x:v>0.00636986301369863</x:v>
      </x:c>
      <x:c r="L177" s="32" t="n">
        <x:f>L176/(1+K177)</x:f>
        <x:v>0.344882199481173</x:v>
      </x:c>
      <x:c r="M177" s="30" t="n">
        <x:f>E177*L177</x:f>
        <x:v>8009.806311222366</x:v>
      </x:c>
      <x:c r="N177" s="30" t="n">
        <x:f>F177*L177</x:f>
        <x:v>0</x:v>
      </x:c>
      <x:c r="O177" s="30" t="n">
        <x:f>G177*L177</x:f>
        <x:v>8009.806311222366</x:v>
      </x:c>
    </x:row>
    <x:row r="178" ht="21" customHeight="1">
      <x:c r="A178" s="28" t="n">
        <x:v>172</x:v>
      </x:c>
      <x:c r="B178" s="29" t="n">
        <x:v>50031</x:v>
      </x:c>
      <x:c r="C178" s="28" t="n">
        <x:f>B178-B177</x:f>
        <x:v>30</x:v>
      </x:c>
      <x:c r="D178" s="30" t="n">
        <x:f>H177</x:f>
        <x:v>3646037.89</x:v>
      </x:c>
      <x:c r="E178" s="30" t="n">
        <x:f>ROUND(D178*I178,2)</x:f>
        <x:v>22475.58</x:v>
      </x:c>
      <x:c r="F178" s="30" t="n">
        <x:f>0</x:f>
        <x:v>0</x:v>
      </x:c>
      <x:c r="G178" s="30" t="n">
        <x:f>ROUND(E178+F178,2)</x:f>
        <x:v>22475.58</x:v>
      </x:c>
      <x:c r="H178" s="30" t="n">
        <x:f>ROUND(D178-F178,2)</x:f>
        <x:v>3646037.89</x:v>
      </x:c>
      <x:c r="I178" s="33" t="n">
        <x:f>IF(AND(ISNUMBER('Параметры'!$C$7),'Параметры'!$C$7&gt;=0),'Параметры'!$C$7*C178/365,NA())</x:f>
        <x:v>0.0061643835616438354</x:v>
      </x:c>
      <x:c r="J178" s="32" t="n">
        <x:f>J177/(1+I178)</x:f>
        <x:v>0.34276923842240475</x:v>
      </x:c>
      <x:c r="K178" s="33" t="n">
        <x:f>IF(AND(ISNUMBER('Параметры'!$C$8),'Параметры'!$C$8&gt;=0),'Параметры'!$C$8*C178/365,NA())</x:f>
        <x:v>0.0061643835616438354</x:v>
      </x:c>
      <x:c r="L178" s="32" t="n">
        <x:f>L177/(1+K178)</x:f>
        <x:v>0.34276923842240475</x:v>
      </x:c>
      <x:c r="M178" s="30" t="n">
        <x:f>E178*L178</x:f>
        <x:v>7703.937439701833</x:v>
      </x:c>
      <x:c r="N178" s="30" t="n">
        <x:f>F178*L178</x:f>
        <x:v>0</x:v>
      </x:c>
      <x:c r="O178" s="30" t="n">
        <x:f>G178*L178</x:f>
        <x:v>7703.937439701833</x:v>
      </x:c>
    </x:row>
    <x:row r="179" ht="21" customHeight="1">
      <x:c r="A179" s="28" t="n">
        <x:v>173</x:v>
      </x:c>
      <x:c r="B179" s="29" t="n">
        <x:v>50062</x:v>
      </x:c>
      <x:c r="C179" s="28" t="n">
        <x:f>B179-B178</x:f>
        <x:v>31</x:v>
      </x:c>
      <x:c r="D179" s="30" t="n">
        <x:f>H178</x:f>
        <x:v>3646037.89</x:v>
      </x:c>
      <x:c r="E179" s="30" t="n">
        <x:f>ROUND(D179*I179,2)</x:f>
        <x:v>23224.76</x:v>
      </x:c>
      <x:c r="F179" s="30" t="n">
        <x:f>0</x:f>
        <x:v>0</x:v>
      </x:c>
      <x:c r="G179" s="30" t="n">
        <x:f>ROUND(E179+F179,2)</x:f>
        <x:v>23224.76</x:v>
      </x:c>
      <x:c r="H179" s="30" t="n">
        <x:f>ROUND(D179-F179,2)</x:f>
        <x:v>3646037.89</x:v>
      </x:c>
      <x:c r="I179" s="33" t="n">
        <x:f>IF(AND(ISNUMBER('Параметры'!$C$7),'Параметры'!$C$7&gt;=0),'Параметры'!$C$7*C179/365,NA())</x:f>
        <x:v>0.00636986301369863</x:v>
      </x:c>
      <x:c r="J179" s="32" t="n">
        <x:f>J178/(1+I179)</x:f>
        <x:v>0.3405996652124896</x:v>
      </x:c>
      <x:c r="K179" s="33" t="n">
        <x:f>IF(AND(ISNUMBER('Параметры'!$C$8),'Параметры'!$C$8&gt;=0),'Параметры'!$C$8*C179/365,NA())</x:f>
        <x:v>0.00636986301369863</x:v>
      </x:c>
      <x:c r="L179" s="32" t="n">
        <x:f>L178/(1+K179)</x:f>
        <x:v>0.3405996652124896</x:v>
      </x:c>
      <x:c r="M179" s="30" t="n">
        <x:f>E179*L179</x:f>
        <x:v>7910.345480640419</x:v>
      </x:c>
      <x:c r="N179" s="30" t="n">
        <x:f>F179*L179</x:f>
        <x:v>0</x:v>
      </x:c>
      <x:c r="O179" s="30" t="n">
        <x:f>G179*L179</x:f>
        <x:v>7910.345480640419</x:v>
      </x:c>
    </x:row>
    <x:row r="180" ht="21" customHeight="1">
      <x:c r="A180" s="28" t="n">
        <x:v>174</x:v>
      </x:c>
      <x:c r="B180" s="29" t="n">
        <x:v>50093</x:v>
      </x:c>
      <x:c r="C180" s="28" t="n">
        <x:f>B180-B179</x:f>
        <x:v>31</x:v>
      </x:c>
      <x:c r="D180" s="30" t="n">
        <x:f>H179</x:f>
        <x:v>3646037.89</x:v>
      </x:c>
      <x:c r="E180" s="30" t="n">
        <x:f>ROUND(D180*I180,2)</x:f>
        <x:v>23224.76</x:v>
      </x:c>
      <x:c r="F180" s="30" t="n">
        <x:f>0</x:f>
        <x:v>0</x:v>
      </x:c>
      <x:c r="G180" s="30" t="n">
        <x:f>ROUND(E180+F180,2)</x:f>
        <x:v>23224.76</x:v>
      </x:c>
      <x:c r="H180" s="30" t="n">
        <x:f>ROUND(D180-F180,2)</x:f>
        <x:v>3646037.89</x:v>
      </x:c>
      <x:c r="I180" s="33" t="n">
        <x:f>IF(AND(ISNUMBER('Параметры'!$C$7),'Параметры'!$C$7&gt;=0),'Параметры'!$C$7*C180/365,NA())</x:f>
        <x:v>0.00636986301369863</x:v>
      </x:c>
      <x:c r="J180" s="32" t="n">
        <x:f>J179/(1+I180)</x:f>
        <x:v>0.3384438244131456</x:v>
      </x:c>
      <x:c r="K180" s="33" t="n">
        <x:f>IF(AND(ISNUMBER('Параметры'!$C$8),'Параметры'!$C$8&gt;=0),'Параметры'!$C$8*C180/365,NA())</x:f>
        <x:v>0.00636986301369863</x:v>
      </x:c>
      <x:c r="L180" s="32" t="n">
        <x:f>L179/(1+K180)</x:f>
        <x:v>0.3384438244131456</x:v>
      </x:c>
      <x:c r="M180" s="30" t="n">
        <x:f>E180*L180</x:f>
        <x:v>7860.276595477447</x:v>
      </x:c>
      <x:c r="N180" s="30" t="n">
        <x:f>F180*L180</x:f>
        <x:v>0</x:v>
      </x:c>
      <x:c r="O180" s="30" t="n">
        <x:f>G180*L180</x:f>
        <x:v>7860.276595477447</x:v>
      </x:c>
    </x:row>
    <x:row r="181" ht="21" customHeight="1">
      <x:c r="A181" s="28" t="n">
        <x:v>175</x:v>
      </x:c>
      <x:c r="B181" s="29" t="n">
        <x:v>50121</x:v>
      </x:c>
      <x:c r="C181" s="28" t="n">
        <x:f>B181-B180</x:f>
        <x:v>28</x:v>
      </x:c>
      <x:c r="D181" s="30" t="n">
        <x:f>H180</x:f>
        <x:v>3646037.89</x:v>
      </x:c>
      <x:c r="E181" s="30" t="n">
        <x:f>ROUND(D181*I181,2)</x:f>
        <x:v>20977.2</x:v>
      </x:c>
      <x:c r="F181" s="30" t="n">
        <x:f>0</x:f>
        <x:v>0</x:v>
      </x:c>
      <x:c r="G181" s="30" t="n">
        <x:f>ROUND(E181+F181,2)</x:f>
        <x:v>20977.2</x:v>
      </x:c>
      <x:c r="H181" s="30" t="n">
        <x:f>ROUND(D181-F181,2)</x:f>
        <x:v>3646037.89</x:v>
      </x:c>
      <x:c r="I181" s="33" t="n">
        <x:f>IF(AND(ISNUMBER('Параметры'!$C$7),'Параметры'!$C$7&gt;=0),'Параметры'!$C$7*C181/365,NA())</x:f>
        <x:v>0.005753424657534247</x:v>
      </x:c>
      <x:c r="J181" s="32" t="n">
        <x:f>J180/(1+I181)</x:f>
        <x:v>0.33650775241296144</x:v>
      </x:c>
      <x:c r="K181" s="33" t="n">
        <x:f>IF(AND(ISNUMBER('Параметры'!$C$8),'Параметры'!$C$8&gt;=0),'Параметры'!$C$8*C181/365,NA())</x:f>
        <x:v>0.005753424657534247</x:v>
      </x:c>
      <x:c r="L181" s="32" t="n">
        <x:f>L180/(1+K181)</x:f>
        <x:v>0.33650775241296144</x:v>
      </x:c>
      <x:c r="M181" s="30" t="n">
        <x:f>E181*L181</x:f>
        <x:v>7058.990423917175</x:v>
      </x:c>
      <x:c r="N181" s="30" t="n">
        <x:f>F181*L181</x:f>
        <x:v>0</x:v>
      </x:c>
      <x:c r="O181" s="30" t="n">
        <x:f>G181*L181</x:f>
        <x:v>7058.990423917175</x:v>
      </x:c>
    </x:row>
    <x:row r="182" ht="21" customHeight="1">
      <x:c r="A182" s="28" t="n">
        <x:v>176</x:v>
      </x:c>
      <x:c r="B182" s="29" t="n">
        <x:v>50152</x:v>
      </x:c>
      <x:c r="C182" s="28" t="n">
        <x:f>B182-B181</x:f>
        <x:v>31</x:v>
      </x:c>
      <x:c r="D182" s="30" t="n">
        <x:f>H181</x:f>
        <x:v>3646037.89</x:v>
      </x:c>
      <x:c r="E182" s="30" t="n">
        <x:f>ROUND(D182*I182,2)</x:f>
        <x:v>23224.76</x:v>
      </x:c>
      <x:c r="F182" s="30" t="n">
        <x:f>0</x:f>
        <x:v>0</x:v>
      </x:c>
      <x:c r="G182" s="30" t="n">
        <x:f>ROUND(E182+F182,2)</x:f>
        <x:v>23224.76</x:v>
      </x:c>
      <x:c r="H182" s="30" t="n">
        <x:f>ROUND(D182-F182,2)</x:f>
        <x:v>3646037.89</x:v>
      </x:c>
      <x:c r="I182" s="33" t="n">
        <x:f>IF(AND(ISNUMBER('Параметры'!$C$7),'Параметры'!$C$7&gt;=0),'Параметры'!$C$7*C182/365,NA())</x:f>
        <x:v>0.00636986301369863</x:v>
      </x:c>
      <x:c r="J182" s="32" t="n">
        <x:f>J181/(1+I182)</x:f>
        <x:v>0.33437781155851337</x:v>
      </x:c>
      <x:c r="K182" s="33" t="n">
        <x:f>IF(AND(ISNUMBER('Параметры'!$C$8),'Параметры'!$C$8&gt;=0),'Параметры'!$C$8*C182/365,NA())</x:f>
        <x:v>0.00636986301369863</x:v>
      </x:c>
      <x:c r="L182" s="32" t="n">
        <x:f>L181/(1+K182)</x:f>
        <x:v>0.33437781155851337</x:v>
      </x:c>
      <x:c r="M182" s="30" t="n">
        <x:f>E182*L182</x:f>
        <x:v>7765.844422771698</x:v>
      </x:c>
      <x:c r="N182" s="30" t="n">
        <x:f>F182*L182</x:f>
        <x:v>0</x:v>
      </x:c>
      <x:c r="O182" s="30" t="n">
        <x:f>G182*L182</x:f>
        <x:v>7765.844422771698</x:v>
      </x:c>
    </x:row>
    <x:row r="183" ht="21" customHeight="1">
      <x:c r="A183" s="28" t="n">
        <x:v>177</x:v>
      </x:c>
      <x:c r="B183" s="29" t="n">
        <x:v>50182</x:v>
      </x:c>
      <x:c r="C183" s="28" t="n">
        <x:f>B183-B182</x:f>
        <x:v>30</x:v>
      </x:c>
      <x:c r="D183" s="30" t="n">
        <x:f>H182</x:f>
        <x:v>3646037.89</x:v>
      </x:c>
      <x:c r="E183" s="30" t="n">
        <x:f>ROUND(D183*I183,2)</x:f>
        <x:v>22475.58</x:v>
      </x:c>
      <x:c r="F183" s="30" t="n">
        <x:f>0</x:f>
        <x:v>0</x:v>
      </x:c>
      <x:c r="G183" s="30" t="n">
        <x:f>ROUND(E183+F183,2)</x:f>
        <x:v>22475.58</x:v>
      </x:c>
      <x:c r="H183" s="30" t="n">
        <x:f>ROUND(D183-F183,2)</x:f>
        <x:v>3646037.89</x:v>
      </x:c>
      <x:c r="I183" s="33" t="n">
        <x:f>IF(AND(ISNUMBER('Параметры'!$C$7),'Параметры'!$C$7&gt;=0),'Параметры'!$C$7*C183/365,NA())</x:f>
        <x:v>0.0061643835616438354</x:v>
      </x:c>
      <x:c r="J183" s="32" t="n">
        <x:f>J182/(1+I183)</x:f>
        <x:v>0.3323292068586995</x:v>
      </x:c>
      <x:c r="K183" s="33" t="n">
        <x:f>IF(AND(ISNUMBER('Параметры'!$C$8),'Параметры'!$C$8&gt;=0),'Параметры'!$C$8*C183/365,NA())</x:f>
        <x:v>0.0061643835616438354</x:v>
      </x:c>
      <x:c r="L183" s="32" t="n">
        <x:f>L182/(1+K183)</x:f>
        <x:v>0.3323292068586995</x:v>
      </x:c>
      <x:c r="M183" s="30" t="n">
        <x:f>E183*L183</x:f>
        <x:v>7469.29167508925</x:v>
      </x:c>
      <x:c r="N183" s="30" t="n">
        <x:f>F183*L183</x:f>
        <x:v>0</x:v>
      </x:c>
      <x:c r="O183" s="30" t="n">
        <x:f>G183*L183</x:f>
        <x:v>7469.29167508925</x:v>
      </x:c>
    </x:row>
    <x:row r="184" ht="21" customHeight="1">
      <x:c r="A184" s="28" t="n">
        <x:v>178</x:v>
      </x:c>
      <x:c r="B184" s="29" t="n">
        <x:v>50213</x:v>
      </x:c>
      <x:c r="C184" s="28" t="n">
        <x:f>B184-B183</x:f>
        <x:v>31</x:v>
      </x:c>
      <x:c r="D184" s="30" t="n">
        <x:f>H183</x:f>
        <x:v>3646037.89</x:v>
      </x:c>
      <x:c r="E184" s="30" t="n">
        <x:f>ROUND(D184*I184,2)</x:f>
        <x:v>23224.76</x:v>
      </x:c>
      <x:c r="F184" s="30" t="n">
        <x:f>0</x:f>
        <x:v>0</x:v>
      </x:c>
      <x:c r="G184" s="30" t="n">
        <x:f>ROUND(E184+F184,2)</x:f>
        <x:v>23224.76</x:v>
      </x:c>
      <x:c r="H184" s="30" t="n">
        <x:f>ROUND(D184-F184,2)</x:f>
        <x:v>3646037.89</x:v>
      </x:c>
      <x:c r="I184" s="33" t="n">
        <x:f>IF(AND(ISNUMBER('Параметры'!$C$7),'Параметры'!$C$7&gt;=0),'Параметры'!$C$7*C184/365,NA())</x:f>
        <x:v>0.00636986301369863</x:v>
      </x:c>
      <x:c r="J184" s="32" t="n">
        <x:f>J183/(1+I184)</x:f>
        <x:v>0.33022571429503933</x:v>
      </x:c>
      <x:c r="K184" s="33" t="n">
        <x:f>IF(AND(ISNUMBER('Параметры'!$C$8),'Параметры'!$C$8&gt;=0),'Параметры'!$C$8*C184/365,NA())</x:f>
        <x:v>0.00636986301369863</x:v>
      </x:c>
      <x:c r="L184" s="32" t="n">
        <x:f>L183/(1+K184)</x:f>
        <x:v>0.33022571429503933</x:v>
      </x:c>
      <x:c r="M184" s="30" t="n">
        <x:f>E184*L184</x:f>
        <x:v>7669.4129603308575</x:v>
      </x:c>
      <x:c r="N184" s="30" t="n">
        <x:f>F184*L184</x:f>
        <x:v>0</x:v>
      </x:c>
      <x:c r="O184" s="30" t="n">
        <x:f>G184*L184</x:f>
        <x:v>7669.4129603308575</x:v>
      </x:c>
    </x:row>
    <x:row r="185" ht="21" customHeight="1">
      <x:c r="A185" s="28" t="n">
        <x:v>179</x:v>
      </x:c>
      <x:c r="B185" s="29" t="n">
        <x:v>50243</x:v>
      </x:c>
      <x:c r="C185" s="28" t="n">
        <x:f>B185-B184</x:f>
        <x:v>30</x:v>
      </x:c>
      <x:c r="D185" s="30" t="n">
        <x:f>H184</x:f>
        <x:v>3646037.89</x:v>
      </x:c>
      <x:c r="E185" s="30" t="n">
        <x:f>ROUND(D185*I185,2)</x:f>
        <x:v>22475.58</x:v>
      </x:c>
      <x:c r="F185" s="30" t="n">
        <x:f>0</x:f>
        <x:v>0</x:v>
      </x:c>
      <x:c r="G185" s="30" t="n">
        <x:f>ROUND(E185+F185,2)</x:f>
        <x:v>22475.58</x:v>
      </x:c>
      <x:c r="H185" s="30" t="n">
        <x:f>ROUND(D185-F185,2)</x:f>
        <x:v>3646037.89</x:v>
      </x:c>
      <x:c r="I185" s="33" t="n">
        <x:f>IF(AND(ISNUMBER('Параметры'!$C$7),'Параметры'!$C$7&gt;=0),'Параметры'!$C$7*C185/365,NA())</x:f>
        <x:v>0.0061643835616438354</x:v>
      </x:c>
      <x:c r="J185" s="32" t="n">
        <x:f>J184/(1+I185)</x:f>
        <x:v>0.3282025479038512</x:v>
      </x:c>
      <x:c r="K185" s="33" t="n">
        <x:f>IF(AND(ISNUMBER('Параметры'!$C$8),'Параметры'!$C$8&gt;=0),'Параметры'!$C$8*C185/365,NA())</x:f>
        <x:v>0.0061643835616438354</x:v>
      </x:c>
      <x:c r="L185" s="32" t="n">
        <x:f>L184/(1+K185)</x:f>
        <x:v>0.3282025479038512</x:v>
      </x:c>
      <x:c r="M185" s="30" t="n">
        <x:f>E185*L185</x:f>
        <x:v>7376.542621616841</x:v>
      </x:c>
      <x:c r="N185" s="30" t="n">
        <x:f>F185*L185</x:f>
        <x:v>0</x:v>
      </x:c>
      <x:c r="O185" s="30" t="n">
        <x:f>G185*L185</x:f>
        <x:v>7376.542621616841</x:v>
      </x:c>
    </x:row>
    <x:row r="186" ht="21" customHeight="1">
      <x:c r="A186" s="28" t="n">
        <x:v>180</x:v>
      </x:c>
      <x:c r="B186" s="29" t="n">
        <x:v>50274</x:v>
      </x:c>
      <x:c r="C186" s="28" t="n">
        <x:f>B186-B185</x:f>
        <x:v>31</x:v>
      </x:c>
      <x:c r="D186" s="30" t="n">
        <x:f>H185</x:f>
        <x:v>3646037.89</x:v>
      </x:c>
      <x:c r="E186" s="30" t="n">
        <x:f>ROUND(D186*I186,2)</x:f>
        <x:v>23224.76</x:v>
      </x:c>
      <x:c r="F186" s="30" t="n">
        <x:f>0</x:f>
        <x:v>0</x:v>
      </x:c>
      <x:c r="G186" s="30" t="n">
        <x:f>ROUND(E186+F186,2)</x:f>
        <x:v>23224.76</x:v>
      </x:c>
      <x:c r="H186" s="30" t="n">
        <x:f>ROUND(D186-F186,2)</x:f>
        <x:v>3646037.89</x:v>
      </x:c>
      <x:c r="I186" s="33" t="n">
        <x:f>IF(AND(ISNUMBER('Параметры'!$C$7),'Параметры'!$C$7&gt;=0),'Параметры'!$C$7*C186/365,NA())</x:f>
        <x:v>0.00636986301369863</x:v>
      </x:c>
      <x:c r="J186" s="32" t="n">
        <x:f>J185/(1+I186)</x:f>
        <x:v>0.3261251752124296</x:v>
      </x:c>
      <x:c r="K186" s="33" t="n">
        <x:f>IF(AND(ISNUMBER('Параметры'!$C$8),'Параметры'!$C$8&gt;=0),'Параметры'!$C$8*C186/365,NA())</x:f>
        <x:v>0.00636986301369863</x:v>
      </x:c>
      <x:c r="L186" s="32" t="n">
        <x:f>L185/(1+K186)</x:f>
        <x:v>0.3261251752124296</x:v>
      </x:c>
      <x:c r="M186" s="30" t="n">
        <x:f>E186*L186</x:f>
        <x:v>7574.178924266626</x:v>
      </x:c>
      <x:c r="N186" s="30" t="n">
        <x:f>F186*L186</x:f>
        <x:v>0</x:v>
      </x:c>
      <x:c r="O186" s="30" t="n">
        <x:f>G186*L186</x:f>
        <x:v>7574.178924266626</x:v>
      </x:c>
    </x:row>
    <x:row r="187" ht="21" customHeight="1">
      <x:c r="A187" s="28" t="n">
        <x:v>181</x:v>
      </x:c>
      <x:c r="B187" s="29" t="n">
        <x:v>50305</x:v>
      </x:c>
      <x:c r="C187" s="28" t="n">
        <x:f>B187-B186</x:f>
        <x:v>31</x:v>
      </x:c>
      <x:c r="D187" s="30" t="n">
        <x:f>H186</x:f>
        <x:v>3646037.89</x:v>
      </x:c>
      <x:c r="E187" s="30" t="n">
        <x:f>ROUND(D187*I187,2)</x:f>
        <x:v>23224.76</x:v>
      </x:c>
      <x:c r="F187" s="30" t="n">
        <x:f>0</x:f>
        <x:v>0</x:v>
      </x:c>
      <x:c r="G187" s="30" t="n">
        <x:f>ROUND(E187+F187,2)</x:f>
        <x:v>23224.76</x:v>
      </x:c>
      <x:c r="H187" s="30" t="n">
        <x:f>ROUND(D187-F187,2)</x:f>
        <x:v>3646037.89</x:v>
      </x:c>
      <x:c r="I187" s="33" t="n">
        <x:f>IF(AND(ISNUMBER('Параметры'!$C$7),'Параметры'!$C$7&gt;=0),'Параметры'!$C$7*C187/365,NA())</x:f>
        <x:v>0.00636986301369863</x:v>
      </x:c>
      <x:c r="J187" s="32" t="n">
        <x:f>J186/(1+I187)</x:f>
        <x:v>0.3240609513442777</x:v>
      </x:c>
      <x:c r="K187" s="33" t="n">
        <x:f>IF(AND(ISNUMBER('Параметры'!$C$8),'Параметры'!$C$8&gt;=0),'Параметры'!$C$8*C187/365,NA())</x:f>
        <x:v>0.00636986301369863</x:v>
      </x:c>
      <x:c r="L187" s="32" t="n">
        <x:f>L186/(1+K187)</x:f>
        <x:v>0.3240609513442777</x:v>
      </x:c>
      <x:c r="M187" s="30" t="n">
        <x:f>E187*L187</x:f>
        <x:v>7526.237820342527</x:v>
      </x:c>
      <x:c r="N187" s="30" t="n">
        <x:f>F187*L187</x:f>
        <x:v>0</x:v>
      </x:c>
      <x:c r="O187" s="30" t="n">
        <x:f>G187*L187</x:f>
        <x:v>7526.237820342527</x:v>
      </x:c>
    </x:row>
    <x:row r="188" ht="21" customHeight="1">
      <x:c r="A188" s="28" t="n">
        <x:v>182</x:v>
      </x:c>
      <x:c r="B188" s="29" t="n">
        <x:v>50335</x:v>
      </x:c>
      <x:c r="C188" s="28" t="n">
        <x:f>B188-B187</x:f>
        <x:v>30</x:v>
      </x:c>
      <x:c r="D188" s="30" t="n">
        <x:f>H187</x:f>
        <x:v>3646037.89</x:v>
      </x:c>
      <x:c r="E188" s="30" t="n">
        <x:f>ROUND(D188*I188,2)</x:f>
        <x:v>22475.58</x:v>
      </x:c>
      <x:c r="F188" s="30" t="n">
        <x:f>0</x:f>
        <x:v>0</x:v>
      </x:c>
      <x:c r="G188" s="30" t="n">
        <x:f>ROUND(E188+F188,2)</x:f>
        <x:v>22475.58</x:v>
      </x:c>
      <x:c r="H188" s="30" t="n">
        <x:f>ROUND(D188-F188,2)</x:f>
        <x:v>3646037.89</x:v>
      </x:c>
      <x:c r="I188" s="33" t="n">
        <x:f>IF(AND(ISNUMBER('Параметры'!$C$7),'Параметры'!$C$7&gt;=0),'Параметры'!$C$7*C188/365,NA())</x:f>
        <x:v>0.0061643835616438354</x:v>
      </x:c>
      <x:c r="J188" s="32" t="n">
        <x:f>J187/(1+I188)</x:f>
        <x:v>0.32207555409301936</x:v>
      </x:c>
      <x:c r="K188" s="33" t="n">
        <x:f>IF(AND(ISNUMBER('Параметры'!$C$8),'Параметры'!$C$8&gt;=0),'Параметры'!$C$8*C188/365,NA())</x:f>
        <x:v>0.0061643835616438354</x:v>
      </x:c>
      <x:c r="L188" s="32" t="n">
        <x:f>L187/(1+K188)</x:f>
        <x:v>0.32207555409301936</x:v>
      </x:c>
      <x:c r="M188" s="30" t="n">
        <x:f>E188*L188</x:f>
        <x:v>7238.834882061985</x:v>
      </x:c>
      <x:c r="N188" s="30" t="n">
        <x:f>F188*L188</x:f>
        <x:v>0</x:v>
      </x:c>
      <x:c r="O188" s="30" t="n">
        <x:f>G188*L188</x:f>
        <x:v>7238.834882061985</x:v>
      </x:c>
    </x:row>
    <x:row r="189" ht="21" customHeight="1">
      <x:c r="A189" s="28" t="n">
        <x:v>183</x:v>
      </x:c>
      <x:c r="B189" s="29" t="n">
        <x:v>50366</x:v>
      </x:c>
      <x:c r="C189" s="28" t="n">
        <x:f>B189-B188</x:f>
        <x:v>31</x:v>
      </x:c>
      <x:c r="D189" s="30" t="n">
        <x:f>H188</x:f>
        <x:v>3646037.89</x:v>
      </x:c>
      <x:c r="E189" s="30" t="n">
        <x:f>ROUND(D189*I189,2)</x:f>
        <x:v>23224.76</x:v>
      </x:c>
      <x:c r="F189" s="30" t="n">
        <x:f>0</x:f>
        <x:v>0</x:v>
      </x:c>
      <x:c r="G189" s="30" t="n">
        <x:f>ROUND(E189+F189,2)</x:f>
        <x:v>23224.76</x:v>
      </x:c>
      <x:c r="H189" s="30" t="n">
        <x:f>ROUND(D189-F189,2)</x:f>
        <x:v>3646037.89</x:v>
      </x:c>
      <x:c r="I189" s="33" t="n">
        <x:f>IF(AND(ISNUMBER('Параметры'!$C$7),'Параметры'!$C$7&gt;=0),'Параметры'!$C$7*C189/365,NA())</x:f>
        <x:v>0.00636986301369863</x:v>
      </x:c>
      <x:c r="J189" s="32" t="n">
        <x:f>J188/(1+I189)</x:f>
        <x:v>0.3200369624826845</x:v>
      </x:c>
      <x:c r="K189" s="33" t="n">
        <x:f>IF(AND(ISNUMBER('Параметры'!$C$8),'Параметры'!$C$8&gt;=0),'Параметры'!$C$8*C189/365,NA())</x:f>
        <x:v>0.00636986301369863</x:v>
      </x:c>
      <x:c r="L189" s="32" t="n">
        <x:f>L188/(1+K189)</x:f>
        <x:v>0.3200369624826845</x:v>
      </x:c>
      <x:c r="M189" s="30" t="n">
        <x:f>E189*L189</x:f>
        <x:v>7432.781644789351</x:v>
      </x:c>
      <x:c r="N189" s="30" t="n">
        <x:f>F189*L189</x:f>
        <x:v>0</x:v>
      </x:c>
      <x:c r="O189" s="30" t="n">
        <x:f>G189*L189</x:f>
        <x:v>7432.781644789351</x:v>
      </x:c>
    </x:row>
    <x:row r="190" ht="21" customHeight="1">
      <x:c r="A190" s="28" t="n">
        <x:v>184</x:v>
      </x:c>
      <x:c r="B190" s="29" t="n">
        <x:v>50396</x:v>
      </x:c>
      <x:c r="C190" s="28" t="n">
        <x:f>B190-B189</x:f>
        <x:v>30</x:v>
      </x:c>
      <x:c r="D190" s="30" t="n">
        <x:f>H189</x:f>
        <x:v>3646037.89</x:v>
      </x:c>
      <x:c r="E190" s="30" t="n">
        <x:f>ROUND(D190*I190,2)</x:f>
        <x:v>22475.58</x:v>
      </x:c>
      <x:c r="F190" s="30" t="n">
        <x:f>0</x:f>
        <x:v>0</x:v>
      </x:c>
      <x:c r="G190" s="30" t="n">
        <x:f>ROUND(E190+F190,2)</x:f>
        <x:v>22475.58</x:v>
      </x:c>
      <x:c r="H190" s="30" t="n">
        <x:f>ROUND(D190-F190,2)</x:f>
        <x:v>3646037.89</x:v>
      </x:c>
      <x:c r="I190" s="33" t="n">
        <x:f>IF(AND(ISNUMBER('Параметры'!$C$7),'Параметры'!$C$7&gt;=0),'Параметры'!$C$7*C190/365,NA())</x:f>
        <x:v>0.0061643835616438354</x:v>
      </x:c>
      <x:c r="J190" s="32" t="n">
        <x:f>J189/(1+I190)</x:f>
        <x:v>0.3180762186689716</x:v>
      </x:c>
      <x:c r="K190" s="33" t="n">
        <x:f>IF(AND(ISNUMBER('Параметры'!$C$8),'Параметры'!$C$8&gt;=0),'Параметры'!$C$8*C190/365,NA())</x:f>
        <x:v>0.0061643835616438354</x:v>
      </x:c>
      <x:c r="L190" s="32" t="n">
        <x:f>L189/(1+K190)</x:f>
        <x:v>0.3180762186689716</x:v>
      </x:c>
      <x:c r="M190" s="30" t="n">
        <x:f>E190*L190</x:f>
        <x:v>7148.947498791966</x:v>
      </x:c>
      <x:c r="N190" s="30" t="n">
        <x:f>F190*L190</x:f>
        <x:v>0</x:v>
      </x:c>
      <x:c r="O190" s="30" t="n">
        <x:f>G190*L190</x:f>
        <x:v>7148.947498791966</x:v>
      </x:c>
    </x:row>
    <x:row r="191" ht="21" customHeight="1">
      <x:c r="A191" s="28" t="n">
        <x:v>185</x:v>
      </x:c>
      <x:c r="B191" s="29" t="n">
        <x:v>50427</x:v>
      </x:c>
      <x:c r="C191" s="28" t="n">
        <x:f>B191-B190</x:f>
        <x:v>31</x:v>
      </x:c>
      <x:c r="D191" s="30" t="n">
        <x:f>H190</x:f>
        <x:v>3646037.89</x:v>
      </x:c>
      <x:c r="E191" s="30" t="n">
        <x:f>ROUND(D191*I191,2)</x:f>
        <x:v>23224.76</x:v>
      </x:c>
      <x:c r="F191" s="30" t="n">
        <x:f>0</x:f>
        <x:v>0</x:v>
      </x:c>
      <x:c r="G191" s="30" t="n">
        <x:f>ROUND(E191+F191,2)</x:f>
        <x:v>23224.76</x:v>
      </x:c>
      <x:c r="H191" s="30" t="n">
        <x:f>ROUND(D191-F191,2)</x:f>
        <x:v>3646037.89</x:v>
      </x:c>
      <x:c r="I191" s="33" t="n">
        <x:f>IF(AND(ISNUMBER('Параметры'!$C$7),'Параметры'!$C$7&gt;=0),'Параметры'!$C$7*C191/365,NA())</x:f>
        <x:v>0.00636986301369863</x:v>
      </x:c>
      <x:c r="J191" s="32" t="n">
        <x:f>J190/(1+I191)</x:f>
        <x:v>0.3160629410308981</x:v>
      </x:c>
      <x:c r="K191" s="33" t="n">
        <x:f>IF(AND(ISNUMBER('Параметры'!$C$8),'Параметры'!$C$8&gt;=0),'Параметры'!$C$8*C191/365,NA())</x:f>
        <x:v>0.00636986301369863</x:v>
      </x:c>
      <x:c r="L191" s="32" t="n">
        <x:f>L190/(1+K191)</x:f>
        <x:v>0.3160629410308981</x:v>
      </x:c>
      <x:c r="M191" s="30" t="n">
        <x:f>E191*L191</x:f>
        <x:v>7340.485950336761</x:v>
      </x:c>
      <x:c r="N191" s="30" t="n">
        <x:f>F191*L191</x:f>
        <x:v>0</x:v>
      </x:c>
      <x:c r="O191" s="30" t="n">
        <x:f>G191*L191</x:f>
        <x:v>7340.485950336761</x:v>
      </x:c>
    </x:row>
    <x:row r="192" ht="21" customHeight="1">
      <x:c r="A192" s="28" t="n">
        <x:v>186</x:v>
      </x:c>
      <x:c r="B192" s="29" t="n">
        <x:v>50458</x:v>
      </x:c>
      <x:c r="C192" s="28" t="n">
        <x:f>B192-B191</x:f>
        <x:v>31</x:v>
      </x:c>
      <x:c r="D192" s="30" t="n">
        <x:f>H191</x:f>
        <x:v>3646037.89</x:v>
      </x:c>
      <x:c r="E192" s="30" t="n">
        <x:f>ROUND(D192*I192,2)</x:f>
        <x:v>23224.76</x:v>
      </x:c>
      <x:c r="F192" s="30" t="n">
        <x:f>0</x:f>
        <x:v>0</x:v>
      </x:c>
      <x:c r="G192" s="30" t="n">
        <x:f>ROUND(E192+F192,2)</x:f>
        <x:v>23224.76</x:v>
      </x:c>
      <x:c r="H192" s="30" t="n">
        <x:f>ROUND(D192-F192,2)</x:f>
        <x:v>3646037.89</x:v>
      </x:c>
      <x:c r="I192" s="33" t="n">
        <x:f>IF(AND(ISNUMBER('Параметры'!$C$7),'Параметры'!$C$7&gt;=0),'Параметры'!$C$7*C192/365,NA())</x:f>
        <x:v>0.00636986301369863</x:v>
      </x:c>
      <x:c r="J192" s="32" t="n">
        <x:f>J191/(1+I192)</x:f>
        <x:v>0.3140624065235903</x:v>
      </x:c>
      <x:c r="K192" s="33" t="n">
        <x:f>IF(AND(ISNUMBER('Параметры'!$C$8),'Параметры'!$C$8&gt;=0),'Параметры'!$C$8*C192/365,NA())</x:f>
        <x:v>0.00636986301369863</x:v>
      </x:c>
      <x:c r="L192" s="32" t="n">
        <x:f>L191/(1+K192)</x:f>
        <x:v>0.3140624065235903</x:v>
      </x:c>
      <x:c r="M192" s="30" t="n">
        <x:f>E192*L192</x:f>
        <x:v>7294.024016532819</x:v>
      </x:c>
      <x:c r="N192" s="30" t="n">
        <x:f>F192*L192</x:f>
        <x:v>0</x:v>
      </x:c>
      <x:c r="O192" s="30" t="n">
        <x:f>G192*L192</x:f>
        <x:v>7294.024016532819</x:v>
      </x:c>
    </x:row>
    <x:row r="193" ht="21" customHeight="1">
      <x:c r="A193" s="28" t="n">
        <x:v>187</x:v>
      </x:c>
      <x:c r="B193" s="29" t="n">
        <x:v>50486</x:v>
      </x:c>
      <x:c r="C193" s="28" t="n">
        <x:f>B193-B192</x:f>
        <x:v>28</x:v>
      </x:c>
      <x:c r="D193" s="30" t="n">
        <x:f>H192</x:f>
        <x:v>3646037.89</x:v>
      </x:c>
      <x:c r="E193" s="30" t="n">
        <x:f>ROUND(D193*I193,2)</x:f>
        <x:v>20977.2</x:v>
      </x:c>
      <x:c r="F193" s="30" t="n">
        <x:f>0</x:f>
        <x:v>0</x:v>
      </x:c>
      <x:c r="G193" s="30" t="n">
        <x:f>ROUND(E193+F193,2)</x:f>
        <x:v>20977.2</x:v>
      </x:c>
      <x:c r="H193" s="30" t="n">
        <x:f>ROUND(D193-F193,2)</x:f>
        <x:v>3646037.89</x:v>
      </x:c>
      <x:c r="I193" s="33" t="n">
        <x:f>IF(AND(ISNUMBER('Параметры'!$C$7),'Параметры'!$C$7&gt;=0),'Параметры'!$C$7*C193/365,NA())</x:f>
        <x:v>0.005753424657534247</x:v>
      </x:c>
      <x:c r="J193" s="32" t="n">
        <x:f>J192/(1+I193)</x:f>
        <x:v>0.3122658087199958</x:v>
      </x:c>
      <x:c r="K193" s="33" t="n">
        <x:f>IF(AND(ISNUMBER('Параметры'!$C$8),'Параметры'!$C$8&gt;=0),'Параметры'!$C$8*C193/365,NA())</x:f>
        <x:v>0.005753424657534247</x:v>
      </x:c>
      <x:c r="L193" s="32" t="n">
        <x:f>L192/(1+K193)</x:f>
        <x:v>0.3122658087199958</x:v>
      </x:c>
      <x:c r="M193" s="30" t="n">
        <x:f>E193*L193</x:f>
        <x:v>6550.462322681096</x:v>
      </x:c>
      <x:c r="N193" s="30" t="n">
        <x:f>F193*L193</x:f>
        <x:v>0</x:v>
      </x:c>
      <x:c r="O193" s="30" t="n">
        <x:f>G193*L193</x:f>
        <x:v>6550.462322681096</x:v>
      </x:c>
    </x:row>
    <x:row r="194" ht="21" customHeight="1">
      <x:c r="A194" s="28" t="n">
        <x:v>188</x:v>
      </x:c>
      <x:c r="B194" s="29" t="n">
        <x:v>50517</x:v>
      </x:c>
      <x:c r="C194" s="28" t="n">
        <x:f>B194-B193</x:f>
        <x:v>31</x:v>
      </x:c>
      <x:c r="D194" s="30" t="n">
        <x:f>H193</x:f>
        <x:v>3646037.89</x:v>
      </x:c>
      <x:c r="E194" s="30" t="n">
        <x:f>ROUND(D194*I194,2)</x:f>
        <x:v>23224.76</x:v>
      </x:c>
      <x:c r="F194" s="30" t="n">
        <x:f>0</x:f>
        <x:v>0</x:v>
      </x:c>
      <x:c r="G194" s="30" t="n">
        <x:f>ROUND(E194+F194,2)</x:f>
        <x:v>23224.76</x:v>
      </x:c>
      <x:c r="H194" s="30" t="n">
        <x:f>ROUND(D194-F194,2)</x:f>
        <x:v>3646037.89</x:v>
      </x:c>
      <x:c r="I194" s="33" t="n">
        <x:f>IF(AND(ISNUMBER('Параметры'!$C$7),'Параметры'!$C$7&gt;=0),'Параметры'!$C$7*C194/365,NA())</x:f>
        <x:v>0.00636986301369863</x:v>
      </x:c>
      <x:c r="J194" s="32" t="n">
        <x:f>J193/(1+I194)</x:f>
        <x:v>0.3102893083313101</x:v>
      </x:c>
      <x:c r="K194" s="33" t="n">
        <x:f>IF(AND(ISNUMBER('Параметры'!$C$8),'Параметры'!$C$8&gt;=0),'Параметры'!$C$8*C194/365,NA())</x:f>
        <x:v>0.00636986301369863</x:v>
      </x:c>
      <x:c r="L194" s="32" t="n">
        <x:f>L193/(1+K194)</x:f>
        <x:v>0.3102893083313101</x:v>
      </x:c>
      <x:c r="M194" s="30" t="n">
        <x:f>E194*L194</x:f>
        <x:v>7206.394716560677</x:v>
      </x:c>
      <x:c r="N194" s="30" t="n">
        <x:f>F194*L194</x:f>
        <x:v>0</x:v>
      </x:c>
      <x:c r="O194" s="30" t="n">
        <x:f>G194*L194</x:f>
        <x:v>7206.394716560677</x:v>
      </x:c>
    </x:row>
    <x:row r="195" ht="21" customHeight="1">
      <x:c r="A195" s="28" t="n">
        <x:v>189</x:v>
      </x:c>
      <x:c r="B195" s="29" t="n">
        <x:v>50547</x:v>
      </x:c>
      <x:c r="C195" s="28" t="n">
        <x:f>B195-B194</x:f>
        <x:v>30</x:v>
      </x:c>
      <x:c r="D195" s="30" t="n">
        <x:f>H194</x:f>
        <x:v>3646037.89</x:v>
      </x:c>
      <x:c r="E195" s="30" t="n">
        <x:f>ROUND(D195*I195,2)</x:f>
        <x:v>22475.58</x:v>
      </x:c>
      <x:c r="F195" s="30" t="n">
        <x:f>0</x:f>
        <x:v>0</x:v>
      </x:c>
      <x:c r="G195" s="30" t="n">
        <x:f>ROUND(E195+F195,2)</x:f>
        <x:v>22475.58</x:v>
      </x:c>
      <x:c r="H195" s="30" t="n">
        <x:f>ROUND(D195-F195,2)</x:f>
        <x:v>3646037.89</x:v>
      </x:c>
      <x:c r="I195" s="33" t="n">
        <x:f>IF(AND(ISNUMBER('Параметры'!$C$7),'Параметры'!$C$7&gt;=0),'Параметры'!$C$7*C195/365,NA())</x:f>
        <x:v>0.0061643835616438354</x:v>
      </x:c>
      <x:c r="J195" s="32" t="n">
        <x:f>J194/(1+I195)</x:f>
        <x:v>0.3083882846587561</x:v>
      </x:c>
      <x:c r="K195" s="33" t="n">
        <x:f>IF(AND(ISNUMBER('Параметры'!$C$8),'Параметры'!$C$8&gt;=0),'Параметры'!$C$8*C195/365,NA())</x:f>
        <x:v>0.0061643835616438354</x:v>
      </x:c>
      <x:c r="L195" s="32" t="n">
        <x:f>L194/(1+K195)</x:f>
        <x:v>0.3083882846587561</x:v>
      </x:c>
      <x:c r="M195" s="30" t="n">
        <x:f>E195*L195</x:f>
        <x:v>6931.205562910646</x:v>
      </x:c>
      <x:c r="N195" s="30" t="n">
        <x:f>F195*L195</x:f>
        <x:v>0</x:v>
      </x:c>
      <x:c r="O195" s="30" t="n">
        <x:f>G195*L195</x:f>
        <x:v>6931.205562910646</x:v>
      </x:c>
    </x:row>
    <x:row r="196" ht="21" customHeight="1">
      <x:c r="A196" s="28" t="n">
        <x:v>190</x:v>
      </x:c>
      <x:c r="B196" s="29" t="n">
        <x:v>50578</x:v>
      </x:c>
      <x:c r="C196" s="28" t="n">
        <x:f>B196-B195</x:f>
        <x:v>31</x:v>
      </x:c>
      <x:c r="D196" s="30" t="n">
        <x:f>H195</x:f>
        <x:v>3646037.89</x:v>
      </x:c>
      <x:c r="E196" s="30" t="n">
        <x:f>ROUND(D196*I196,2)</x:f>
        <x:v>23224.76</x:v>
      </x:c>
      <x:c r="F196" s="30" t="n">
        <x:f>0</x:f>
        <x:v>0</x:v>
      </x:c>
      <x:c r="G196" s="30" t="n">
        <x:f>ROUND(E196+F196,2)</x:f>
        <x:v>23224.76</x:v>
      </x:c>
      <x:c r="H196" s="30" t="n">
        <x:f>ROUND(D196-F196,2)</x:f>
        <x:v>3646037.89</x:v>
      </x:c>
      <x:c r="I196" s="33" t="n">
        <x:f>IF(AND(ISNUMBER('Параметры'!$C$7),'Параметры'!$C$7&gt;=0),'Параметры'!$C$7*C196/365,NA())</x:f>
        <x:v>0.00636986301369863</x:v>
      </x:c>
      <x:c r="J196" s="32" t="n">
        <x:f>J195/(1+I196)</x:f>
        <x:v>0.3064363272318682</x:v>
      </x:c>
      <x:c r="K196" s="33" t="n">
        <x:f>IF(AND(ISNUMBER('Параметры'!$C$8),'Параметры'!$C$8&gt;=0),'Параметры'!$C$8*C196/365,NA())</x:f>
        <x:v>0.00636986301369863</x:v>
      </x:c>
      <x:c r="L196" s="32" t="n">
        <x:f>L195/(1+K196)</x:f>
        <x:v>0.3064363272318682</x:v>
      </x:c>
      <x:c r="M196" s="30" t="n">
        <x:f>E196*L196</x:f>
        <x:v>7116.910155241603</x:v>
      </x:c>
      <x:c r="N196" s="30" t="n">
        <x:f>F196*L196</x:f>
        <x:v>0</x:v>
      </x:c>
      <x:c r="O196" s="30" t="n">
        <x:f>G196*L196</x:f>
        <x:v>7116.910155241603</x:v>
      </x:c>
    </x:row>
    <x:row r="197" ht="21" customHeight="1">
      <x:c r="A197" s="28" t="n">
        <x:v>191</x:v>
      </x:c>
      <x:c r="B197" s="29" t="n">
        <x:v>50608</x:v>
      </x:c>
      <x:c r="C197" s="28" t="n">
        <x:f>B197-B196</x:f>
        <x:v>30</x:v>
      </x:c>
      <x:c r="D197" s="30" t="n">
        <x:f>H196</x:f>
        <x:v>3646037.89</x:v>
      </x:c>
      <x:c r="E197" s="30" t="n">
        <x:f>ROUND(D197*I197,2)</x:f>
        <x:v>22475.58</x:v>
      </x:c>
      <x:c r="F197" s="30" t="n">
        <x:f>0</x:f>
        <x:v>0</x:v>
      </x:c>
      <x:c r="G197" s="30" t="n">
        <x:f>ROUND(E197+F197,2)</x:f>
        <x:v>22475.58</x:v>
      </x:c>
      <x:c r="H197" s="30" t="n">
        <x:f>ROUND(D197-F197,2)</x:f>
        <x:v>3646037.89</x:v>
      </x:c>
      <x:c r="I197" s="33" t="n">
        <x:f>IF(AND(ISNUMBER('Параметры'!$C$7),'Параметры'!$C$7&gt;=0),'Параметры'!$C$7*C197/365,NA())</x:f>
        <x:v>0.0061643835616438354</x:v>
      </x:c>
      <x:c r="J197" s="32" t="n">
        <x:f>J196/(1+I197)</x:f>
        <x:v>0.3045589092978404</x:v>
      </x:c>
      <x:c r="K197" s="33" t="n">
        <x:f>IF(AND(ISNUMBER('Параметры'!$C$8),'Параметры'!$C$8&gt;=0),'Параметры'!$C$8*C197/365,NA())</x:f>
        <x:v>0.0061643835616438354</x:v>
      </x:c>
      <x:c r="L197" s="32" t="n">
        <x:f>L196/(1+K197)</x:f>
        <x:v>0.3045589092978404</x:v>
      </x:c>
      <x:c r="M197" s="30" t="n">
        <x:f>E197*L197</x:f>
        <x:v>6845.138130636356</x:v>
      </x:c>
      <x:c r="N197" s="30" t="n">
        <x:f>F197*L197</x:f>
        <x:v>0</x:v>
      </x:c>
      <x:c r="O197" s="30" t="n">
        <x:f>G197*L197</x:f>
        <x:v>6845.138130636356</x:v>
      </x:c>
    </x:row>
    <x:row r="198" ht="21" customHeight="1">
      <x:c r="A198" s="28" t="n">
        <x:v>192</x:v>
      </x:c>
      <x:c r="B198" s="29" t="n">
        <x:v>50639</x:v>
      </x:c>
      <x:c r="C198" s="28" t="n">
        <x:f>B198-B197</x:f>
        <x:v>31</x:v>
      </x:c>
      <x:c r="D198" s="30" t="n">
        <x:f>H197</x:f>
        <x:v>3646037.89</x:v>
      </x:c>
      <x:c r="E198" s="30" t="n">
        <x:f>ROUND(D198*I198,2)</x:f>
        <x:v>23224.76</x:v>
      </x:c>
      <x:c r="F198" s="30" t="n">
        <x:f>0</x:f>
        <x:v>0</x:v>
      </x:c>
      <x:c r="G198" s="30" t="n">
        <x:f>ROUND(E198+F198,2)</x:f>
        <x:v>23224.76</x:v>
      </x:c>
      <x:c r="H198" s="30" t="n">
        <x:f>ROUND(D198-F198,2)</x:f>
        <x:v>3646037.89</x:v>
      </x:c>
      <x:c r="I198" s="33" t="n">
        <x:f>IF(AND(ISNUMBER('Параметры'!$C$7),'Параметры'!$C$7&gt;=0),'Параметры'!$C$7*C198/365,NA())</x:f>
        <x:v>0.00636986301369863</x:v>
      </x:c>
      <x:c r="J198" s="32" t="n">
        <x:f>J197/(1+I198)</x:f>
        <x:v>0.3026311900734003</x:v>
      </x:c>
      <x:c r="K198" s="33" t="n">
        <x:f>IF(AND(ISNUMBER('Параметры'!$C$8),'Параметры'!$C$8&gt;=0),'Параметры'!$C$8*C198/365,NA())</x:f>
        <x:v>0.00636986301369863</x:v>
      </x:c>
      <x:c r="L198" s="32" t="n">
        <x:f>L197/(1+K198)</x:f>
        <x:v>0.3026311900734003</x:v>
      </x:c>
      <x:c r="M198" s="30" t="n">
        <x:f>E198*L198</x:f>
        <x:v>7028.536757969104</x:v>
      </x:c>
      <x:c r="N198" s="30" t="n">
        <x:f>F198*L198</x:f>
        <x:v>0</x:v>
      </x:c>
      <x:c r="O198" s="30" t="n">
        <x:f>G198*L198</x:f>
        <x:v>7028.536757969104</x:v>
      </x:c>
    </x:row>
    <x:row r="199" ht="21" customHeight="1">
      <x:c r="A199" s="28" t="n">
        <x:v>193</x:v>
      </x:c>
      <x:c r="B199" s="29" t="n">
        <x:v>50670</x:v>
      </x:c>
      <x:c r="C199" s="28" t="n">
        <x:f>B199-B198</x:f>
        <x:v>31</x:v>
      </x:c>
      <x:c r="D199" s="30" t="n">
        <x:f>H198</x:f>
        <x:v>3646037.89</x:v>
      </x:c>
      <x:c r="E199" s="30" t="n">
        <x:f>ROUND(D199*I199,2)</x:f>
        <x:v>23224.76</x:v>
      </x:c>
      <x:c r="F199" s="30" t="n">
        <x:f>0</x:f>
        <x:v>0</x:v>
      </x:c>
      <x:c r="G199" s="30" t="n">
        <x:f>ROUND(E199+F199,2)</x:f>
        <x:v>23224.76</x:v>
      </x:c>
      <x:c r="H199" s="30" t="n">
        <x:f>ROUND(D199-F199,2)</x:f>
        <x:v>3646037.89</x:v>
      </x:c>
      <x:c r="I199" s="33" t="n">
        <x:f>IF(AND(ISNUMBER('Параметры'!$C$7),'Параметры'!$C$7&gt;=0),'Параметры'!$C$7*C199/365,NA())</x:f>
        <x:v>0.00636986301369863</x:v>
      </x:c>
      <x:c r="J199" s="32" t="n">
        <x:f>J198/(1+I199)</x:f>
        <x:v>0.30071567243392394</x:v>
      </x:c>
      <x:c r="K199" s="33" t="n">
        <x:f>IF(AND(ISNUMBER('Параметры'!$C$8),'Параметры'!$C$8&gt;=0),'Параметры'!$C$8*C199/365,NA())</x:f>
        <x:v>0.00636986301369863</x:v>
      </x:c>
      <x:c r="L199" s="32" t="n">
        <x:f>L198/(1+K199)</x:f>
        <x:v>0.30071567243392394</x:v>
      </x:c>
      <x:c r="M199" s="30" t="n">
        <x:f>E199*L199</x:f>
        <x:v>6984.0493205164985</x:v>
      </x:c>
      <x:c r="N199" s="30" t="n">
        <x:f>F199*L199</x:f>
        <x:v>0</x:v>
      </x:c>
      <x:c r="O199" s="30" t="n">
        <x:f>G199*L199</x:f>
        <x:v>6984.0493205164985</x:v>
      </x:c>
    </x:row>
    <x:row r="200" ht="21" customHeight="1">
      <x:c r="A200" s="28" t="n">
        <x:v>194</x:v>
      </x:c>
      <x:c r="B200" s="29" t="n">
        <x:v>50700</x:v>
      </x:c>
      <x:c r="C200" s="28" t="n">
        <x:f>B200-B199</x:f>
        <x:v>30</x:v>
      </x:c>
      <x:c r="D200" s="30" t="n">
        <x:f>H199</x:f>
        <x:v>3646037.89</x:v>
      </x:c>
      <x:c r="E200" s="30" t="n">
        <x:f>ROUND(D200*I200,2)</x:f>
        <x:v>22475.58</x:v>
      </x:c>
      <x:c r="F200" s="30" t="n">
        <x:f>0</x:f>
        <x:v>0</x:v>
      </x:c>
      <x:c r="G200" s="30" t="n">
        <x:f>ROUND(E200+F200,2)</x:f>
        <x:v>22475.58</x:v>
      </x:c>
      <x:c r="H200" s="30" t="n">
        <x:f>ROUND(D200-F200,2)</x:f>
        <x:v>3646037.89</x:v>
      </x:c>
      <x:c r="I200" s="33" t="n">
        <x:f>IF(AND(ISNUMBER('Параметры'!$C$7),'Параметры'!$C$7&gt;=0),'Параметры'!$C$7*C200/365,NA())</x:f>
        <x:v>0.0061643835616438354</x:v>
      </x:c>
      <x:c r="J200" s="32" t="n">
        <x:f>J199/(1+I200)</x:f>
        <x:v>0.29887330275937984</x:v>
      </x:c>
      <x:c r="K200" s="33" t="n">
        <x:f>IF(AND(ISNUMBER('Параметры'!$C$8),'Параметры'!$C$8&gt;=0),'Параметры'!$C$8*C200/365,NA())</x:f>
        <x:v>0.0061643835616438354</x:v>
      </x:c>
      <x:c r="L200" s="32" t="n">
        <x:f>L199/(1+K200)</x:f>
        <x:v>0.29887330275937984</x:v>
      </x:c>
      <x:c r="M200" s="30" t="n">
        <x:f>E200*L200</x:f>
        <x:v>6717.350826032663</x:v>
      </x:c>
      <x:c r="N200" s="30" t="n">
        <x:f>F200*L200</x:f>
        <x:v>0</x:v>
      </x:c>
      <x:c r="O200" s="30" t="n">
        <x:f>G200*L200</x:f>
        <x:v>6717.350826032663</x:v>
      </x:c>
    </x:row>
    <x:row r="201" ht="21" customHeight="1">
      <x:c r="A201" s="28" t="n">
        <x:v>195</x:v>
      </x:c>
      <x:c r="B201" s="29" t="n">
        <x:v>50731</x:v>
      </x:c>
      <x:c r="C201" s="28" t="n">
        <x:f>B201-B200</x:f>
        <x:v>31</x:v>
      </x:c>
      <x:c r="D201" s="30" t="n">
        <x:f>H200</x:f>
        <x:v>3646037.89</x:v>
      </x:c>
      <x:c r="E201" s="30" t="n">
        <x:f>ROUND(D201*I201,2)</x:f>
        <x:v>23224.76</x:v>
      </x:c>
      <x:c r="F201" s="30" t="n">
        <x:f>0</x:f>
        <x:v>0</x:v>
      </x:c>
      <x:c r="G201" s="30" t="n">
        <x:f>ROUND(E201+F201,2)</x:f>
        <x:v>23224.76</x:v>
      </x:c>
      <x:c r="H201" s="30" t="n">
        <x:f>ROUND(D201-F201,2)</x:f>
        <x:v>3646037.89</x:v>
      </x:c>
      <x:c r="I201" s="33" t="n">
        <x:f>IF(AND(ISNUMBER('Параметры'!$C$7),'Параметры'!$C$7&gt;=0),'Параметры'!$C$7*C201/365,NA())</x:f>
        <x:v>0.00636986301369863</x:v>
      </x:c>
      <x:c r="J201" s="32" t="n">
        <x:f>J200/(1+I201)</x:f>
        <x:v>0.29698157083556426</x:v>
      </x:c>
      <x:c r="K201" s="33" t="n">
        <x:f>IF(AND(ISNUMBER('Параметры'!$C$8),'Параметры'!$C$8&gt;=0),'Параметры'!$C$8*C201/365,NA())</x:f>
        <x:v>0.00636986301369863</x:v>
      </x:c>
      <x:c r="L201" s="32" t="n">
        <x:f>L200/(1+K201)</x:f>
        <x:v>0.29698157083556426</x:v>
      </x:c>
      <x:c r="M201" s="30" t="n">
        <x:f>E201*L201</x:f>
        <x:v>6897.325707078979</x:v>
      </x:c>
      <x:c r="N201" s="30" t="n">
        <x:f>F201*L201</x:f>
        <x:v>0</x:v>
      </x:c>
      <x:c r="O201" s="30" t="n">
        <x:f>G201*L201</x:f>
        <x:v>6897.325707078979</x:v>
      </x:c>
    </x:row>
    <x:row r="202" ht="21" customHeight="1">
      <x:c r="A202" s="28" t="n">
        <x:v>196</x:v>
      </x:c>
      <x:c r="B202" s="29" t="n">
        <x:v>50761</x:v>
      </x:c>
      <x:c r="C202" s="28" t="n">
        <x:f>B202-B201</x:f>
        <x:v>30</x:v>
      </x:c>
      <x:c r="D202" s="30" t="n">
        <x:f>H201</x:f>
        <x:v>3646037.89</x:v>
      </x:c>
      <x:c r="E202" s="30" t="n">
        <x:f>ROUND(D202*I202,2)</x:f>
        <x:v>22475.58</x:v>
      </x:c>
      <x:c r="F202" s="30" t="n">
        <x:f>0</x:f>
        <x:v>0</x:v>
      </x:c>
      <x:c r="G202" s="30" t="n">
        <x:f>ROUND(E202+F202,2)</x:f>
        <x:v>22475.58</x:v>
      </x:c>
      <x:c r="H202" s="30" t="n">
        <x:f>ROUND(D202-F202,2)</x:f>
        <x:v>3646037.89</x:v>
      </x:c>
      <x:c r="I202" s="33" t="n">
        <x:f>IF(AND(ISNUMBER('Параметры'!$C$7),'Параметры'!$C$7&gt;=0),'Параметры'!$C$7*C202/365,NA())</x:f>
        <x:v>0.0061643835616438354</x:v>
      </x:c>
      <x:c r="J202" s="32" t="n">
        <x:f>J201/(1+I202)</x:f>
        <x:v>0.2951620785704042</x:v>
      </x:c>
      <x:c r="K202" s="33" t="n">
        <x:f>IF(AND(ISNUMBER('Параметры'!$C$8),'Параметры'!$C$8&gt;=0),'Параметры'!$C$8*C202/365,NA())</x:f>
        <x:v>0.0061643835616438354</x:v>
      </x:c>
      <x:c r="L202" s="32" t="n">
        <x:f>L201/(1+K202)</x:f>
        <x:v>0.2951620785704042</x:v>
      </x:c>
      <x:c r="M202" s="30" t="n">
        <x:f>E202*L202</x:f>
        <x:v>6633.938909875406</x:v>
      </x:c>
      <x:c r="N202" s="30" t="n">
        <x:f>F202*L202</x:f>
        <x:v>0</x:v>
      </x:c>
      <x:c r="O202" s="30" t="n">
        <x:f>G202*L202</x:f>
        <x:v>6633.938909875406</x:v>
      </x:c>
    </x:row>
    <x:row r="203" ht="21" customHeight="1">
      <x:c r="A203" s="28" t="n">
        <x:v>197</x:v>
      </x:c>
      <x:c r="B203" s="29" t="n">
        <x:v>50792</x:v>
      </x:c>
      <x:c r="C203" s="28" t="n">
        <x:f>B203-B202</x:f>
        <x:v>31</x:v>
      </x:c>
      <x:c r="D203" s="30" t="n">
        <x:f>H202</x:f>
        <x:v>3646037.89</x:v>
      </x:c>
      <x:c r="E203" s="30" t="n">
        <x:f>ROUND(D203*I203,2)</x:f>
        <x:v>23224.76</x:v>
      </x:c>
      <x:c r="F203" s="30" t="n">
        <x:f>0</x:f>
        <x:v>0</x:v>
      </x:c>
      <x:c r="G203" s="30" t="n">
        <x:f>ROUND(E203+F203,2)</x:f>
        <x:v>23224.76</x:v>
      </x:c>
      <x:c r="H203" s="30" t="n">
        <x:f>ROUND(D203-F203,2)</x:f>
        <x:v>3646037.89</x:v>
      </x:c>
      <x:c r="I203" s="33" t="n">
        <x:f>IF(AND(ISNUMBER('Параметры'!$C$7),'Параметры'!$C$7&gt;=0),'Параметры'!$C$7*C203/365,NA())</x:f>
        <x:v>0.00636986301369863</x:v>
      </x:c>
      <x:c r="J203" s="32" t="n">
        <x:f>J202/(1+I203)</x:f>
        <x:v>0.2932938370059145</x:v>
      </x:c>
      <x:c r="K203" s="33" t="n">
        <x:f>IF(AND(ISNUMBER('Параметры'!$C$8),'Параметры'!$C$8&gt;=0),'Параметры'!$C$8*C203/365,NA())</x:f>
        <x:v>0.00636986301369863</x:v>
      </x:c>
      <x:c r="L203" s="32" t="n">
        <x:f>L202/(1+K203)</x:f>
        <x:v>0.2932938370059145</x:v>
      </x:c>
      <x:c r="M203" s="30" t="n">
        <x:f>E203*L203</x:f>
        <x:v>6811.678973941483</x:v>
      </x:c>
      <x:c r="N203" s="30" t="n">
        <x:f>F203*L203</x:f>
        <x:v>0</x:v>
      </x:c>
      <x:c r="O203" s="30" t="n">
        <x:f>G203*L203</x:f>
        <x:v>6811.678973941483</x:v>
      </x:c>
    </x:row>
    <x:row r="204" ht="21" customHeight="1">
      <x:c r="A204" s="28" t="n">
        <x:v>198</x:v>
      </x:c>
      <x:c r="B204" s="29" t="n">
        <x:v>50823</x:v>
      </x:c>
      <x:c r="C204" s="28" t="n">
        <x:f>B204-B203</x:f>
        <x:v>31</x:v>
      </x:c>
      <x:c r="D204" s="30" t="n">
        <x:f>H203</x:f>
        <x:v>3646037.89</x:v>
      </x:c>
      <x:c r="E204" s="30" t="n">
        <x:f>ROUND(D204*I204,2)</x:f>
        <x:v>23224.76</x:v>
      </x:c>
      <x:c r="F204" s="30" t="n">
        <x:f>0</x:f>
        <x:v>0</x:v>
      </x:c>
      <x:c r="G204" s="30" t="n">
        <x:f>ROUND(E204+F204,2)</x:f>
        <x:v>23224.76</x:v>
      </x:c>
      <x:c r="H204" s="30" t="n">
        <x:f>ROUND(D204-F204,2)</x:f>
        <x:v>3646037.89</x:v>
      </x:c>
      <x:c r="I204" s="33" t="n">
        <x:f>IF(AND(ISNUMBER('Параметры'!$C$7),'Параметры'!$C$7&gt;=0),'Параметры'!$C$7*C204/365,NA())</x:f>
        <x:v>0.00636986301369863</x:v>
      </x:c>
      <x:c r="J204" s="32" t="n">
        <x:f>J203/(1+I204)</x:f>
        <x:v>0.29143742055988237</x:v>
      </x:c>
      <x:c r="K204" s="33" t="n">
        <x:f>IF(AND(ISNUMBER('Параметры'!$C$8),'Параметры'!$C$8&gt;=0),'Параметры'!$C$8*C204/365,NA())</x:f>
        <x:v>0.00636986301369863</x:v>
      </x:c>
      <x:c r="L204" s="32" t="n">
        <x:f>L203/(1+K204)</x:f>
        <x:v>0.29143742055988237</x:v>
      </x:c>
      <x:c r="M204" s="30" t="n">
        <x:f>E204*L204</x:f>
        <x:v>6768.564147522333</x:v>
      </x:c>
      <x:c r="N204" s="30" t="n">
        <x:f>F204*L204</x:f>
        <x:v>0</x:v>
      </x:c>
      <x:c r="O204" s="30" t="n">
        <x:f>G204*L204</x:f>
        <x:v>6768.564147522333</x:v>
      </x:c>
    </x:row>
    <x:row r="205" ht="21" customHeight="1">
      <x:c r="A205" s="28" t="n">
        <x:v>199</x:v>
      </x:c>
      <x:c r="B205" s="29" t="n">
        <x:v>50851</x:v>
      </x:c>
      <x:c r="C205" s="28" t="n">
        <x:f>B205-B204</x:f>
        <x:v>28</x:v>
      </x:c>
      <x:c r="D205" s="30" t="n">
        <x:f>H204</x:f>
        <x:v>3646037.89</x:v>
      </x:c>
      <x:c r="E205" s="30" t="n">
        <x:f>ROUND(D205*I205,2)</x:f>
        <x:v>20977.2</x:v>
      </x:c>
      <x:c r="F205" s="30" t="n">
        <x:f>0</x:f>
        <x:v>0</x:v>
      </x:c>
      <x:c r="G205" s="30" t="n">
        <x:f>ROUND(E205+F205,2)</x:f>
        <x:v>20977.2</x:v>
      </x:c>
      <x:c r="H205" s="30" t="n">
        <x:f>ROUND(D205-F205,2)</x:f>
        <x:v>3646037.89</x:v>
      </x:c>
      <x:c r="I205" s="33" t="n">
        <x:f>IF(AND(ISNUMBER('Параметры'!$C$7),'Параметры'!$C$7&gt;=0),'Параметры'!$C$7*C205/365,NA())</x:f>
        <x:v>0.005753424657534247</x:v>
      </x:c>
      <x:c r="J205" s="32" t="n">
        <x:f>J204/(1+I205)</x:f>
        <x:v>0.28977024926275424</x:v>
      </x:c>
      <x:c r="K205" s="33" t="n">
        <x:f>IF(AND(ISNUMBER('Параметры'!$C$8),'Параметры'!$C$8&gt;=0),'Параметры'!$C$8*C205/365,NA())</x:f>
        <x:v>0.005753424657534247</x:v>
      </x:c>
      <x:c r="L205" s="32" t="n">
        <x:f>L204/(1+K205)</x:f>
        <x:v>0.28977024926275424</x:v>
      </x:c>
      <x:c r="M205" s="30" t="n">
        <x:f>E205*L205</x:f>
        <x:v>6078.568472834649</x:v>
      </x:c>
      <x:c r="N205" s="30" t="n">
        <x:f>F205*L205</x:f>
        <x:v>0</x:v>
      </x:c>
      <x:c r="O205" s="30" t="n">
        <x:f>G205*L205</x:f>
        <x:v>6078.568472834649</x:v>
      </x:c>
    </x:row>
    <x:row r="206" ht="21" customHeight="1">
      <x:c r="A206" s="28" t="n">
        <x:v>200</x:v>
      </x:c>
      <x:c r="B206" s="29" t="n">
        <x:v>50882</x:v>
      </x:c>
      <x:c r="C206" s="28" t="n">
        <x:f>B206-B205</x:f>
        <x:v>31</x:v>
      </x:c>
      <x:c r="D206" s="30" t="n">
        <x:f>H205</x:f>
        <x:v>3646037.89</x:v>
      </x:c>
      <x:c r="E206" s="30" t="n">
        <x:f>ROUND(D206*I206,2)</x:f>
        <x:v>23224.76</x:v>
      </x:c>
      <x:c r="F206" s="30" t="n">
        <x:f>0</x:f>
        <x:v>0</x:v>
      </x:c>
      <x:c r="G206" s="30" t="n">
        <x:f>ROUND(E206+F206,2)</x:f>
        <x:v>23224.76</x:v>
      </x:c>
      <x:c r="H206" s="30" t="n">
        <x:f>ROUND(D206-F206,2)</x:f>
        <x:v>3646037.89</x:v>
      </x:c>
      <x:c r="I206" s="33" t="n">
        <x:f>IF(AND(ISNUMBER('Параметры'!$C$7),'Параметры'!$C$7&gt;=0),'Параметры'!$C$7*C206/365,NA())</x:f>
        <x:v>0.00636986301369863</x:v>
      </x:c>
      <x:c r="J206" s="32" t="n">
        <x:f>J205/(1+I206)</x:f>
        <x:v>0.28793613552278036</x:v>
      </x:c>
      <x:c r="K206" s="33" t="n">
        <x:f>IF(AND(ISNUMBER('Параметры'!$C$8),'Параметры'!$C$8&gt;=0),'Параметры'!$C$8*C206/365,NA())</x:f>
        <x:v>0.00636986301369863</x:v>
      </x:c>
      <x:c r="L206" s="32" t="n">
        <x:f>L205/(1+K206)</x:f>
        <x:v>0.28793613552278036</x:v>
      </x:c>
      <x:c r="M206" s="30" t="n">
        <x:f>E206*L206</x:f>
        <x:v>6687.247642844048</x:v>
      </x:c>
      <x:c r="N206" s="30" t="n">
        <x:f>F206*L206</x:f>
        <x:v>0</x:v>
      </x:c>
      <x:c r="O206" s="30" t="n">
        <x:f>G206*L206</x:f>
        <x:v>6687.247642844048</x:v>
      </x:c>
    </x:row>
    <x:row r="207" ht="21" customHeight="1">
      <x:c r="A207" s="28" t="n">
        <x:v>201</x:v>
      </x:c>
      <x:c r="B207" s="29" t="n">
        <x:v>50912</x:v>
      </x:c>
      <x:c r="C207" s="28" t="n">
        <x:f>B207-B206</x:f>
        <x:v>30</x:v>
      </x:c>
      <x:c r="D207" s="30" t="n">
        <x:f>H206</x:f>
        <x:v>3646037.89</x:v>
      </x:c>
      <x:c r="E207" s="30" t="n">
        <x:f>ROUND(D207*I207,2)</x:f>
        <x:v>22475.58</x:v>
      </x:c>
      <x:c r="F207" s="30" t="n">
        <x:f>0</x:f>
        <x:v>0</x:v>
      </x:c>
      <x:c r="G207" s="30" t="n">
        <x:f>ROUND(E207+F207,2)</x:f>
        <x:v>22475.58</x:v>
      </x:c>
      <x:c r="H207" s="30" t="n">
        <x:f>ROUND(D207-F207,2)</x:f>
        <x:v>3646037.89</x:v>
      </x:c>
      <x:c r="I207" s="33" t="n">
        <x:f>IF(AND(ISNUMBER('Параметры'!$C$7),'Параметры'!$C$7&gt;=0),'Параметры'!$C$7*C207/365,NA())</x:f>
        <x:v>0.0061643835616438354</x:v>
      </x:c>
      <x:c r="J207" s="32" t="n">
        <x:f>J206/(1+I207)</x:f>
        <x:v>0.28617206117308325</x:v>
      </x:c>
      <x:c r="K207" s="33" t="n">
        <x:f>IF(AND(ISNUMBER('Параметры'!$C$8),'Параметры'!$C$8&gt;=0),'Параметры'!$C$8*C207/365,NA())</x:f>
        <x:v>0.0061643835616438354</x:v>
      </x:c>
      <x:c r="L207" s="32" t="n">
        <x:f>L206/(1+K207)</x:f>
        <x:v>0.28617206117308325</x:v>
      </x:c>
      <x:c r="M207" s="30" t="n">
        <x:f>E207*L207</x:f>
        <x:v>6431.883054660527</x:v>
      </x:c>
      <x:c r="N207" s="30" t="n">
        <x:f>F207*L207</x:f>
        <x:v>0</x:v>
      </x:c>
      <x:c r="O207" s="30" t="n">
        <x:f>G207*L207</x:f>
        <x:v>6431.883054660527</x:v>
      </x:c>
    </x:row>
    <x:row r="208" ht="21" customHeight="1">
      <x:c r="A208" s="28" t="n">
        <x:v>202</x:v>
      </x:c>
      <x:c r="B208" s="29" t="n">
        <x:v>50943</x:v>
      </x:c>
      <x:c r="C208" s="28" t="n">
        <x:f>B208-B207</x:f>
        <x:v>31</x:v>
      </x:c>
      <x:c r="D208" s="30" t="n">
        <x:f>H207</x:f>
        <x:v>3646037.89</x:v>
      </x:c>
      <x:c r="E208" s="30" t="n">
        <x:f>ROUND(D208*I208,2)</x:f>
        <x:v>23224.76</x:v>
      </x:c>
      <x:c r="F208" s="30" t="n">
        <x:f>0</x:f>
        <x:v>0</x:v>
      </x:c>
      <x:c r="G208" s="30" t="n">
        <x:f>ROUND(E208+F208,2)</x:f>
        <x:v>23224.76</x:v>
      </x:c>
      <x:c r="H208" s="30" t="n">
        <x:f>ROUND(D208-F208,2)</x:f>
        <x:v>3646037.89</x:v>
      </x:c>
      <x:c r="I208" s="33" t="n">
        <x:f>IF(AND(ISNUMBER('Параметры'!$C$7),'Параметры'!$C$7&gt;=0),'Параметры'!$C$7*C208/365,NA())</x:f>
        <x:v>0.00636986301369863</x:v>
      </x:c>
      <x:c r="J208" s="32" t="n">
        <x:f>J207/(1+I208)</x:f>
        <x:v>0.2843607223253941</x:v>
      </x:c>
      <x:c r="K208" s="33" t="n">
        <x:f>IF(AND(ISNUMBER('Параметры'!$C$8),'Параметры'!$C$8&gt;=0),'Параметры'!$C$8*C208/365,NA())</x:f>
        <x:v>0.00636986301369863</x:v>
      </x:c>
      <x:c r="L208" s="32" t="n">
        <x:f>L207/(1+K208)</x:f>
        <x:v>0.2843607223253941</x:v>
      </x:c>
      <x:c r="M208" s="30" t="n">
        <x:f>E208*L208</x:f>
        <x:v>6604.20952943392</x:v>
      </x:c>
      <x:c r="N208" s="30" t="n">
        <x:f>F208*L208</x:f>
        <x:v>0</x:v>
      </x:c>
      <x:c r="O208" s="30" t="n">
        <x:f>G208*L208</x:f>
        <x:v>6604.20952943392</x:v>
      </x:c>
    </x:row>
    <x:row r="209" ht="21" customHeight="1">
      <x:c r="A209" s="28" t="n">
        <x:v>203</x:v>
      </x:c>
      <x:c r="B209" s="29" t="n">
        <x:v>50973</x:v>
      </x:c>
      <x:c r="C209" s="28" t="n">
        <x:f>B209-B208</x:f>
        <x:v>30</x:v>
      </x:c>
      <x:c r="D209" s="30" t="n">
        <x:f>H208</x:f>
        <x:v>3646037.89</x:v>
      </x:c>
      <x:c r="E209" s="30" t="n">
        <x:f>ROUND(D209*I209,2)</x:f>
        <x:v>22475.58</x:v>
      </x:c>
      <x:c r="F209" s="30" t="n">
        <x:f>0</x:f>
        <x:v>0</x:v>
      </x:c>
      <x:c r="G209" s="30" t="n">
        <x:f>ROUND(E209+F209,2)</x:f>
        <x:v>22475.58</x:v>
      </x:c>
      <x:c r="H209" s="30" t="n">
        <x:f>ROUND(D209-F209,2)</x:f>
        <x:v>3646037.89</x:v>
      </x:c>
      <x:c r="I209" s="33" t="n">
        <x:f>IF(AND(ISNUMBER('Параметры'!$C$7),'Параметры'!$C$7&gt;=0),'Параметры'!$C$7*C209/365,NA())</x:f>
        <x:v>0.0061643835616438354</x:v>
      </x:c>
      <x:c r="J209" s="32" t="n">
        <x:f>J208/(1+I209)</x:f>
        <x:v>0.2826185531620663</x:v>
      </x:c>
      <x:c r="K209" s="33" t="n">
        <x:f>IF(AND(ISNUMBER('Параметры'!$C$8),'Параметры'!$C$8&gt;=0),'Параметры'!$C$8*C209/365,NA())</x:f>
        <x:v>0.0061643835616438354</x:v>
      </x:c>
      <x:c r="L209" s="32" t="n">
        <x:f>L208/(1+K209)</x:f>
        <x:v>0.2826185531620663</x:v>
      </x:c>
      <x:c r="M209" s="30" t="n">
        <x:f>E209*L209</x:f>
        <x:v>6352.0159010782745</x:v>
      </x:c>
      <x:c r="N209" s="30" t="n">
        <x:f>F209*L209</x:f>
        <x:v>0</x:v>
      </x:c>
      <x:c r="O209" s="30" t="n">
        <x:f>G209*L209</x:f>
        <x:v>6352.0159010782745</x:v>
      </x:c>
    </x:row>
    <x:row r="210" ht="21" customHeight="1">
      <x:c r="A210" s="28" t="n">
        <x:v>204</x:v>
      </x:c>
      <x:c r="B210" s="29" t="n">
        <x:v>51004</x:v>
      </x:c>
      <x:c r="C210" s="28" t="n">
        <x:f>B210-B209</x:f>
        <x:v>31</x:v>
      </x:c>
      <x:c r="D210" s="30" t="n">
        <x:f>H209</x:f>
        <x:v>3646037.89</x:v>
      </x:c>
      <x:c r="E210" s="30" t="n">
        <x:f>ROUND(D210*I210,2)</x:f>
        <x:v>23224.76</x:v>
      </x:c>
      <x:c r="F210" s="30" t="n">
        <x:f>0</x:f>
        <x:v>0</x:v>
      </x:c>
      <x:c r="G210" s="30" t="n">
        <x:f>ROUND(E210+F210,2)</x:f>
        <x:v>23224.76</x:v>
      </x:c>
      <x:c r="H210" s="30" t="n">
        <x:f>ROUND(D210-F210,2)</x:f>
        <x:v>3646037.89</x:v>
      </x:c>
      <x:c r="I210" s="33" t="n">
        <x:f>IF(AND(ISNUMBER('Параметры'!$C$7),'Параметры'!$C$7&gt;=0),'Параметры'!$C$7*C210/365,NA())</x:f>
        <x:v>0.00636986301369863</x:v>
      </x:c>
      <x:c r="J210" s="32" t="n">
        <x:f>J209/(1+I210)</x:f>
        <x:v>0.2808297064021077</x:v>
      </x:c>
      <x:c r="K210" s="33" t="n">
        <x:f>IF(AND(ISNUMBER('Параметры'!$C$8),'Параметры'!$C$8&gt;=0),'Параметры'!$C$8*C210/365,NA())</x:f>
        <x:v>0.00636986301369863</x:v>
      </x:c>
      <x:c r="L210" s="32" t="n">
        <x:f>L209/(1+K210)</x:f>
        <x:v>0.2808297064021077</x:v>
      </x:c>
      <x:c r="M210" s="30" t="n">
        <x:f>E210*L210</x:f>
        <x:v>6522.202532059414</x:v>
      </x:c>
      <x:c r="N210" s="30" t="n">
        <x:f>F210*L210</x:f>
        <x:v>0</x:v>
      </x:c>
      <x:c r="O210" s="30" t="n">
        <x:f>G210*L210</x:f>
        <x:v>6522.202532059414</x:v>
      </x:c>
    </x:row>
    <x:row r="211" ht="21" customHeight="1">
      <x:c r="A211" s="28" t="n">
        <x:v>205</x:v>
      </x:c>
      <x:c r="B211" s="29" t="n">
        <x:v>51035</x:v>
      </x:c>
      <x:c r="C211" s="28" t="n">
        <x:f>B211-B210</x:f>
        <x:v>31</x:v>
      </x:c>
      <x:c r="D211" s="30" t="n">
        <x:f>H210</x:f>
        <x:v>3646037.89</x:v>
      </x:c>
      <x:c r="E211" s="30" t="n">
        <x:f>ROUND(D211*I211,2)</x:f>
        <x:v>23224.76</x:v>
      </x:c>
      <x:c r="F211" s="30" t="n">
        <x:f>0</x:f>
        <x:v>0</x:v>
      </x:c>
      <x:c r="G211" s="30" t="n">
        <x:f>ROUND(E211+F211,2)</x:f>
        <x:v>23224.76</x:v>
      </x:c>
      <x:c r="H211" s="30" t="n">
        <x:f>ROUND(D211-F211,2)</x:f>
        <x:v>3646037.89</x:v>
      </x:c>
      <x:c r="I211" s="33" t="n">
        <x:f>IF(AND(ISNUMBER('Параметры'!$C$7),'Параметры'!$C$7&gt;=0),'Параметры'!$C$7*C211/365,NA())</x:f>
        <x:v>0.00636986301369863</x:v>
      </x:c>
      <x:c r="J211" s="32" t="n">
        <x:f>J210/(1+I211)</x:f>
        <x:v>0.27905218222764394</x:v>
      </x:c>
      <x:c r="K211" s="33" t="n">
        <x:f>IF(AND(ISNUMBER('Параметры'!$C$8),'Параметры'!$C$8&gt;=0),'Параметры'!$C$8*C211/365,NA())</x:f>
        <x:v>0.00636986301369863</x:v>
      </x:c>
      <x:c r="L211" s="32" t="n">
        <x:f>L210/(1+K211)</x:f>
        <x:v>0.27905218222764394</x:v>
      </x:c>
      <x:c r="M211" s="30" t="n">
        <x:f>E211*L211</x:f>
        <x:v>6480.919959713296</x:v>
      </x:c>
      <x:c r="N211" s="30" t="n">
        <x:f>F211*L211</x:f>
        <x:v>0</x:v>
      </x:c>
      <x:c r="O211" s="30" t="n">
        <x:f>G211*L211</x:f>
        <x:v>6480.919959713296</x:v>
      </x:c>
    </x:row>
    <x:row r="212" ht="21" customHeight="1">
      <x:c r="A212" s="28" t="n">
        <x:v>206</x:v>
      </x:c>
      <x:c r="B212" s="29" t="n">
        <x:v>51065</x:v>
      </x:c>
      <x:c r="C212" s="28" t="n">
        <x:f>B212-B211</x:f>
        <x:v>30</x:v>
      </x:c>
      <x:c r="D212" s="30" t="n">
        <x:f>H211</x:f>
        <x:v>3646037.89</x:v>
      </x:c>
      <x:c r="E212" s="30" t="n">
        <x:f>ROUND(D212*I212,2)</x:f>
        <x:v>22475.58</x:v>
      </x:c>
      <x:c r="F212" s="30" t="n">
        <x:f>0</x:f>
        <x:v>0</x:v>
      </x:c>
      <x:c r="G212" s="30" t="n">
        <x:f>ROUND(E212+F212,2)</x:f>
        <x:v>22475.58</x:v>
      </x:c>
      <x:c r="H212" s="30" t="n">
        <x:f>ROUND(D212-F212,2)</x:f>
        <x:v>3646037.89</x:v>
      </x:c>
      <x:c r="I212" s="33" t="n">
        <x:f>IF(AND(ISNUMBER('Параметры'!$C$7),'Параметры'!$C$7&gt;=0),'Параметры'!$C$7*C212/365,NA())</x:f>
        <x:v>0.0061643835616438354</x:v>
      </x:c>
      <x:c r="J212" s="32" t="n">
        <x:f>J211/(1+I212)</x:f>
        <x:v>0.27734253645497625</x:v>
      </x:c>
      <x:c r="K212" s="33" t="n">
        <x:f>IF(AND(ISNUMBER('Параметры'!$C$8),'Параметры'!$C$8&gt;=0),'Параметры'!$C$8*C212/365,NA())</x:f>
        <x:v>0.0061643835616438354</x:v>
      </x:c>
      <x:c r="L212" s="32" t="n">
        <x:f>L211/(1+K212)</x:f>
        <x:v>0.27734253645497625</x:v>
      </x:c>
      <x:c r="M212" s="30" t="n">
        <x:f>E212*L212</x:f>
        <x:v>6233.434365496736</x:v>
      </x:c>
      <x:c r="N212" s="30" t="n">
        <x:f>F212*L212</x:f>
        <x:v>0</x:v>
      </x:c>
      <x:c r="O212" s="30" t="n">
        <x:f>G212*L212</x:f>
        <x:v>6233.434365496736</x:v>
      </x:c>
    </x:row>
    <x:row r="213" ht="21" customHeight="1">
      <x:c r="A213" s="28" t="n">
        <x:v>207</x:v>
      </x:c>
      <x:c r="B213" s="29" t="n">
        <x:v>51096</x:v>
      </x:c>
      <x:c r="C213" s="28" t="n">
        <x:f>B213-B212</x:f>
        <x:v>31</x:v>
      </x:c>
      <x:c r="D213" s="30" t="n">
        <x:f>H212</x:f>
        <x:v>3646037.89</x:v>
      </x:c>
      <x:c r="E213" s="30" t="n">
        <x:f>ROUND(D213*I213,2)</x:f>
        <x:v>23224.76</x:v>
      </x:c>
      <x:c r="F213" s="30" t="n">
        <x:f>0</x:f>
        <x:v>0</x:v>
      </x:c>
      <x:c r="G213" s="30" t="n">
        <x:f>ROUND(E213+F213,2)</x:f>
        <x:v>23224.76</x:v>
      </x:c>
      <x:c r="H213" s="30" t="n">
        <x:f>ROUND(D213-F213,2)</x:f>
        <x:v>3646037.89</x:v>
      </x:c>
      <x:c r="I213" s="33" t="n">
        <x:f>IF(AND(ISNUMBER('Параметры'!$C$7),'Параметры'!$C$7&gt;=0),'Параметры'!$C$7*C213/365,NA())</x:f>
        <x:v>0.00636986301369863</x:v>
      </x:c>
      <x:c r="J213" s="32" t="n">
        <x:f>J212/(1+I213)</x:f>
        <x:v>0.2755870844785036</x:v>
      </x:c>
      <x:c r="K213" s="33" t="n">
        <x:f>IF(AND(ISNUMBER('Параметры'!$C$8),'Параметры'!$C$8&gt;=0),'Параметры'!$C$8*C213/365,NA())</x:f>
        <x:v>0.00636986301369863</x:v>
      </x:c>
      <x:c r="L213" s="32" t="n">
        <x:f>L212/(1+K213)</x:f>
        <x:v>0.2755870844785036</x:v>
      </x:c>
      <x:c r="M213" s="30" t="n">
        <x:f>E213*L213</x:f>
        <x:v>6400.443896112971</x:v>
      </x:c>
      <x:c r="N213" s="30" t="n">
        <x:f>F213*L213</x:f>
        <x:v>0</x:v>
      </x:c>
      <x:c r="O213" s="30" t="n">
        <x:f>G213*L213</x:f>
        <x:v>6400.443896112971</x:v>
      </x:c>
    </x:row>
    <x:row r="214" ht="21" customHeight="1">
      <x:c r="A214" s="28" t="n">
        <x:v>208</x:v>
      </x:c>
      <x:c r="B214" s="29" t="n">
        <x:v>51126</x:v>
      </x:c>
      <x:c r="C214" s="28" t="n">
        <x:f>B214-B213</x:f>
        <x:v>30</x:v>
      </x:c>
      <x:c r="D214" s="30" t="n">
        <x:f>H213</x:f>
        <x:v>3646037.89</x:v>
      </x:c>
      <x:c r="E214" s="30" t="n">
        <x:f>ROUND(D214*I214,2)</x:f>
        <x:v>22475.58</x:v>
      </x:c>
      <x:c r="F214" s="30" t="n">
        <x:f>0</x:f>
        <x:v>0</x:v>
      </x:c>
      <x:c r="G214" s="30" t="n">
        <x:f>ROUND(E214+F214,2)</x:f>
        <x:v>22475.58</x:v>
      </x:c>
      <x:c r="H214" s="30" t="n">
        <x:f>ROUND(D214-F214,2)</x:f>
        <x:v>3646037.89</x:v>
      </x:c>
      <x:c r="I214" s="33" t="n">
        <x:f>IF(AND(ISNUMBER('Параметры'!$C$7),'Параметры'!$C$7&gt;=0),'Параметры'!$C$7*C214/365,NA())</x:f>
        <x:v>0.0061643835616438354</x:v>
      </x:c>
      <x:c r="J214" s="32" t="n">
        <x:f>J213/(1+I214)</x:f>
        <x:v>0.27389866803173263</x:v>
      </x:c>
      <x:c r="K214" s="33" t="n">
        <x:f>IF(AND(ISNUMBER('Параметры'!$C$8),'Параметры'!$C$8&gt;=0),'Параметры'!$C$8*C214/365,NA())</x:f>
        <x:v>0.0061643835616438354</x:v>
      </x:c>
      <x:c r="L214" s="32" t="n">
        <x:f>L213/(1+K214)</x:f>
        <x:v>0.27389866803173263</x:v>
      </x:c>
      <x:c r="M214" s="30" t="n">
        <x:f>E214*L214</x:f>
        <x:v>6156.03142524065</x:v>
      </x:c>
      <x:c r="N214" s="30" t="n">
        <x:f>F214*L214</x:f>
        <x:v>0</x:v>
      </x:c>
      <x:c r="O214" s="30" t="n">
        <x:f>G214*L214</x:f>
        <x:v>6156.03142524065</x:v>
      </x:c>
    </x:row>
    <x:row r="215" ht="21" customHeight="1">
      <x:c r="A215" s="28" t="n">
        <x:v>209</x:v>
      </x:c>
      <x:c r="B215" s="29" t="n">
        <x:v>51157</x:v>
      </x:c>
      <x:c r="C215" s="28" t="n">
        <x:f>B215-B214</x:f>
        <x:v>31</x:v>
      </x:c>
      <x:c r="D215" s="30" t="n">
        <x:f>H214</x:f>
        <x:v>3646037.89</x:v>
      </x:c>
      <x:c r="E215" s="30" t="n">
        <x:f>ROUND(D215*I215,2)</x:f>
        <x:v>23224.76</x:v>
      </x:c>
      <x:c r="F215" s="30" t="n">
        <x:f>0</x:f>
        <x:v>0</x:v>
      </x:c>
      <x:c r="G215" s="30" t="n">
        <x:f>ROUND(E215+F215,2)</x:f>
        <x:v>23224.76</x:v>
      </x:c>
      <x:c r="H215" s="30" t="n">
        <x:f>ROUND(D215-F215,2)</x:f>
        <x:v>3646037.89</x:v>
      </x:c>
      <x:c r="I215" s="33" t="n">
        <x:f>IF(AND(ISNUMBER('Параметры'!$C$7),'Параметры'!$C$7&gt;=0),'Параметры'!$C$7*C215/365,NA())</x:f>
        <x:v>0.00636986301369863</x:v>
      </x:c>
      <x:c r="J215" s="32" t="n">
        <x:f>J214/(1+I215)</x:f>
        <x:v>0.2721650141743209</x:v>
      </x:c>
      <x:c r="K215" s="33" t="n">
        <x:f>IF(AND(ISNUMBER('Параметры'!$C$8),'Параметры'!$C$8&gt;=0),'Параметры'!$C$8*C215/365,NA())</x:f>
        <x:v>0.00636986301369863</x:v>
      </x:c>
      <x:c r="L215" s="32" t="n">
        <x:f>L214/(1+K215)</x:f>
        <x:v>0.2721650141743209</x:v>
      </x:c>
      <x:c r="M215" s="30" t="n">
        <x:f>E215*L215</x:f>
        <x:v>6320.9671345952</x:v>
      </x:c>
      <x:c r="N215" s="30" t="n">
        <x:f>F215*L215</x:f>
        <x:v>0</x:v>
      </x:c>
      <x:c r="O215" s="30" t="n">
        <x:f>G215*L215</x:f>
        <x:v>6320.9671345952</x:v>
      </x:c>
    </x:row>
    <x:row r="216" ht="21" customHeight="1">
      <x:c r="A216" s="28" t="n">
        <x:v>210</x:v>
      </x:c>
      <x:c r="B216" s="29" t="n">
        <x:v>51188</x:v>
      </x:c>
      <x:c r="C216" s="28" t="n">
        <x:f>B216-B215</x:f>
        <x:v>31</x:v>
      </x:c>
      <x:c r="D216" s="30" t="n">
        <x:f>H215</x:f>
        <x:v>3646037.89</x:v>
      </x:c>
      <x:c r="E216" s="30" t="n">
        <x:f>ROUND(D216*I216,2)</x:f>
        <x:v>23224.76</x:v>
      </x:c>
      <x:c r="F216" s="30" t="n">
        <x:f>0</x:f>
        <x:v>0</x:v>
      </x:c>
      <x:c r="G216" s="30" t="n">
        <x:f>ROUND(E216+F216,2)</x:f>
        <x:v>23224.76</x:v>
      </x:c>
      <x:c r="H216" s="30" t="n">
        <x:f>ROUND(D216-F216,2)</x:f>
        <x:v>3646037.89</x:v>
      </x:c>
      <x:c r="I216" s="33" t="n">
        <x:f>IF(AND(ISNUMBER('Параметры'!$C$7),'Параметры'!$C$7&gt;=0),'Параметры'!$C$7*C216/365,NA())</x:f>
        <x:v>0.00636986301369863</x:v>
      </x:c>
      <x:c r="J216" s="32" t="n">
        <x:f>J215/(1+I216)</x:f>
        <x:v>0.27044233355646125</x:v>
      </x:c>
      <x:c r="K216" s="33" t="n">
        <x:f>IF(AND(ISNUMBER('Параметры'!$C$8),'Параметры'!$C$8&gt;=0),'Параметры'!$C$8*C216/365,NA())</x:f>
        <x:v>0.00636986301369863</x:v>
      </x:c>
      <x:c r="L216" s="32" t="n">
        <x:f>L215/(1+K216)</x:f>
        <x:v>0.27044233355646125</x:v>
      </x:c>
      <x:c r="M216" s="30" t="n">
        <x:f>E216*L216</x:f>
        <x:v>6280.958290688758</x:v>
      </x:c>
      <x:c r="N216" s="30" t="n">
        <x:f>F216*L216</x:f>
        <x:v>0</x:v>
      </x:c>
      <x:c r="O216" s="30" t="n">
        <x:f>G216*L216</x:f>
        <x:v>6280.958290688758</x:v>
      </x:c>
    </x:row>
    <x:row r="217" ht="21" customHeight="1">
      <x:c r="A217" s="28" t="n">
        <x:v>211</x:v>
      </x:c>
      <x:c r="B217" s="29" t="n">
        <x:v>51217</x:v>
      </x:c>
      <x:c r="C217" s="28" t="n">
        <x:f>B217-B216</x:f>
        <x:v>29</x:v>
      </x:c>
      <x:c r="D217" s="30" t="n">
        <x:f>H216</x:f>
        <x:v>3646037.89</x:v>
      </x:c>
      <x:c r="E217" s="30" t="n">
        <x:f>ROUND(D217*I217,2)</x:f>
        <x:v>21726.39</x:v>
      </x:c>
      <x:c r="F217" s="30" t="n">
        <x:f>0</x:f>
        <x:v>0</x:v>
      </x:c>
      <x:c r="G217" s="30" t="n">
        <x:f>ROUND(E217+F217,2)</x:f>
        <x:v>21726.39</x:v>
      </x:c>
      <x:c r="H217" s="30" t="n">
        <x:f>ROUND(D217-F217,2)</x:f>
        <x:v>3646037.89</x:v>
      </x:c>
      <x:c r="I217" s="33" t="n">
        <x:f>IF(AND(ISNUMBER('Параметры'!$C$7),'Параметры'!$C$7&gt;=0),'Параметры'!$C$7*C217/365,NA())</x:f>
        <x:v>0.00595890410958904</x:v>
      </x:c>
      <x:c r="J217" s="32" t="n">
        <x:f>J216/(1+I217)</x:f>
        <x:v>0.2688403397510951</x:v>
      </x:c>
      <x:c r="K217" s="33" t="n">
        <x:f>IF(AND(ISNUMBER('Параметры'!$C$8),'Параметры'!$C$8&gt;=0),'Параметры'!$C$8*C217/365,NA())</x:f>
        <x:v>0.00595890410958904</x:v>
      </x:c>
      <x:c r="L217" s="32" t="n">
        <x:f>L216/(1+K217)</x:f>
        <x:v>0.2688403397510951</x:v>
      </x:c>
      <x:c r="M217" s="30" t="n">
        <x:f>E217*L217</x:f>
        <x:v>5840.930069164795</x:v>
      </x:c>
      <x:c r="N217" s="30" t="n">
        <x:f>F217*L217</x:f>
        <x:v>0</x:v>
      </x:c>
      <x:c r="O217" s="30" t="n">
        <x:f>G217*L217</x:f>
        <x:v>5840.930069164795</x:v>
      </x:c>
    </x:row>
    <x:row r="218" ht="21" customHeight="1">
      <x:c r="A218" s="28" t="n">
        <x:v>212</x:v>
      </x:c>
      <x:c r="B218" s="29" t="n">
        <x:v>51248</x:v>
      </x:c>
      <x:c r="C218" s="28" t="n">
        <x:f>B218-B217</x:f>
        <x:v>31</x:v>
      </x:c>
      <x:c r="D218" s="30" t="n">
        <x:f>H217</x:f>
        <x:v>3646037.89</x:v>
      </x:c>
      <x:c r="E218" s="30" t="n">
        <x:f>ROUND(D218*I218,2)</x:f>
        <x:v>23224.76</x:v>
      </x:c>
      <x:c r="F218" s="30" t="n">
        <x:f>0</x:f>
        <x:v>0</x:v>
      </x:c>
      <x:c r="G218" s="30" t="n">
        <x:f>ROUND(E218+F218,2)</x:f>
        <x:v>23224.76</x:v>
      </x:c>
      <x:c r="H218" s="30" t="n">
        <x:f>ROUND(D218-F218,2)</x:f>
        <x:v>3646037.89</x:v>
      </x:c>
      <x:c r="I218" s="33" t="n">
        <x:f>IF(AND(ISNUMBER('Параметры'!$C$7),'Параметры'!$C$7&gt;=0),'Параметры'!$C$7*C218/365,NA())</x:f>
        <x:v>0.00636986301369863</x:v>
      </x:c>
      <x:c r="J218" s="32" t="n">
        <x:f>J217/(1+I218)</x:f>
        <x:v>0.2671387028085475</x:v>
      </x:c>
      <x:c r="K218" s="33" t="n">
        <x:f>IF(AND(ISNUMBER('Параметры'!$C$8),'Параметры'!$C$8&gt;=0),'Параметры'!$C$8*C218/365,NA())</x:f>
        <x:v>0.00636986301369863</x:v>
      </x:c>
      <x:c r="L218" s="32" t="n">
        <x:f>L217/(1+K218)</x:f>
        <x:v>0.2671387028085475</x:v>
      </x:c>
      <x:c r="M218" s="30" t="n">
        <x:f>E218*L218</x:f>
        <x:v>6204.232259439841</x:v>
      </x:c>
      <x:c r="N218" s="30" t="n">
        <x:f>F218*L218</x:f>
        <x:v>0</x:v>
      </x:c>
      <x:c r="O218" s="30" t="n">
        <x:f>G218*L218</x:f>
        <x:v>6204.232259439841</x:v>
      </x:c>
    </x:row>
    <x:row r="219" ht="21" customHeight="1">
      <x:c r="A219" s="28" t="n">
        <x:v>213</x:v>
      </x:c>
      <x:c r="B219" s="29" t="n">
        <x:v>51278</x:v>
      </x:c>
      <x:c r="C219" s="28" t="n">
        <x:f>B219-B218</x:f>
        <x:v>30</x:v>
      </x:c>
      <x:c r="D219" s="30" t="n">
        <x:f>H218</x:f>
        <x:v>3646037.89</x:v>
      </x:c>
      <x:c r="E219" s="30" t="n">
        <x:f>ROUND(D219*I219,2)</x:f>
        <x:v>22475.58</x:v>
      </x:c>
      <x:c r="F219" s="30" t="n">
        <x:f>0</x:f>
        <x:v>0</x:v>
      </x:c>
      <x:c r="G219" s="30" t="n">
        <x:f>ROUND(E219+F219,2)</x:f>
        <x:v>22475.58</x:v>
      </x:c>
      <x:c r="H219" s="30" t="n">
        <x:f>ROUND(D219-F219,2)</x:f>
        <x:v>3646037.89</x:v>
      </x:c>
      <x:c r="I219" s="33" t="n">
        <x:f>IF(AND(ISNUMBER('Параметры'!$C$7),'Параметры'!$C$7&gt;=0),'Параметры'!$C$7*C219/365,NA())</x:f>
        <x:v>0.0061643835616438354</x:v>
      </x:c>
      <x:c r="J219" s="32" t="n">
        <x:f>J218/(1+I219)</x:f>
        <x:v>0.26550204635839303</x:v>
      </x:c>
      <x:c r="K219" s="33" t="n">
        <x:f>IF(AND(ISNUMBER('Параметры'!$C$8),'Параметры'!$C$8&gt;=0),'Параметры'!$C$8*C219/365,NA())</x:f>
        <x:v>0.0061643835616438354</x:v>
      </x:c>
      <x:c r="L219" s="32" t="n">
        <x:f>L218/(1+K219)</x:f>
        <x:v>0.26550204635839303</x:v>
      </x:c>
      <x:c r="M219" s="30" t="n">
        <x:f>E219*L219</x:f>
        <x:v>5967.312483091771</x:v>
      </x:c>
      <x:c r="N219" s="30" t="n">
        <x:f>F219*L219</x:f>
        <x:v>0</x:v>
      </x:c>
      <x:c r="O219" s="30" t="n">
        <x:f>G219*L219</x:f>
        <x:v>5967.312483091771</x:v>
      </x:c>
    </x:row>
    <x:row r="220" ht="21" customHeight="1">
      <x:c r="A220" s="28" t="n">
        <x:v>214</x:v>
      </x:c>
      <x:c r="B220" s="29" t="n">
        <x:v>51309</x:v>
      </x:c>
      <x:c r="C220" s="28" t="n">
        <x:f>B220-B219</x:f>
        <x:v>31</x:v>
      </x:c>
      <x:c r="D220" s="30" t="n">
        <x:f>H219</x:f>
        <x:v>3646037.89</x:v>
      </x:c>
      <x:c r="E220" s="30" t="n">
        <x:f>ROUND(D220*I220,2)</x:f>
        <x:v>23224.76</x:v>
      </x:c>
      <x:c r="F220" s="30" t="n">
        <x:f>0</x:f>
        <x:v>0</x:v>
      </x:c>
      <x:c r="G220" s="30" t="n">
        <x:f>ROUND(E220+F220,2)</x:f>
        <x:v>23224.76</x:v>
      </x:c>
      <x:c r="H220" s="30" t="n">
        <x:f>ROUND(D220-F220,2)</x:f>
        <x:v>3646037.89</x:v>
      </x:c>
      <x:c r="I220" s="33" t="n">
        <x:f>IF(AND(ISNUMBER('Параметры'!$C$7),'Параметры'!$C$7&gt;=0),'Параметры'!$C$7*C220/365,NA())</x:f>
        <x:v>0.00636986301369863</x:v>
      </x:c>
      <x:c r="J220" s="32" t="n">
        <x:f>J219/(1+I220)</x:f>
        <x:v>0.2638215392930333</x:v>
      </x:c>
      <x:c r="K220" s="33" t="n">
        <x:f>IF(AND(ISNUMBER('Параметры'!$C$8),'Параметры'!$C$8&gt;=0),'Параметры'!$C$8*C220/365,NA())</x:f>
        <x:v>0.00636986301369863</x:v>
      </x:c>
      <x:c r="L220" s="32" t="n">
        <x:f>L219/(1+K220)</x:f>
        <x:v>0.2638215392930333</x:v>
      </x:c>
      <x:c r="M220" s="30" t="n">
        <x:f>E220*L220</x:f>
        <x:v>6127.191932911268</x:v>
      </x:c>
      <x:c r="N220" s="30" t="n">
        <x:f>F220*L220</x:f>
        <x:v>0</x:v>
      </x:c>
      <x:c r="O220" s="30" t="n">
        <x:f>G220*L220</x:f>
        <x:v>6127.191932911268</x:v>
      </x:c>
    </x:row>
    <x:row r="221" ht="21" customHeight="1">
      <x:c r="A221" s="28" t="n">
        <x:v>215</x:v>
      </x:c>
      <x:c r="B221" s="29" t="n">
        <x:v>51339</x:v>
      </x:c>
      <x:c r="C221" s="28" t="n">
        <x:f>B221-B220</x:f>
        <x:v>30</x:v>
      </x:c>
      <x:c r="D221" s="30" t="n">
        <x:f>H220</x:f>
        <x:v>3646037.89</x:v>
      </x:c>
      <x:c r="E221" s="30" t="n">
        <x:f>ROUND(D221*I221,2)</x:f>
        <x:v>22475.58</x:v>
      </x:c>
      <x:c r="F221" s="30" t="n">
        <x:f>0</x:f>
        <x:v>0</x:v>
      </x:c>
      <x:c r="G221" s="30" t="n">
        <x:f>ROUND(E221+F221,2)</x:f>
        <x:v>22475.58</x:v>
      </x:c>
      <x:c r="H221" s="30" t="n">
        <x:f>ROUND(D221-F221,2)</x:f>
        <x:v>3646037.89</x:v>
      </x:c>
      <x:c r="I221" s="33" t="n">
        <x:f>IF(AND(ISNUMBER('Параметры'!$C$7),'Параметры'!$C$7&gt;=0),'Параметры'!$C$7*C221/365,NA())</x:f>
        <x:v>0.0061643835616438354</x:v>
      </x:c>
      <x:c r="J221" s="32" t="n">
        <x:f>J220/(1+I221)</x:f>
        <x:v>0.2622052058324225</x:v>
      </x:c>
      <x:c r="K221" s="33" t="n">
        <x:f>IF(AND(ISNUMBER('Параметры'!$C$8),'Параметры'!$C$8&gt;=0),'Параметры'!$C$8*C221/365,NA())</x:f>
        <x:v>0.0061643835616438354</x:v>
      </x:c>
      <x:c r="L221" s="32" t="n">
        <x:f>L220/(1+K221)</x:f>
        <x:v>0.2622052058324225</x:v>
      </x:c>
      <x:c r="M221" s="30" t="n">
        <x:f>E221*L221</x:f>
        <x:v>5893.214080103079</x:v>
      </x:c>
      <x:c r="N221" s="30" t="n">
        <x:f>F221*L221</x:f>
        <x:v>0</x:v>
      </x:c>
      <x:c r="O221" s="30" t="n">
        <x:f>G221*L221</x:f>
        <x:v>5893.214080103079</x:v>
      </x:c>
    </x:row>
    <x:row r="222" ht="21" customHeight="1">
      <x:c r="A222" s="28" t="n">
        <x:v>216</x:v>
      </x:c>
      <x:c r="B222" s="29" t="n">
        <x:v>51370</x:v>
      </x:c>
      <x:c r="C222" s="28" t="n">
        <x:f>B222-B221</x:f>
        <x:v>31</x:v>
      </x:c>
      <x:c r="D222" s="30" t="n">
        <x:f>H221</x:f>
        <x:v>3646037.89</x:v>
      </x:c>
      <x:c r="E222" s="30" t="n">
        <x:f>ROUND(D222*I222,2)</x:f>
        <x:v>23224.76</x:v>
      </x:c>
      <x:c r="F222" s="30" t="n">
        <x:f>0</x:f>
        <x:v>0</x:v>
      </x:c>
      <x:c r="G222" s="30" t="n">
        <x:f>ROUND(E222+F222,2)</x:f>
        <x:v>23224.76</x:v>
      </x:c>
      <x:c r="H222" s="30" t="n">
        <x:f>ROUND(D222-F222,2)</x:f>
        <x:v>3646037.89</x:v>
      </x:c>
      <x:c r="I222" s="33" t="n">
        <x:f>IF(AND(ISNUMBER('Параметры'!$C$7),'Параметры'!$C$7&gt;=0),'Параметры'!$C$7*C222/365,NA())</x:f>
        <x:v>0.00636986301369863</x:v>
      </x:c>
      <x:c r="J222" s="32" t="n">
        <x:f>J221/(1+I222)</x:f>
        <x:v>0.2605455662664785</x:v>
      </x:c>
      <x:c r="K222" s="33" t="n">
        <x:f>IF(AND(ISNUMBER('Параметры'!$C$8),'Параметры'!$C$8&gt;=0),'Параметры'!$C$8*C222/365,NA())</x:f>
        <x:v>0.00636986301369863</x:v>
      </x:c>
      <x:c r="L222" s="32" t="n">
        <x:f>L221/(1+K222)</x:f>
        <x:v>0.2605455662664785</x:v>
      </x:c>
      <x:c r="M222" s="30" t="n">
        <x:f>E222*L222</x:f>
        <x:v>6051.108245603059</x:v>
      </x:c>
      <x:c r="N222" s="30" t="n">
        <x:f>F222*L222</x:f>
        <x:v>0</x:v>
      </x:c>
      <x:c r="O222" s="30" t="n">
        <x:f>G222*L222</x:f>
        <x:v>6051.108245603059</x:v>
      </x:c>
    </x:row>
    <x:row r="223" ht="21" customHeight="1">
      <x:c r="A223" s="28" t="n">
        <x:v>217</x:v>
      </x:c>
      <x:c r="B223" s="29" t="n">
        <x:v>51401</x:v>
      </x:c>
      <x:c r="C223" s="28" t="n">
        <x:f>B223-B222</x:f>
        <x:v>31</x:v>
      </x:c>
      <x:c r="D223" s="30" t="n">
        <x:f>H222</x:f>
        <x:v>3646037.89</x:v>
      </x:c>
      <x:c r="E223" s="30" t="n">
        <x:f>ROUND(D223*I223,2)</x:f>
        <x:v>23224.76</x:v>
      </x:c>
      <x:c r="F223" s="30" t="n">
        <x:f>0</x:f>
        <x:v>0</x:v>
      </x:c>
      <x:c r="G223" s="30" t="n">
        <x:f>ROUND(E223+F223,2)</x:f>
        <x:v>23224.76</x:v>
      </x:c>
      <x:c r="H223" s="30" t="n">
        <x:f>ROUND(D223-F223,2)</x:f>
        <x:v>3646037.89</x:v>
      </x:c>
      <x:c r="I223" s="33" t="n">
        <x:f>IF(AND(ISNUMBER('Параметры'!$C$7),'Параметры'!$C$7&gt;=0),'Параметры'!$C$7*C223/365,NA())</x:f>
        <x:v>0.00636986301369863</x:v>
      </x:c>
      <x:c r="J223" s="32" t="n">
        <x:f>J222/(1+I223)</x:f>
        <x:v>0.25889643146332175</x:v>
      </x:c>
      <x:c r="K223" s="33" t="n">
        <x:f>IF(AND(ISNUMBER('Параметры'!$C$8),'Параметры'!$C$8&gt;=0),'Параметры'!$C$8*C223/365,NA())</x:f>
        <x:v>0.00636986301369863</x:v>
      </x:c>
      <x:c r="L223" s="32" t="n">
        <x:f>L222/(1+K223)</x:f>
        <x:v>0.25889643146332175</x:v>
      </x:c>
      <x:c r="M223" s="30" t="n">
        <x:f>E223*L223</x:f>
        <x:v>6012.807485592096</x:v>
      </x:c>
      <x:c r="N223" s="30" t="n">
        <x:f>F223*L223</x:f>
        <x:v>0</x:v>
      </x:c>
      <x:c r="O223" s="30" t="n">
        <x:f>G223*L223</x:f>
        <x:v>6012.807485592096</x:v>
      </x:c>
    </x:row>
    <x:row r="224" ht="21" customHeight="1">
      <x:c r="A224" s="28" t="n">
        <x:v>218</x:v>
      </x:c>
      <x:c r="B224" s="29" t="n">
        <x:v>51431</x:v>
      </x:c>
      <x:c r="C224" s="28" t="n">
        <x:f>B224-B223</x:f>
        <x:v>30</x:v>
      </x:c>
      <x:c r="D224" s="30" t="n">
        <x:f>H223</x:f>
        <x:v>3646037.89</x:v>
      </x:c>
      <x:c r="E224" s="30" t="n">
        <x:f>ROUND(D224*I224,2)</x:f>
        <x:v>22475.58</x:v>
      </x:c>
      <x:c r="F224" s="30" t="n">
        <x:f>0</x:f>
        <x:v>0</x:v>
      </x:c>
      <x:c r="G224" s="30" t="n">
        <x:f>ROUND(E224+F224,2)</x:f>
        <x:v>22475.58</x:v>
      </x:c>
      <x:c r="H224" s="30" t="n">
        <x:f>ROUND(D224-F224,2)</x:f>
        <x:v>3646037.89</x:v>
      </x:c>
      <x:c r="I224" s="33" t="n">
        <x:f>IF(AND(ISNUMBER('Параметры'!$C$7),'Параметры'!$C$7&gt;=0),'Параметры'!$C$7*C224/365,NA())</x:f>
        <x:v>0.0061643835616438354</x:v>
      </x:c>
      <x:c r="J224" s="32" t="n">
        <x:f>J223/(1+I224)</x:f>
        <x:v>0.2573102722508167</x:v>
      </x:c>
      <x:c r="K224" s="33" t="n">
        <x:f>IF(AND(ISNUMBER('Параметры'!$C$8),'Параметры'!$C$8&gt;=0),'Параметры'!$C$8*C224/365,NA())</x:f>
        <x:v>0.0061643835616438354</x:v>
      </x:c>
      <x:c r="L224" s="32" t="n">
        <x:f>L223/(1+K224)</x:f>
        <x:v>0.2573102722508167</x:v>
      </x:c>
      <x:c r="M224" s="30" t="n">
        <x:f>E224*L224</x:f>
        <x:v>5783.197608795012</x:v>
      </x:c>
      <x:c r="N224" s="30" t="n">
        <x:f>F224*L224</x:f>
        <x:v>0</x:v>
      </x:c>
      <x:c r="O224" s="30" t="n">
        <x:f>G224*L224</x:f>
        <x:v>5783.197608795012</x:v>
      </x:c>
    </x:row>
    <x:row r="225" ht="21" customHeight="1">
      <x:c r="A225" s="28" t="n">
        <x:v>219</x:v>
      </x:c>
      <x:c r="B225" s="29" t="n">
        <x:v>51462</x:v>
      </x:c>
      <x:c r="C225" s="28" t="n">
        <x:f>B225-B224</x:f>
        <x:v>31</x:v>
      </x:c>
      <x:c r="D225" s="30" t="n">
        <x:f>H224</x:f>
        <x:v>3646037.89</x:v>
      </x:c>
      <x:c r="E225" s="30" t="n">
        <x:f>ROUND(D225*I225,2)</x:f>
        <x:v>23224.76</x:v>
      </x:c>
      <x:c r="F225" s="30" t="n">
        <x:f>0</x:f>
        <x:v>0</x:v>
      </x:c>
      <x:c r="G225" s="30" t="n">
        <x:f>ROUND(E225+F225,2)</x:f>
        <x:v>23224.76</x:v>
      </x:c>
      <x:c r="H225" s="30" t="n">
        <x:f>ROUND(D225-F225,2)</x:f>
        <x:v>3646037.89</x:v>
      </x:c>
      <x:c r="I225" s="33" t="n">
        <x:f>IF(AND(ISNUMBER('Параметры'!$C$7),'Параметры'!$C$7&gt;=0),'Параметры'!$C$7*C225/365,NA())</x:f>
        <x:v>0.00636986301369863</x:v>
      </x:c>
      <x:c r="J225" s="32" t="n">
        <x:f>J224/(1+I225)</x:f>
        <x:v>0.25568161538568873</x:v>
      </x:c>
      <x:c r="K225" s="33" t="n">
        <x:f>IF(AND(ISNUMBER('Параметры'!$C$8),'Параметры'!$C$8&gt;=0),'Параметры'!$C$8*C225/365,NA())</x:f>
        <x:v>0.00636986301369863</x:v>
      </x:c>
      <x:c r="L225" s="32" t="n">
        <x:f>L224/(1+K225)</x:f>
        <x:v>0.25568161538568873</x:v>
      </x:c>
      <x:c r="M225" s="30" t="n">
        <x:f>E225*L225</x:f>
        <x:v>5938.144153744928</x:v>
      </x:c>
      <x:c r="N225" s="30" t="n">
        <x:f>F225*L225</x:f>
        <x:v>0</x:v>
      </x:c>
      <x:c r="O225" s="30" t="n">
        <x:f>G225*L225</x:f>
        <x:v>5938.144153744928</x:v>
      </x:c>
    </x:row>
    <x:row r="226" ht="21" customHeight="1">
      <x:c r="A226" s="28" t="n">
        <x:v>220</x:v>
      </x:c>
      <x:c r="B226" s="29" t="n">
        <x:v>51492</x:v>
      </x:c>
      <x:c r="C226" s="28" t="n">
        <x:f>B226-B225</x:f>
        <x:v>30</x:v>
      </x:c>
      <x:c r="D226" s="30" t="n">
        <x:f>H225</x:f>
        <x:v>3646037.89</x:v>
      </x:c>
      <x:c r="E226" s="30" t="n">
        <x:f>ROUND(D226*I226,2)</x:f>
        <x:v>22475.58</x:v>
      </x:c>
      <x:c r="F226" s="30" t="n">
        <x:f>0</x:f>
        <x:v>0</x:v>
      </x:c>
      <x:c r="G226" s="30" t="n">
        <x:f>ROUND(E226+F226,2)</x:f>
        <x:v>22475.58</x:v>
      </x:c>
      <x:c r="H226" s="30" t="n">
        <x:f>ROUND(D226-F226,2)</x:f>
        <x:v>3646037.89</x:v>
      </x:c>
      <x:c r="I226" s="33" t="n">
        <x:f>IF(AND(ISNUMBER('Параметры'!$C$7),'Параметры'!$C$7&gt;=0),'Параметры'!$C$7*C226/365,NA())</x:f>
        <x:v>0.0061643835616438354</x:v>
      </x:c>
      <x:c r="J226" s="32" t="n">
        <x:f>J225/(1+I226)</x:f>
        <x:v>0.2541151521192005</x:v>
      </x:c>
      <x:c r="K226" s="33" t="n">
        <x:f>IF(AND(ISNUMBER('Параметры'!$C$8),'Параметры'!$C$8&gt;=0),'Параметры'!$C$8*C226/365,NA())</x:f>
        <x:v>0.0061643835616438354</x:v>
      </x:c>
      <x:c r="L226" s="32" t="n">
        <x:f>L225/(1+K226)</x:f>
        <x:v>0.2541151521192005</x:v>
      </x:c>
      <x:c r="M226" s="30" t="n">
        <x:f>E226*L226</x:f>
        <x:v>5711.385430667261</x:v>
      </x:c>
      <x:c r="N226" s="30" t="n">
        <x:f>F226*L226</x:f>
        <x:v>0</x:v>
      </x:c>
      <x:c r="O226" s="30" t="n">
        <x:f>G226*L226</x:f>
        <x:v>5711.385430667261</x:v>
      </x:c>
    </x:row>
    <x:row r="227" ht="21" customHeight="1">
      <x:c r="A227" s="28" t="n">
        <x:v>221</x:v>
      </x:c>
      <x:c r="B227" s="29" t="n">
        <x:v>51523</x:v>
      </x:c>
      <x:c r="C227" s="28" t="n">
        <x:f>B227-B226</x:f>
        <x:v>31</x:v>
      </x:c>
      <x:c r="D227" s="30" t="n">
        <x:f>H226</x:f>
        <x:v>3646037.89</x:v>
      </x:c>
      <x:c r="E227" s="30" t="n">
        <x:f>ROUND(D227*I227,2)</x:f>
        <x:v>23224.76</x:v>
      </x:c>
      <x:c r="F227" s="30" t="n">
        <x:f>0</x:f>
        <x:v>0</x:v>
      </x:c>
      <x:c r="G227" s="30" t="n">
        <x:f>ROUND(E227+F227,2)</x:f>
        <x:v>23224.76</x:v>
      </x:c>
      <x:c r="H227" s="30" t="n">
        <x:f>ROUND(D227-F227,2)</x:f>
        <x:v>3646037.89</x:v>
      </x:c>
      <x:c r="I227" s="33" t="n">
        <x:f>IF(AND(ISNUMBER('Параметры'!$C$7),'Параметры'!$C$7&gt;=0),'Параметры'!$C$7*C227/365,NA())</x:f>
        <x:v>0.00636986301369863</x:v>
      </x:c>
      <x:c r="J227" s="32" t="n">
        <x:f>J226/(1+I227)</x:f>
        <x:v>0.25250671890970716</x:v>
      </x:c>
      <x:c r="K227" s="33" t="n">
        <x:f>IF(AND(ISNUMBER('Параметры'!$C$8),'Параметры'!$C$8&gt;=0),'Параметры'!$C$8*C227/365,NA())</x:f>
        <x:v>0.00636986301369863</x:v>
      </x:c>
      <x:c r="L227" s="32" t="n">
        <x:f>L226/(1+K227)</x:f>
        <x:v>0.25250671890970716</x:v>
      </x:c>
      <x:c r="M227" s="30" t="n">
        <x:f>E227*L227</x:f>
        <x:v>5864.40794506541</x:v>
      </x:c>
      <x:c r="N227" s="30" t="n">
        <x:f>F227*L227</x:f>
        <x:v>0</x:v>
      </x:c>
      <x:c r="O227" s="30" t="n">
        <x:f>G227*L227</x:f>
        <x:v>5864.40794506541</x:v>
      </x:c>
    </x:row>
    <x:row r="228" ht="21" customHeight="1">
      <x:c r="A228" s="28" t="n">
        <x:v>222</x:v>
      </x:c>
      <x:c r="B228" s="29" t="n">
        <x:v>51554</x:v>
      </x:c>
      <x:c r="C228" s="28" t="n">
        <x:f>B228-B227</x:f>
        <x:v>31</x:v>
      </x:c>
      <x:c r="D228" s="30" t="n">
        <x:f>H227</x:f>
        <x:v>3646037.89</x:v>
      </x:c>
      <x:c r="E228" s="30" t="n">
        <x:f>ROUND(D228*I228,2)</x:f>
        <x:v>23224.76</x:v>
      </x:c>
      <x:c r="F228" s="30" t="n">
        <x:f>0</x:f>
        <x:v>0</x:v>
      </x:c>
      <x:c r="G228" s="30" t="n">
        <x:f>ROUND(E228+F228,2)</x:f>
        <x:v>23224.76</x:v>
      </x:c>
      <x:c r="H228" s="30" t="n">
        <x:f>ROUND(D228-F228,2)</x:f>
        <x:v>3646037.89</x:v>
      </x:c>
      <x:c r="I228" s="33" t="n">
        <x:f>IF(AND(ISNUMBER('Параметры'!$C$7),'Параметры'!$C$7&gt;=0),'Параметры'!$C$7*C228/365,NA())</x:f>
        <x:v>0.00636986301369863</x:v>
      </x:c>
      <x:c r="J228" s="32" t="n">
        <x:f>J227/(1+I228)</x:f>
        <x:v>0.25090846635007996</x:v>
      </x:c>
      <x:c r="K228" s="33" t="n">
        <x:f>IF(AND(ISNUMBER('Параметры'!$C$8),'Параметры'!$C$8&gt;=0),'Параметры'!$C$8*C228/365,NA())</x:f>
        <x:v>0.00636986301369863</x:v>
      </x:c>
      <x:c r="L228" s="32" t="n">
        <x:f>L227/(1+K228)</x:f>
        <x:v>0.25090846635007996</x:v>
      </x:c>
      <x:c r="M228" s="30" t="n">
        <x:f>E228*L228</x:f>
        <x:v>5827.288912948683</x:v>
      </x:c>
      <x:c r="N228" s="30" t="n">
        <x:f>F228*L228</x:f>
        <x:v>0</x:v>
      </x:c>
      <x:c r="O228" s="30" t="n">
        <x:f>G228*L228</x:f>
        <x:v>5827.288912948683</x:v>
      </x:c>
    </x:row>
    <x:row r="229" ht="21" customHeight="1">
      <x:c r="A229" s="28" t="n">
        <x:v>223</x:v>
      </x:c>
      <x:c r="B229" s="29" t="n">
        <x:v>51582</x:v>
      </x:c>
      <x:c r="C229" s="28" t="n">
        <x:f>B229-B228</x:f>
        <x:v>28</x:v>
      </x:c>
      <x:c r="D229" s="30" t="n">
        <x:f>H228</x:f>
        <x:v>3646037.89</x:v>
      </x:c>
      <x:c r="E229" s="30" t="n">
        <x:f>ROUND(D229*I229,2)</x:f>
        <x:v>20977.2</x:v>
      </x:c>
      <x:c r="F229" s="30" t="n">
        <x:f>0</x:f>
        <x:v>0</x:v>
      </x:c>
      <x:c r="G229" s="30" t="n">
        <x:f>ROUND(E229+F229,2)</x:f>
        <x:v>20977.2</x:v>
      </x:c>
      <x:c r="H229" s="30" t="n">
        <x:f>ROUND(D229-F229,2)</x:f>
        <x:v>3646037.89</x:v>
      </x:c>
      <x:c r="I229" s="33" t="n">
        <x:f>IF(AND(ISNUMBER('Параметры'!$C$7),'Параметры'!$C$7&gt;=0),'Параметры'!$C$7*C229/365,NA())</x:f>
        <x:v>0.005753424657534247</x:v>
      </x:c>
      <x:c r="J229" s="32" t="n">
        <x:f>J228/(1+I229)</x:f>
        <x:v>0.2494731414268025</x:v>
      </x:c>
      <x:c r="K229" s="33" t="n">
        <x:f>IF(AND(ISNUMBER('Параметры'!$C$8),'Параметры'!$C$8&gt;=0),'Параметры'!$C$8*C229/365,NA())</x:f>
        <x:v>0.005753424657534247</x:v>
      </x:c>
      <x:c r="L229" s="32" t="n">
        <x:f>L228/(1+K229)</x:f>
        <x:v>0.2494731414268025</x:v>
      </x:c>
      <x:c r="M229" s="30" t="n">
        <x:f>E229*L229</x:f>
        <x:v>5233.247982338321</x:v>
      </x:c>
      <x:c r="N229" s="30" t="n">
        <x:f>F229*L229</x:f>
        <x:v>0</x:v>
      </x:c>
      <x:c r="O229" s="30" t="n">
        <x:f>G229*L229</x:f>
        <x:v>5233.247982338321</x:v>
      </x:c>
    </x:row>
    <x:row r="230" ht="21" customHeight="1">
      <x:c r="A230" s="28" t="n">
        <x:v>224</x:v>
      </x:c>
      <x:c r="B230" s="29" t="n">
        <x:v>51613</x:v>
      </x:c>
      <x:c r="C230" s="28" t="n">
        <x:f>B230-B229</x:f>
        <x:v>31</x:v>
      </x:c>
      <x:c r="D230" s="30" t="n">
        <x:f>H229</x:f>
        <x:v>3646037.89</x:v>
      </x:c>
      <x:c r="E230" s="30" t="n">
        <x:f>ROUND(D230*I230,2)</x:f>
        <x:v>23224.76</x:v>
      </x:c>
      <x:c r="F230" s="30" t="n">
        <x:f>0</x:f>
        <x:v>0</x:v>
      </x:c>
      <x:c r="G230" s="30" t="n">
        <x:f>ROUND(E230+F230,2)</x:f>
        <x:v>23224.76</x:v>
      </x:c>
      <x:c r="H230" s="30" t="n">
        <x:f>ROUND(D230-F230,2)</x:f>
        <x:v>3646037.89</x:v>
      </x:c>
      <x:c r="I230" s="33" t="n">
        <x:f>IF(AND(ISNUMBER('Параметры'!$C$7),'Параметры'!$C$7&gt;=0),'Параметры'!$C$7*C230/365,NA())</x:f>
        <x:v>0.00636986301369863</x:v>
      </x:c>
      <x:c r="J230" s="32" t="n">
        <x:f>J229/(1+I230)</x:f>
        <x:v>0.24789409003139704</x:v>
      </x:c>
      <x:c r="K230" s="33" t="n">
        <x:f>IF(AND(ISNUMBER('Параметры'!$C$8),'Параметры'!$C$8&gt;=0),'Параметры'!$C$8*C230/365,NA())</x:f>
        <x:v>0.00636986301369863</x:v>
      </x:c>
      <x:c r="L230" s="32" t="n">
        <x:f>L229/(1+K230)</x:f>
        <x:v>0.24789409003139704</x:v>
      </x:c>
      <x:c r="M230" s="30" t="n">
        <x:f>E230*L230</x:f>
        <x:v>5757.280746397588</x:v>
      </x:c>
      <x:c r="N230" s="30" t="n">
        <x:f>F230*L230</x:f>
        <x:v>0</x:v>
      </x:c>
      <x:c r="O230" s="30" t="n">
        <x:f>G230*L230</x:f>
        <x:v>5757.280746397588</x:v>
      </x:c>
    </x:row>
    <x:row r="231" ht="21" customHeight="1">
      <x:c r="A231" s="28" t="n">
        <x:v>225</x:v>
      </x:c>
      <x:c r="B231" s="29" t="n">
        <x:v>51643</x:v>
      </x:c>
      <x:c r="C231" s="28" t="n">
        <x:f>B231-B230</x:f>
        <x:v>30</x:v>
      </x:c>
      <x:c r="D231" s="30" t="n">
        <x:f>H230</x:f>
        <x:v>3646037.89</x:v>
      </x:c>
      <x:c r="E231" s="30" t="n">
        <x:f>ROUND(D231*I231,2)</x:f>
        <x:v>22475.58</x:v>
      </x:c>
      <x:c r="F231" s="30" t="n">
        <x:f>0</x:f>
        <x:v>0</x:v>
      </x:c>
      <x:c r="G231" s="30" t="n">
        <x:f>ROUND(E231+F231,2)</x:f>
        <x:v>22475.58</x:v>
      </x:c>
      <x:c r="H231" s="30" t="n">
        <x:f>ROUND(D231-F231,2)</x:f>
        <x:v>3646037.89</x:v>
      </x:c>
      <x:c r="I231" s="33" t="n">
        <x:f>IF(AND(ISNUMBER('Параметры'!$C$7),'Параметры'!$C$7&gt;=0),'Параметры'!$C$7*C231/365,NA())</x:f>
        <x:v>0.0061643835616438354</x:v>
      </x:c>
      <x:c r="J231" s="32" t="n">
        <x:f>J230/(1+I231)</x:f>
        <x:v>0.24637533794815497</x:v>
      </x:c>
      <x:c r="K231" s="33" t="n">
        <x:f>IF(AND(ISNUMBER('Параметры'!$C$8),'Параметры'!$C$8&gt;=0),'Параметры'!$C$8*C231/365,NA())</x:f>
        <x:v>0.0061643835616438354</x:v>
      </x:c>
      <x:c r="L231" s="32" t="n">
        <x:f>L230/(1+K231)</x:f>
        <x:v>0.24637533794815497</x:v>
      </x:c>
      <x:c r="M231" s="30" t="n">
        <x:f>E231*L231</x:f>
        <x:v>5537.428618080793</x:v>
      </x:c>
      <x:c r="N231" s="30" t="n">
        <x:f>F231*L231</x:f>
        <x:v>0</x:v>
      </x:c>
      <x:c r="O231" s="30" t="n">
        <x:f>G231*L231</x:f>
        <x:v>5537.428618080793</x:v>
      </x:c>
    </x:row>
    <x:row r="232" ht="21" customHeight="1">
      <x:c r="A232" s="28" t="n">
        <x:v>226</x:v>
      </x:c>
      <x:c r="B232" s="29" t="n">
        <x:v>51674</x:v>
      </x:c>
      <x:c r="C232" s="28" t="n">
        <x:f>B232-B231</x:f>
        <x:v>31</x:v>
      </x:c>
      <x:c r="D232" s="30" t="n">
        <x:f>H231</x:f>
        <x:v>3646037.89</x:v>
      </x:c>
      <x:c r="E232" s="30" t="n">
        <x:f>ROUND(D232*I232,2)</x:f>
        <x:v>23224.76</x:v>
      </x:c>
      <x:c r="F232" s="30" t="n">
        <x:f>0</x:f>
        <x:v>0</x:v>
      </x:c>
      <x:c r="G232" s="30" t="n">
        <x:f>ROUND(E232+F232,2)</x:f>
        <x:v>23224.76</x:v>
      </x:c>
      <x:c r="H232" s="30" t="n">
        <x:f>ROUND(D232-F232,2)</x:f>
        <x:v>3646037.89</x:v>
      </x:c>
      <x:c r="I232" s="33" t="n">
        <x:f>IF(AND(ISNUMBER('Параметры'!$C$7),'Параметры'!$C$7&gt;=0),'Параметры'!$C$7*C232/365,NA())</x:f>
        <x:v>0.00636986301369863</x:v>
      </x:c>
      <x:c r="J232" s="32" t="n">
        <x:f>J231/(1+I232)</x:f>
        <x:v>0.244815894238281</x:v>
      </x:c>
      <x:c r="K232" s="33" t="n">
        <x:f>IF(AND(ISNUMBER('Параметры'!$C$8),'Параметры'!$C$8&gt;=0),'Параметры'!$C$8*C232/365,NA())</x:f>
        <x:v>0.00636986301369863</x:v>
      </x:c>
      <x:c r="L232" s="32" t="n">
        <x:f>L231/(1+K232)</x:f>
        <x:v>0.244815894238281</x:v>
      </x:c>
      <x:c r="M232" s="30" t="n">
        <x:f>E232*L232</x:f>
        <x:v>5685.790387869459</x:v>
      </x:c>
      <x:c r="N232" s="30" t="n">
        <x:f>F232*L232</x:f>
        <x:v>0</x:v>
      </x:c>
      <x:c r="O232" s="30" t="n">
        <x:f>G232*L232</x:f>
        <x:v>5685.790387869459</x:v>
      </x:c>
    </x:row>
    <x:row r="233" ht="21" customHeight="1">
      <x:c r="A233" s="28" t="n">
        <x:v>227</x:v>
      </x:c>
      <x:c r="B233" s="29" t="n">
        <x:v>51704</x:v>
      </x:c>
      <x:c r="C233" s="28" t="n">
        <x:f>B233-B232</x:f>
        <x:v>30</x:v>
      </x:c>
      <x:c r="D233" s="30" t="n">
        <x:f>H232</x:f>
        <x:v>3646037.89</x:v>
      </x:c>
      <x:c r="E233" s="30" t="n">
        <x:f>ROUND(D233*I233,2)</x:f>
        <x:v>22475.58</x:v>
      </x:c>
      <x:c r="F233" s="30" t="n">
        <x:f>0</x:f>
        <x:v>0</x:v>
      </x:c>
      <x:c r="G233" s="30" t="n">
        <x:f>ROUND(E233+F233,2)</x:f>
        <x:v>22475.58</x:v>
      </x:c>
      <x:c r="H233" s="30" t="n">
        <x:f>ROUND(D233-F233,2)</x:f>
        <x:v>3646037.89</x:v>
      </x:c>
      <x:c r="I233" s="33" t="n">
        <x:f>IF(AND(ISNUMBER('Параметры'!$C$7),'Параметры'!$C$7&gt;=0),'Параметры'!$C$7*C233/365,NA())</x:f>
        <x:v>0.0061643835616438354</x:v>
      </x:c>
      <x:c r="J233" s="32" t="n">
        <x:f>J232/(1+I233)</x:f>
        <x:v>0.2433160010809328</x:v>
      </x:c>
      <x:c r="K233" s="33" t="n">
        <x:f>IF(AND(ISNUMBER('Параметры'!$C$8),'Параметры'!$C$8&gt;=0),'Параметры'!$C$8*C233/365,NA())</x:f>
        <x:v>0.0061643835616438354</x:v>
      </x:c>
      <x:c r="L233" s="32" t="n">
        <x:f>L232/(1+K233)</x:f>
        <x:v>0.2433160010809328</x:v>
      </x:c>
      <x:c r="M233" s="30" t="n">
        <x:f>E233*L233</x:f>
        <x:v>5468.668247574592</x:v>
      </x:c>
      <x:c r="N233" s="30" t="n">
        <x:f>F233*L233</x:f>
        <x:v>0</x:v>
      </x:c>
      <x:c r="O233" s="30" t="n">
        <x:f>G233*L233</x:f>
        <x:v>5468.668247574592</x:v>
      </x:c>
    </x:row>
    <x:row r="234" ht="21" customHeight="1">
      <x:c r="A234" s="28" t="n">
        <x:v>228</x:v>
      </x:c>
      <x:c r="B234" s="29" t="n">
        <x:v>51735</x:v>
      </x:c>
      <x:c r="C234" s="28" t="n">
        <x:f>B234-B233</x:f>
        <x:v>31</x:v>
      </x:c>
      <x:c r="D234" s="30" t="n">
        <x:f>H233</x:f>
        <x:v>3646037.89</x:v>
      </x:c>
      <x:c r="E234" s="30" t="n">
        <x:f>ROUND(D234*I234,2)</x:f>
        <x:v>23224.76</x:v>
      </x:c>
      <x:c r="F234" s="30" t="n">
        <x:f>0</x:f>
        <x:v>0</x:v>
      </x:c>
      <x:c r="G234" s="30" t="n">
        <x:f>ROUND(E234+F234,2)</x:f>
        <x:v>23224.76</x:v>
      </x:c>
      <x:c r="H234" s="30" t="n">
        <x:f>ROUND(D234-F234,2)</x:f>
        <x:v>3646037.89</x:v>
      </x:c>
      <x:c r="I234" s="33" t="n">
        <x:f>IF(AND(ISNUMBER('Параметры'!$C$7),'Параметры'!$C$7&gt;=0),'Параметры'!$C$7*C234/365,NA())</x:f>
        <x:v>0.00636986301369863</x:v>
      </x:c>
      <x:c r="J234" s="32" t="n">
        <x:f>J233/(1+I234)</x:f>
        <x:v>0.24177592158045458</x:v>
      </x:c>
      <x:c r="K234" s="33" t="n">
        <x:f>IF(AND(ISNUMBER('Параметры'!$C$8),'Параметры'!$C$8&gt;=0),'Параметры'!$C$8*C234/365,NA())</x:f>
        <x:v>0.00636986301369863</x:v>
      </x:c>
      <x:c r="L234" s="32" t="n">
        <x:f>L233/(1+K234)</x:f>
        <x:v>0.24177592158045458</x:v>
      </x:c>
      <x:c r="M234" s="30" t="n">
        <x:f>E234*L234</x:f>
        <x:v>5615.187752484878</x:v>
      </x:c>
      <x:c r="N234" s="30" t="n">
        <x:f>F234*L234</x:f>
        <x:v>0</x:v>
      </x:c>
      <x:c r="O234" s="30" t="n">
        <x:f>G234*L234</x:f>
        <x:v>5615.187752484878</x:v>
      </x:c>
    </x:row>
    <x:row r="235" ht="21" customHeight="1">
      <x:c r="A235" s="28" t="n">
        <x:v>229</x:v>
      </x:c>
      <x:c r="B235" s="29" t="n">
        <x:v>51766</x:v>
      </x:c>
      <x:c r="C235" s="28" t="n">
        <x:f>B235-B234</x:f>
        <x:v>31</x:v>
      </x:c>
      <x:c r="D235" s="30" t="n">
        <x:f>H234</x:f>
        <x:v>3646037.89</x:v>
      </x:c>
      <x:c r="E235" s="30" t="n">
        <x:f>ROUND(D235*I235,2)</x:f>
        <x:v>23224.76</x:v>
      </x:c>
      <x:c r="F235" s="30" t="n">
        <x:f>0</x:f>
        <x:v>0</x:v>
      </x:c>
      <x:c r="G235" s="30" t="n">
        <x:f>ROUND(E235+F235,2)</x:f>
        <x:v>23224.76</x:v>
      </x:c>
      <x:c r="H235" s="30" t="n">
        <x:f>ROUND(D235-F235,2)</x:f>
        <x:v>3646037.89</x:v>
      </x:c>
      <x:c r="I235" s="33" t="n">
        <x:f>IF(AND(ISNUMBER('Параметры'!$C$7),'Параметры'!$C$7&gt;=0),'Параметры'!$C$7*C235/365,NA())</x:f>
        <x:v>0.00636986301369863</x:v>
      </x:c>
      <x:c r="J235" s="32" t="n">
        <x:f>J234/(1+I235)</x:f>
        <x:v>0.24024559008198715</x:v>
      </x:c>
      <x:c r="K235" s="33" t="n">
        <x:f>IF(AND(ISNUMBER('Параметры'!$C$8),'Параметры'!$C$8&gt;=0),'Параметры'!$C$8*C235/365,NA())</x:f>
        <x:v>0.00636986301369863</x:v>
      </x:c>
      <x:c r="L235" s="32" t="n">
        <x:f>L234/(1+K235)</x:f>
        <x:v>0.24024559008198715</x:v>
      </x:c>
      <x:c r="M235" s="30" t="n">
        <x:f>E235*L235</x:f>
        <x:v>5579.646170712532</x:v>
      </x:c>
      <x:c r="N235" s="30" t="n">
        <x:f>F235*L235</x:f>
        <x:v>0</x:v>
      </x:c>
      <x:c r="O235" s="30" t="n">
        <x:f>G235*L235</x:f>
        <x:v>5579.646170712532</x:v>
      </x:c>
    </x:row>
    <x:row r="236" ht="21" customHeight="1">
      <x:c r="A236" s="28" t="n">
        <x:v>230</x:v>
      </x:c>
      <x:c r="B236" s="29" t="n">
        <x:v>51796</x:v>
      </x:c>
      <x:c r="C236" s="28" t="n">
        <x:f>B236-B235</x:f>
        <x:v>30</x:v>
      </x:c>
      <x:c r="D236" s="30" t="n">
        <x:f>H235</x:f>
        <x:v>3646037.89</x:v>
      </x:c>
      <x:c r="E236" s="30" t="n">
        <x:f>ROUND(D236*I236,2)</x:f>
        <x:v>22475.58</x:v>
      </x:c>
      <x:c r="F236" s="30" t="n">
        <x:f>0</x:f>
        <x:v>0</x:v>
      </x:c>
      <x:c r="G236" s="30" t="n">
        <x:f>ROUND(E236+F236,2)</x:f>
        <x:v>22475.58</x:v>
      </x:c>
      <x:c r="H236" s="30" t="n">
        <x:f>ROUND(D236-F236,2)</x:f>
        <x:v>3646037.89</x:v>
      </x:c>
      <x:c r="I236" s="33" t="n">
        <x:f>IF(AND(ISNUMBER('Параметры'!$C$7),'Параметры'!$C$7&gt;=0),'Параметры'!$C$7*C236/365,NA())</x:f>
        <x:v>0.0061643835616438354</x:v>
      </x:c>
      <x:c r="J236" s="32" t="n">
        <x:f>J235/(1+I236)</x:f>
        <x:v>0.23877369742661758</x:v>
      </x:c>
      <x:c r="K236" s="33" t="n">
        <x:f>IF(AND(ISNUMBER('Параметры'!$C$8),'Параметры'!$C$8&gt;=0),'Параметры'!$C$8*C236/365,NA())</x:f>
        <x:v>0.0061643835616438354</x:v>
      </x:c>
      <x:c r="L236" s="32" t="n">
        <x:f>L235/(1+K236)</x:f>
        <x:v>0.23877369742661758</x:v>
      </x:c>
      <x:c r="M236" s="30" t="n">
        <x:f>E236*L236</x:f>
        <x:v>5366.577338407738</x:v>
      </x:c>
      <x:c r="N236" s="30" t="n">
        <x:f>F236*L236</x:f>
        <x:v>0</x:v>
      </x:c>
      <x:c r="O236" s="30" t="n">
        <x:f>G236*L236</x:f>
        <x:v>5366.577338407738</x:v>
      </x:c>
    </x:row>
    <x:row r="237" ht="21" customHeight="1">
      <x:c r="A237" s="28" t="n">
        <x:v>231</x:v>
      </x:c>
      <x:c r="B237" s="29" t="n">
        <x:v>51827</x:v>
      </x:c>
      <x:c r="C237" s="28" t="n">
        <x:f>B237-B236</x:f>
        <x:v>31</x:v>
      </x:c>
      <x:c r="D237" s="30" t="n">
        <x:f>H236</x:f>
        <x:v>3646037.89</x:v>
      </x:c>
      <x:c r="E237" s="30" t="n">
        <x:f>ROUND(D237*I237,2)</x:f>
        <x:v>23224.76</x:v>
      </x:c>
      <x:c r="F237" s="30" t="n">
        <x:f>0</x:f>
        <x:v>0</x:v>
      </x:c>
      <x:c r="G237" s="30" t="n">
        <x:f>ROUND(E237+F237,2)</x:f>
        <x:v>23224.76</x:v>
      </x:c>
      <x:c r="H237" s="30" t="n">
        <x:f>ROUND(D237-F237,2)</x:f>
        <x:v>3646037.89</x:v>
      </x:c>
      <x:c r="I237" s="33" t="n">
        <x:f>IF(AND(ISNUMBER('Параметры'!$C$7),'Параметры'!$C$7&gt;=0),'Параметры'!$C$7*C237/365,NA())</x:f>
        <x:v>0.00636986301369863</x:v>
      </x:c>
      <x:c r="J237" s="32" t="n">
        <x:f>J236/(1+I237)</x:f>
        <x:v>0.23726236864007466</x:v>
      </x:c>
      <x:c r="K237" s="33" t="n">
        <x:f>IF(AND(ISNUMBER('Параметры'!$C$8),'Параметры'!$C$8&gt;=0),'Параметры'!$C$8*C237/365,NA())</x:f>
        <x:v>0.00636986301369863</x:v>
      </x:c>
      <x:c r="L237" s="32" t="n">
        <x:f>L236/(1+K237)</x:f>
        <x:v>0.23726236864007466</x:v>
      </x:c>
      <x:c r="M237" s="30" t="n">
        <x:f>E237*L237</x:f>
        <x:v>5510.36156869726</x:v>
      </x:c>
      <x:c r="N237" s="30" t="n">
        <x:f>F237*L237</x:f>
        <x:v>0</x:v>
      </x:c>
      <x:c r="O237" s="30" t="n">
        <x:f>G237*L237</x:f>
        <x:v>5510.36156869726</x:v>
      </x:c>
    </x:row>
    <x:row r="238" ht="21" customHeight="1">
      <x:c r="A238" s="28" t="n">
        <x:v>232</x:v>
      </x:c>
      <x:c r="B238" s="29" t="n">
        <x:v>51857</x:v>
      </x:c>
      <x:c r="C238" s="28" t="n">
        <x:f>B238-B237</x:f>
        <x:v>30</x:v>
      </x:c>
      <x:c r="D238" s="30" t="n">
        <x:f>H237</x:f>
        <x:v>3646037.89</x:v>
      </x:c>
      <x:c r="E238" s="30" t="n">
        <x:f>ROUND(D238*I238,2)</x:f>
        <x:v>22475.58</x:v>
      </x:c>
      <x:c r="F238" s="30" t="n">
        <x:f>0</x:f>
        <x:v>0</x:v>
      </x:c>
      <x:c r="G238" s="30" t="n">
        <x:f>ROUND(E238+F238,2)</x:f>
        <x:v>22475.58</x:v>
      </x:c>
      <x:c r="H238" s="30" t="n">
        <x:f>ROUND(D238-F238,2)</x:f>
        <x:v>3646037.89</x:v>
      </x:c>
      <x:c r="I238" s="33" t="n">
        <x:f>IF(AND(ISNUMBER('Параметры'!$C$7),'Параметры'!$C$7&gt;=0),'Параметры'!$C$7*C238/365,NA())</x:f>
        <x:v>0.0061643835616438354</x:v>
      </x:c>
      <x:c r="J238" s="32" t="n">
        <x:f>J237/(1+I238)</x:f>
        <x:v>0.23580875303914842</x:v>
      </x:c>
      <x:c r="K238" s="33" t="n">
        <x:f>IF(AND(ISNUMBER('Параметры'!$C$8),'Параметры'!$C$8&gt;=0),'Параметры'!$C$8*C238/365,NA())</x:f>
        <x:v>0.0061643835616438354</x:v>
      </x:c>
      <x:c r="L238" s="32" t="n">
        <x:f>L237/(1+K238)</x:f>
        <x:v>0.23580875303914842</x:v>
      </x:c>
      <x:c r="M238" s="30" t="n">
        <x:f>E238*L238</x:f>
        <x:v>5299.938493631624</x:v>
      </x:c>
      <x:c r="N238" s="30" t="n">
        <x:f>F238*L238</x:f>
        <x:v>0</x:v>
      </x:c>
      <x:c r="O238" s="30" t="n">
        <x:f>G238*L238</x:f>
        <x:v>5299.938493631624</x:v>
      </x:c>
    </x:row>
    <x:row r="239" ht="21" customHeight="1">
      <x:c r="A239" s="28" t="n">
        <x:v>233</x:v>
      </x:c>
      <x:c r="B239" s="29" t="n">
        <x:v>51888</x:v>
      </x:c>
      <x:c r="C239" s="28" t="n">
        <x:f>B239-B238</x:f>
        <x:v>31</x:v>
      </x:c>
      <x:c r="D239" s="30" t="n">
        <x:f>H238</x:f>
        <x:v>3646037.89</x:v>
      </x:c>
      <x:c r="E239" s="30" t="n">
        <x:f>ROUND(D239*I239,2)</x:f>
        <x:v>23224.76</x:v>
      </x:c>
      <x:c r="F239" s="30" t="n">
        <x:f>0</x:f>
        <x:v>0</x:v>
      </x:c>
      <x:c r="G239" s="30" t="n">
        <x:f>ROUND(E239+F239,2)</x:f>
        <x:v>23224.76</x:v>
      </x:c>
      <x:c r="H239" s="30" t="n">
        <x:f>ROUND(D239-F239,2)</x:f>
        <x:v>3646037.89</x:v>
      </x:c>
      <x:c r="I239" s="33" t="n">
        <x:f>IF(AND(ISNUMBER('Параметры'!$C$7),'Параметры'!$C$7&gt;=0),'Параметры'!$C$7*C239/365,NA())</x:f>
        <x:v>0.00636986301369863</x:v>
      </x:c>
      <x:c r="J239" s="32" t="n">
        <x:f>J238/(1+I239)</x:f>
        <x:v>0.23431619100058307</x:v>
      </x:c>
      <x:c r="K239" s="33" t="n">
        <x:f>IF(AND(ISNUMBER('Параметры'!$C$8),'Параметры'!$C$8&gt;=0),'Параметры'!$C$8*C239/365,NA())</x:f>
        <x:v>0.00636986301369863</x:v>
      </x:c>
      <x:c r="L239" s="32" t="n">
        <x:f>L238/(1+K239)</x:f>
        <x:v>0.23431619100058307</x:v>
      </x:c>
      <x:c r="M239" s="30" t="n">
        <x:f>E239*L239</x:f>
        <x:v>5441.937300102702</x:v>
      </x:c>
      <x:c r="N239" s="30" t="n">
        <x:f>F239*L239</x:f>
        <x:v>0</x:v>
      </x:c>
      <x:c r="O239" s="30" t="n">
        <x:f>G239*L239</x:f>
        <x:v>5441.937300102702</x:v>
      </x:c>
    </x:row>
    <x:row r="240" ht="21" customHeight="1">
      <x:c r="A240" s="28" t="n">
        <x:v>234</x:v>
      </x:c>
      <x:c r="B240" s="29" t="n">
        <x:v>51919</x:v>
      </x:c>
      <x:c r="C240" s="28" t="n">
        <x:f>B240-B239</x:f>
        <x:v>31</x:v>
      </x:c>
      <x:c r="D240" s="30" t="n">
        <x:f>H239</x:f>
        <x:v>3646037.89</x:v>
      </x:c>
      <x:c r="E240" s="30" t="n">
        <x:f>ROUND(D240*I240,2)</x:f>
        <x:v>23224.76</x:v>
      </x:c>
      <x:c r="F240" s="30" t="n">
        <x:f>0</x:f>
        <x:v>0</x:v>
      </x:c>
      <x:c r="G240" s="30" t="n">
        <x:f>ROUND(E240+F240,2)</x:f>
        <x:v>23224.76</x:v>
      </x:c>
      <x:c r="H240" s="30" t="n">
        <x:f>ROUND(D240-F240,2)</x:f>
        <x:v>3646037.89</x:v>
      </x:c>
      <x:c r="I240" s="33" t="n">
        <x:f>IF(AND(ISNUMBER('Параметры'!$C$7),'Параметры'!$C$7&gt;=0),'Параметры'!$C$7*C240/365,NA())</x:f>
        <x:v>0.00636986301369863</x:v>
      </x:c>
      <x:c r="J240" s="32" t="n">
        <x:f>J239/(1+I240)</x:f>
        <x:v>0.2328330762001302</x:v>
      </x:c>
      <x:c r="K240" s="33" t="n">
        <x:f>IF(AND(ISNUMBER('Параметры'!$C$8),'Параметры'!$C$8&gt;=0),'Параметры'!$C$8*C240/365,NA())</x:f>
        <x:v>0.00636986301369863</x:v>
      </x:c>
      <x:c r="L240" s="32" t="n">
        <x:f>L239/(1+K240)</x:f>
        <x:v>0.2328330762001302</x:v>
      </x:c>
      <x:c r="M240" s="30" t="n">
        <x:f>E240*L240</x:f>
        <x:v>5407.492314809735</x:v>
      </x:c>
      <x:c r="N240" s="30" t="n">
        <x:f>F240*L240</x:f>
        <x:v>0</x:v>
      </x:c>
      <x:c r="O240" s="30" t="n">
        <x:f>G240*L240</x:f>
        <x:v>5407.492314809735</x:v>
      </x:c>
    </x:row>
    <x:row r="241" ht="21" customHeight="1">
      <x:c r="A241" s="28" t="n">
        <x:v>235</x:v>
      </x:c>
      <x:c r="B241" s="29" t="n">
        <x:v>51947</x:v>
      </x:c>
      <x:c r="C241" s="28" t="n">
        <x:f>B241-B240</x:f>
        <x:v>28</x:v>
      </x:c>
      <x:c r="D241" s="30" t="n">
        <x:f>H240</x:f>
        <x:v>3646037.89</x:v>
      </x:c>
      <x:c r="E241" s="30" t="n">
        <x:f>ROUND(D241*I241,2)</x:f>
        <x:v>20977.2</x:v>
      </x:c>
      <x:c r="F241" s="30" t="n">
        <x:f>0</x:f>
        <x:v>0</x:v>
      </x:c>
      <x:c r="G241" s="30" t="n">
        <x:f>ROUND(E241+F241,2)</x:f>
        <x:v>20977.2</x:v>
      </x:c>
      <x:c r="H241" s="30" t="n">
        <x:f>ROUND(D241-F241,2)</x:f>
        <x:v>3646037.89</x:v>
      </x:c>
      <x:c r="I241" s="33" t="n">
        <x:f>IF(AND(ISNUMBER('Параметры'!$C$7),'Параметры'!$C$7&gt;=0),'Параметры'!$C$7*C241/365,NA())</x:f>
        <x:v>0.005753424657534247</x:v>
      </x:c>
      <x:c r="J241" s="32" t="n">
        <x:f>J240/(1+I241)</x:f>
        <x:v>0.23150115176531608</x:v>
      </x:c>
      <x:c r="K241" s="33" t="n">
        <x:f>IF(AND(ISNUMBER('Параметры'!$C$8),'Параметры'!$C$8&gt;=0),'Параметры'!$C$8*C241/365,NA())</x:f>
        <x:v>0.005753424657534247</x:v>
      </x:c>
      <x:c r="L241" s="32" t="n">
        <x:f>L240/(1+K241)</x:f>
        <x:v>0.23150115176531608</x:v>
      </x:c>
      <x:c r="M241" s="30" t="n">
        <x:f>E241*L241</x:f>
        <x:v>4856.245960811389</x:v>
      </x:c>
      <x:c r="N241" s="30" t="n">
        <x:f>F241*L241</x:f>
        <x:v>0</x:v>
      </x:c>
      <x:c r="O241" s="30" t="n">
        <x:f>G241*L241</x:f>
        <x:v>4856.245960811389</x:v>
      </x:c>
    </x:row>
    <x:row r="242" ht="21" customHeight="1">
      <x:c r="A242" s="28" t="n">
        <x:v>236</x:v>
      </x:c>
      <x:c r="B242" s="29" t="n">
        <x:v>51978</x:v>
      </x:c>
      <x:c r="C242" s="28" t="n">
        <x:f>B242-B241</x:f>
        <x:v>31</x:v>
      </x:c>
      <x:c r="D242" s="30" t="n">
        <x:f>H241</x:f>
        <x:v>3646037.89</x:v>
      </x:c>
      <x:c r="E242" s="30" t="n">
        <x:f>ROUND(D242*I242,2)</x:f>
        <x:v>23224.76</x:v>
      </x:c>
      <x:c r="F242" s="30" t="n">
        <x:f>0</x:f>
        <x:v>0</x:v>
      </x:c>
      <x:c r="G242" s="30" t="n">
        <x:f>ROUND(E242+F242,2)</x:f>
        <x:v>23224.76</x:v>
      </x:c>
      <x:c r="H242" s="30" t="n">
        <x:f>ROUND(D242-F242,2)</x:f>
        <x:v>3646037.89</x:v>
      </x:c>
      <x:c r="I242" s="33" t="n">
        <x:f>IF(AND(ISNUMBER('Параметры'!$C$7),'Параметры'!$C$7&gt;=0),'Параметры'!$C$7*C242/365,NA())</x:f>
        <x:v>0.00636986301369863</x:v>
      </x:c>
      <x:c r="J242" s="32" t="n">
        <x:f>J241/(1+I242)</x:f>
        <x:v>0.23003585488148198</x:v>
      </x:c>
      <x:c r="K242" s="33" t="n">
        <x:f>IF(AND(ISNUMBER('Параметры'!$C$8),'Параметры'!$C$8&gt;=0),'Параметры'!$C$8*C242/365,NA())</x:f>
        <x:v>0.00636986301369863</x:v>
      </x:c>
      <x:c r="L242" s="32" t="n">
        <x:f>L241/(1+K242)</x:f>
        <x:v>0.23003585488148198</x:v>
      </x:c>
      <x:c r="M242" s="30" t="n">
        <x:f>E242*L242</x:f>
        <x:v>5342.527521017247</x:v>
      </x:c>
      <x:c r="N242" s="30" t="n">
        <x:f>F242*L242</x:f>
        <x:v>0</x:v>
      </x:c>
      <x:c r="O242" s="30" t="n">
        <x:f>G242*L242</x:f>
        <x:v>5342.527521017247</x:v>
      </x:c>
    </x:row>
    <x:row r="243" ht="21" customHeight="1">
      <x:c r="A243" s="28" t="n">
        <x:v>237</x:v>
      </x:c>
      <x:c r="B243" s="29" t="n">
        <x:v>52008</x:v>
      </x:c>
      <x:c r="C243" s="28" t="n">
        <x:f>B243-B242</x:f>
        <x:v>30</x:v>
      </x:c>
      <x:c r="D243" s="30" t="n">
        <x:f>H242</x:f>
        <x:v>3646037.89</x:v>
      </x:c>
      <x:c r="E243" s="30" t="n">
        <x:f>ROUND(D243*I243,2)</x:f>
        <x:v>22475.58</x:v>
      </x:c>
      <x:c r="F243" s="30" t="n">
        <x:f>0</x:f>
        <x:v>0</x:v>
      </x:c>
      <x:c r="G243" s="30" t="n">
        <x:f>ROUND(E243+F243,2)</x:f>
        <x:v>22475.58</x:v>
      </x:c>
      <x:c r="H243" s="30" t="n">
        <x:f>ROUND(D243-F243,2)</x:f>
        <x:v>3646037.89</x:v>
      </x:c>
      <x:c r="I243" s="33" t="n">
        <x:f>IF(AND(ISNUMBER('Параметры'!$C$7),'Параметры'!$C$7&gt;=0),'Параметры'!$C$7*C243/365,NA())</x:f>
        <x:v>0.0061643835616438354</x:v>
      </x:c>
      <x:c r="J243" s="32" t="n">
        <x:f>J242/(1+I243)</x:f>
        <x:v>0.22862651336076495</x:v>
      </x:c>
      <x:c r="K243" s="33" t="n">
        <x:f>IF(AND(ISNUMBER('Параметры'!$C$8),'Параметры'!$C$8&gt;=0),'Параметры'!$C$8*C243/365,NA())</x:f>
        <x:v>0.0061643835616438354</x:v>
      </x:c>
      <x:c r="L243" s="32" t="n">
        <x:f>L242/(1+K243)</x:f>
        <x:v>0.22862651336076495</x:v>
      </x:c>
      <x:c r="M243" s="30" t="n">
        <x:f>E243*L243</x:f>
        <x:v>5138.513491160942</x:v>
      </x:c>
      <x:c r="N243" s="30" t="n">
        <x:f>F243*L243</x:f>
        <x:v>0</x:v>
      </x:c>
      <x:c r="O243" s="30" t="n">
        <x:f>G243*L243</x:f>
        <x:v>5138.513491160942</x:v>
      </x:c>
    </x:row>
    <x:row r="244" ht="21" customHeight="1">
      <x:c r="A244" s="28" t="n">
        <x:v>238</x:v>
      </x:c>
      <x:c r="B244" s="29" t="n">
        <x:v>52039</x:v>
      </x:c>
      <x:c r="C244" s="28" t="n">
        <x:f>B244-B243</x:f>
        <x:v>31</x:v>
      </x:c>
      <x:c r="D244" s="30" t="n">
        <x:f>H243</x:f>
        <x:v>3646037.89</x:v>
      </x:c>
      <x:c r="E244" s="30" t="n">
        <x:f>ROUND(D244*I244,2)</x:f>
        <x:v>23224.76</x:v>
      </x:c>
      <x:c r="F244" s="30" t="n">
        <x:f>0</x:f>
        <x:v>0</x:v>
      </x:c>
      <x:c r="G244" s="30" t="n">
        <x:f>ROUND(E244+F244,2)</x:f>
        <x:v>23224.76</x:v>
      </x:c>
      <x:c r="H244" s="30" t="n">
        <x:f>ROUND(D244-F244,2)</x:f>
        <x:v>3646037.89</x:v>
      </x:c>
      <x:c r="I244" s="33" t="n">
        <x:f>IF(AND(ISNUMBER('Параметры'!$C$7),'Параметры'!$C$7&gt;=0),'Параметры'!$C$7*C244/365,NA())</x:f>
        <x:v>0.00636986301369863</x:v>
      </x:c>
      <x:c r="J244" s="32" t="n">
        <x:f>J243/(1+I244)</x:f>
        <x:v>0.2271794116291546</x:v>
      </x:c>
      <x:c r="K244" s="33" t="n">
        <x:f>IF(AND(ISNUMBER('Параметры'!$C$8),'Параметры'!$C$8&gt;=0),'Параметры'!$C$8*C244/365,NA())</x:f>
        <x:v>0.00636986301369863</x:v>
      </x:c>
      <x:c r="L244" s="32" t="n">
        <x:f>L243/(1+K244)</x:f>
        <x:v>0.2271794116291546</x:v>
      </x:c>
      <x:c r="M244" s="30" t="n">
        <x:f>E244*L244</x:f>
        <x:v>5276.1873120283235</x:v>
      </x:c>
      <x:c r="N244" s="30" t="n">
        <x:f>F244*L244</x:f>
        <x:v>0</x:v>
      </x:c>
      <x:c r="O244" s="30" t="n">
        <x:f>G244*L244</x:f>
        <x:v>5276.1873120283235</x:v>
      </x:c>
    </x:row>
    <x:row r="245" ht="21" customHeight="1">
      <x:c r="A245" s="28" t="n">
        <x:v>239</x:v>
      </x:c>
      <x:c r="B245" s="29" t="n">
        <x:v>52069</x:v>
      </x:c>
      <x:c r="C245" s="28" t="n">
        <x:f>B245-B244</x:f>
        <x:v>30</x:v>
      </x:c>
      <x:c r="D245" s="30" t="n">
        <x:f>H244</x:f>
        <x:v>3646037.89</x:v>
      </x:c>
      <x:c r="E245" s="30" t="n">
        <x:f>ROUND(D245*I245,2)</x:f>
        <x:v>22475.58</x:v>
      </x:c>
      <x:c r="F245" s="30" t="n">
        <x:f>0</x:f>
        <x:v>0</x:v>
      </x:c>
      <x:c r="G245" s="30" t="n">
        <x:f>ROUND(E245+F245,2)</x:f>
        <x:v>22475.58</x:v>
      </x:c>
      <x:c r="H245" s="30" t="n">
        <x:f>ROUND(D245-F245,2)</x:f>
        <x:v>3646037.89</x:v>
      </x:c>
      <x:c r="I245" s="33" t="n">
        <x:f>IF(AND(ISNUMBER('Параметры'!$C$7),'Параметры'!$C$7&gt;=0),'Параметры'!$C$7*C245/365,NA())</x:f>
        <x:v>0.0061643835616438354</x:v>
      </x:c>
      <x:c r="J245" s="32" t="n">
        <x:f>J244/(1+I245)</x:f>
        <x:v>0.2257875704415015</x:v>
      </x:c>
      <x:c r="K245" s="33" t="n">
        <x:f>IF(AND(ISNUMBER('Параметры'!$C$8),'Параметры'!$C$8&gt;=0),'Параметры'!$C$8*C245/365,NA())</x:f>
        <x:v>0.0061643835616438354</x:v>
      </x:c>
      <x:c r="L245" s="32" t="n">
        <x:f>L244/(1+K245)</x:f>
        <x:v>0.2257875704415015</x:v>
      </x:c>
      <x:c r="M245" s="30" t="n">
        <x:f>E245*L245</x:f>
        <x:v>5074.706602463602</x:v>
      </x:c>
      <x:c r="N245" s="30" t="n">
        <x:f>F245*L245</x:f>
        <x:v>0</x:v>
      </x:c>
      <x:c r="O245" s="30" t="n">
        <x:f>G245*L245</x:f>
        <x:v>5074.706602463602</x:v>
      </x:c>
    </x:row>
    <x:row r="246" ht="21" customHeight="1">
      <x:c r="A246" s="28" t="n">
        <x:v>240</x:v>
      </x:c>
      <x:c r="B246" s="29" t="n">
        <x:v>52100</x:v>
      </x:c>
      <x:c r="C246" s="28" t="n">
        <x:f>B246-B245</x:f>
        <x:v>31</x:v>
      </x:c>
      <x:c r="D246" s="30" t="n">
        <x:f>H245</x:f>
        <x:v>3646037.89</x:v>
      </x:c>
      <x:c r="E246" s="30" t="n">
        <x:f>ROUND(D246*I246,2)</x:f>
        <x:v>23224.76</x:v>
      </x:c>
      <x:c r="F246" s="30" t="n">
        <x:f>0</x:f>
        <x:v>0</x:v>
      </x:c>
      <x:c r="G246" s="30" t="n">
        <x:f>ROUND(E246+F246,2)</x:f>
        <x:v>23224.76</x:v>
      </x:c>
      <x:c r="H246" s="30" t="n">
        <x:f>ROUND(D246-F246,2)</x:f>
        <x:v>3646037.89</x:v>
      </x:c>
      <x:c r="I246" s="33" t="n">
        <x:f>IF(AND(ISNUMBER('Параметры'!$C$7),'Параметры'!$C$7&gt;=0),'Параметры'!$C$7*C246/365,NA())</x:f>
        <x:v>0.00636986301369863</x:v>
      </x:c>
      <x:c r="J246" s="32" t="n">
        <x:f>J245/(1+I246)</x:f>
        <x:v>0.22435843792594581</x:v>
      </x:c>
      <x:c r="K246" s="33" t="n">
        <x:f>IF(AND(ISNUMBER('Параметры'!$C$8),'Параметры'!$C$8&gt;=0),'Параметры'!$C$8*C246/365,NA())</x:f>
        <x:v>0.00636986301369863</x:v>
      </x:c>
      <x:c r="L246" s="32" t="n">
        <x:f>L245/(1+K246)</x:f>
        <x:v>0.22435843792594581</x:v>
      </x:c>
      <x:c r="M246" s="30" t="n">
        <x:f>E246*L246</x:f>
        <x:v>5210.670874804989</x:v>
      </x:c>
      <x:c r="N246" s="30" t="n">
        <x:f>F246*L246</x:f>
        <x:v>0</x:v>
      </x:c>
      <x:c r="O246" s="30" t="n">
        <x:f>G246*L246</x:f>
        <x:v>5210.670874804989</x:v>
      </x:c>
    </x:row>
    <x:row r="247" ht="21" customHeight="1">
      <x:c r="A247" s="28" t="n">
        <x:v>241</x:v>
      </x:c>
      <x:c r="B247" s="29" t="n">
        <x:v>52131</x:v>
      </x:c>
      <x:c r="C247" s="28" t="n">
        <x:f>B247-B246</x:f>
        <x:v>31</x:v>
      </x:c>
      <x:c r="D247" s="30" t="n">
        <x:f>H246</x:f>
        <x:v>3646037.89</x:v>
      </x:c>
      <x:c r="E247" s="30" t="n">
        <x:f>ROUND(D247*I247,2)</x:f>
        <x:v>23224.76</x:v>
      </x:c>
      <x:c r="F247" s="30" t="n">
        <x:f>0</x:f>
        <x:v>0</x:v>
      </x:c>
      <x:c r="G247" s="30" t="n">
        <x:f>ROUND(E247+F247,2)</x:f>
        <x:v>23224.76</x:v>
      </x:c>
      <x:c r="H247" s="30" t="n">
        <x:f>ROUND(D247-F247,2)</x:f>
        <x:v>3646037.89</x:v>
      </x:c>
      <x:c r="I247" s="33" t="n">
        <x:f>IF(AND(ISNUMBER('Параметры'!$C$7),'Параметры'!$C$7&gt;=0),'Параметры'!$C$7*C247/365,NA())</x:f>
        <x:v>0.00636986301369863</x:v>
      </x:c>
      <x:c r="J247" s="32" t="n">
        <x:f>J246/(1+I247)</x:f>
        <x:v>0.22293835116850264</x:v>
      </x:c>
      <x:c r="K247" s="33" t="n">
        <x:f>IF(AND(ISNUMBER('Параметры'!$C$8),'Параметры'!$C$8&gt;=0),'Параметры'!$C$8*C247/365,NA())</x:f>
        <x:v>0.00636986301369863</x:v>
      </x:c>
      <x:c r="L247" s="32" t="n">
        <x:f>L246/(1+K247)</x:f>
        <x:v>0.22293835116850264</x:v>
      </x:c>
      <x:c r="M247" s="30" t="n">
        <x:f>E247*L247</x:f>
        <x:v>5177.689700684193</x:v>
      </x:c>
      <x:c r="N247" s="30" t="n">
        <x:f>F247*L247</x:f>
        <x:v>0</x:v>
      </x:c>
      <x:c r="O247" s="30" t="n">
        <x:f>G247*L247</x:f>
        <x:v>5177.689700684193</x:v>
      </x:c>
    </x:row>
    <x:row r="248" ht="21" customHeight="1">
      <x:c r="A248" s="28" t="n">
        <x:v>242</x:v>
      </x:c>
      <x:c r="B248" s="29" t="n">
        <x:v>52161</x:v>
      </x:c>
      <x:c r="C248" s="28" t="n">
        <x:f>B248-B247</x:f>
        <x:v>30</x:v>
      </x:c>
      <x:c r="D248" s="30" t="n">
        <x:f>H247</x:f>
        <x:v>3646037.89</x:v>
      </x:c>
      <x:c r="E248" s="30" t="n">
        <x:f>ROUND(D248*I248,2)</x:f>
        <x:v>22475.58</x:v>
      </x:c>
      <x:c r="F248" s="30" t="n">
        <x:f>0</x:f>
        <x:v>0</x:v>
      </x:c>
      <x:c r="G248" s="30" t="n">
        <x:f>ROUND(E248+F248,2)</x:f>
        <x:v>22475.58</x:v>
      </x:c>
      <x:c r="H248" s="30" t="n">
        <x:f>ROUND(D248-F248,2)</x:f>
        <x:v>3646037.89</x:v>
      </x:c>
      <x:c r="I248" s="33" t="n">
        <x:f>IF(AND(ISNUMBER('Параметры'!$C$7),'Параметры'!$C$7&gt;=0),'Параметры'!$C$7*C248/365,NA())</x:f>
        <x:v>0.0061643835616438354</x:v>
      </x:c>
      <x:c r="J248" s="32" t="n">
        <x:f>J247/(1+I248)</x:f>
        <x:v>0.22157249333288895</x:v>
      </x:c>
      <x:c r="K248" s="33" t="n">
        <x:f>IF(AND(ISNUMBER('Параметры'!$C$8),'Параметры'!$C$8&gt;=0),'Параметры'!$C$8*C248/365,NA())</x:f>
        <x:v>0.0061643835616438354</x:v>
      </x:c>
      <x:c r="L248" s="32" t="n">
        <x:f>L247/(1+K248)</x:f>
        <x:v>0.22157249333288895</x:v>
      </x:c>
      <x:c r="M248" s="30" t="n">
        <x:f>E248*L248</x:f>
        <x:v>4979.970299702813</x:v>
      </x:c>
      <x:c r="N248" s="30" t="n">
        <x:f>F248*L248</x:f>
        <x:v>0</x:v>
      </x:c>
      <x:c r="O248" s="30" t="n">
        <x:f>G248*L248</x:f>
        <x:v>4979.970299702813</x:v>
      </x:c>
    </x:row>
    <x:row r="249" ht="21" customHeight="1">
      <x:c r="A249" s="28" t="n">
        <x:v>243</x:v>
      </x:c>
      <x:c r="B249" s="29" t="n">
        <x:v>52192</x:v>
      </x:c>
      <x:c r="C249" s="28" t="n">
        <x:f>B249-B248</x:f>
        <x:v>31</x:v>
      </x:c>
      <x:c r="D249" s="30" t="n">
        <x:f>H248</x:f>
        <x:v>3646037.89</x:v>
      </x:c>
      <x:c r="E249" s="30" t="n">
        <x:f>ROUND(D249*I249,2)</x:f>
        <x:v>23224.76</x:v>
      </x:c>
      <x:c r="F249" s="30" t="n">
        <x:f>0</x:f>
        <x:v>0</x:v>
      </x:c>
      <x:c r="G249" s="30" t="n">
        <x:f>ROUND(E249+F249,2)</x:f>
        <x:v>23224.76</x:v>
      </x:c>
      <x:c r="H249" s="30" t="n">
        <x:f>ROUND(D249-F249,2)</x:f>
        <x:v>3646037.89</x:v>
      </x:c>
      <x:c r="I249" s="33" t="n">
        <x:f>IF(AND(ISNUMBER('Параметры'!$C$7),'Параметры'!$C$7&gt;=0),'Параметры'!$C$7*C249/365,NA())</x:f>
        <x:v>0.00636986301369863</x:v>
      </x:c>
      <x:c r="J249" s="32" t="n">
        <x:f>J248/(1+I249)</x:f>
        <x:v>0.2201700403362267</x:v>
      </x:c>
      <x:c r="K249" s="33" t="n">
        <x:f>IF(AND(ISNUMBER('Параметры'!$C$8),'Параметры'!$C$8&gt;=0),'Параметры'!$C$8*C249/365,NA())</x:f>
        <x:v>0.00636986301369863</x:v>
      </x:c>
      <x:c r="L249" s="32" t="n">
        <x:f>L248/(1+K249)</x:f>
        <x:v>0.2201700403362267</x:v>
      </x:c>
      <x:c r="M249" s="30" t="n">
        <x:f>E249*L249</x:f>
        <x:v>5113.396345999184</x:v>
      </x:c>
      <x:c r="N249" s="30" t="n">
        <x:f>F249*L249</x:f>
        <x:v>0</x:v>
      </x:c>
      <x:c r="O249" s="30" t="n">
        <x:f>G249*L249</x:f>
        <x:v>5113.396345999184</x:v>
      </x:c>
    </x:row>
    <x:row r="250" ht="21" customHeight="1">
      <x:c r="A250" s="28" t="n">
        <x:v>244</x:v>
      </x:c>
      <x:c r="B250" s="29" t="n">
        <x:v>52222</x:v>
      </x:c>
      <x:c r="C250" s="28" t="n">
        <x:f>B250-B249</x:f>
        <x:v>30</x:v>
      </x:c>
      <x:c r="D250" s="30" t="n">
        <x:f>H249</x:f>
        <x:v>3646037.89</x:v>
      </x:c>
      <x:c r="E250" s="30" t="n">
        <x:f>ROUND(D250*I250,2)</x:f>
        <x:v>22475.58</x:v>
      </x:c>
      <x:c r="F250" s="30" t="n">
        <x:f>0</x:f>
        <x:v>0</x:v>
      </x:c>
      <x:c r="G250" s="30" t="n">
        <x:f>ROUND(E250+F250,2)</x:f>
        <x:v>22475.58</x:v>
      </x:c>
      <x:c r="H250" s="30" t="n">
        <x:f>ROUND(D250-F250,2)</x:f>
        <x:v>3646037.89</x:v>
      </x:c>
      <x:c r="I250" s="33" t="n">
        <x:f>IF(AND(ISNUMBER('Параметры'!$C$7),'Параметры'!$C$7&gt;=0),'Параметры'!$C$7*C250/365,NA())</x:f>
        <x:v>0.0061643835616438354</x:v>
      </x:c>
      <x:c r="J250" s="32" t="n">
        <x:f>J249/(1+I250)</x:f>
        <x:v>0.2188211428801164</x:v>
      </x:c>
      <x:c r="K250" s="33" t="n">
        <x:f>IF(AND(ISNUMBER('Параметры'!$C$8),'Параметры'!$C$8&gt;=0),'Параметры'!$C$8*C250/365,NA())</x:f>
        <x:v>0.0061643835616438354</x:v>
      </x:c>
      <x:c r="L250" s="32" t="n">
        <x:f>L249/(1+K250)</x:f>
        <x:v>0.2188211428801164</x:v>
      </x:c>
      <x:c r="M250" s="30" t="n">
        <x:f>E250*L250</x:f>
        <x:v>4918.132102493487</x:v>
      </x:c>
      <x:c r="N250" s="30" t="n">
        <x:f>F250*L250</x:f>
        <x:v>0</x:v>
      </x:c>
      <x:c r="O250" s="30" t="n">
        <x:f>G250*L250</x:f>
        <x:v>4918.132102493487</x:v>
      </x:c>
    </x:row>
    <x:row r="251" ht="21" customHeight="1">
      <x:c r="A251" s="28" t="n">
        <x:v>245</x:v>
      </x:c>
      <x:c r="B251" s="29" t="n">
        <x:v>52253</x:v>
      </x:c>
      <x:c r="C251" s="28" t="n">
        <x:f>B251-B250</x:f>
        <x:v>31</x:v>
      </x:c>
      <x:c r="D251" s="30" t="n">
        <x:f>H250</x:f>
        <x:v>3646037.89</x:v>
      </x:c>
      <x:c r="E251" s="30" t="n">
        <x:f>ROUND(D251*I251,2)</x:f>
        <x:v>23224.76</x:v>
      </x:c>
      <x:c r="F251" s="30" t="n">
        <x:f>0</x:f>
        <x:v>0</x:v>
      </x:c>
      <x:c r="G251" s="30" t="n">
        <x:f>ROUND(E251+F251,2)</x:f>
        <x:v>23224.76</x:v>
      </x:c>
      <x:c r="H251" s="30" t="n">
        <x:f>ROUND(D251-F251,2)</x:f>
        <x:v>3646037.89</x:v>
      </x:c>
      <x:c r="I251" s="33" t="n">
        <x:f>IF(AND(ISNUMBER('Параметры'!$C$7),'Параметры'!$C$7&gt;=0),'Параметры'!$C$7*C251/365,NA())</x:f>
        <x:v>0.00636986301369863</x:v>
      </x:c>
      <x:c r="J251" s="32" t="n">
        <x:f>J250/(1+I251)</x:f>
        <x:v>0.21743610467907845</x:v>
      </x:c>
      <x:c r="K251" s="33" t="n">
        <x:f>IF(AND(ISNUMBER('Параметры'!$C$8),'Параметры'!$C$8&gt;=0),'Параметры'!$C$8*C251/365,NA())</x:f>
        <x:v>0.00636986301369863</x:v>
      </x:c>
      <x:c r="L251" s="32" t="n">
        <x:f>L250/(1+K251)</x:f>
        <x:v>0.21743610467907845</x:v>
      </x:c>
      <x:c r="M251" s="30" t="n">
        <x:f>E251*L251</x:f>
        <x:v>5049.901346506474</x:v>
      </x:c>
      <x:c r="N251" s="30" t="n">
        <x:f>F251*L251</x:f>
        <x:v>0</x:v>
      </x:c>
      <x:c r="O251" s="30" t="n">
        <x:f>G251*L251</x:f>
        <x:v>5049.901346506474</x:v>
      </x:c>
    </x:row>
    <x:row r="252" ht="21" customHeight="1">
      <x:c r="A252" s="28" t="n">
        <x:v>246</x:v>
      </x:c>
      <x:c r="B252" s="29" t="n">
        <x:v>52284</x:v>
      </x:c>
      <x:c r="C252" s="28" t="n">
        <x:f>B252-B251</x:f>
        <x:v>31</x:v>
      </x:c>
      <x:c r="D252" s="30" t="n">
        <x:f>H251</x:f>
        <x:v>3646037.89</x:v>
      </x:c>
      <x:c r="E252" s="30" t="n">
        <x:f>ROUND(D252*I252,2)</x:f>
        <x:v>23224.76</x:v>
      </x:c>
      <x:c r="F252" s="30" t="n">
        <x:f>0</x:f>
        <x:v>0</x:v>
      </x:c>
      <x:c r="G252" s="30" t="n">
        <x:f>ROUND(E252+F252,2)</x:f>
        <x:v>23224.76</x:v>
      </x:c>
      <x:c r="H252" s="30" t="n">
        <x:f>ROUND(D252-F252,2)</x:f>
        <x:v>3646037.89</x:v>
      </x:c>
      <x:c r="I252" s="33" t="n">
        <x:f>IF(AND(ISNUMBER('Параметры'!$C$7),'Параметры'!$C$7&gt;=0),'Параметры'!$C$7*C252/365,NA())</x:f>
        <x:v>0.00636986301369863</x:v>
      </x:c>
      <x:c r="J252" s="32" t="n">
        <x:f>J251/(1+I252)</x:f>
        <x:v>0.21605983313921906</x:v>
      </x:c>
      <x:c r="K252" s="33" t="n">
        <x:f>IF(AND(ISNUMBER('Параметры'!$C$8),'Параметры'!$C$8&gt;=0),'Параметры'!$C$8*C252/365,NA())</x:f>
        <x:v>0.00636986301369863</x:v>
      </x:c>
      <x:c r="L252" s="32" t="n">
        <x:f>L251/(1+K252)</x:f>
        <x:v>0.21605983313921906</x:v>
      </x:c>
      <x:c r="M252" s="30" t="n">
        <x:f>E252*L252</x:f>
        <x:v>5017.937770298409</x:v>
      </x:c>
      <x:c r="N252" s="30" t="n">
        <x:f>F252*L252</x:f>
        <x:v>0</x:v>
      </x:c>
      <x:c r="O252" s="30" t="n">
        <x:f>G252*L252</x:f>
        <x:v>5017.937770298409</x:v>
      </x:c>
    </x:row>
    <x:row r="253" ht="21" customHeight="1">
      <x:c r="A253" s="28" t="n">
        <x:v>247</x:v>
      </x:c>
      <x:c r="B253" s="29" t="n">
        <x:v>52312</x:v>
      </x:c>
      <x:c r="C253" s="28" t="n">
        <x:f>B253-B252</x:f>
        <x:v>28</x:v>
      </x:c>
      <x:c r="D253" s="30" t="n">
        <x:f>H252</x:f>
        <x:v>3646037.89</x:v>
      </x:c>
      <x:c r="E253" s="30" t="n">
        <x:f>ROUND(D253*I253,2)</x:f>
        <x:v>20977.2</x:v>
      </x:c>
      <x:c r="F253" s="30" t="n">
        <x:f>0</x:f>
        <x:v>0</x:v>
      </x:c>
      <x:c r="G253" s="30" t="n">
        <x:f>ROUND(E253+F253,2)</x:f>
        <x:v>20977.2</x:v>
      </x:c>
      <x:c r="H253" s="30" t="n">
        <x:f>ROUND(D253-F253,2)</x:f>
        <x:v>3646037.89</x:v>
      </x:c>
      <x:c r="I253" s="33" t="n">
        <x:f>IF(AND(ISNUMBER('Параметры'!$C$7),'Параметры'!$C$7&gt;=0),'Параметры'!$C$7*C253/365,NA())</x:f>
        <x:v>0.005753424657534247</x:v>
      </x:c>
      <x:c r="J253" s="32" t="n">
        <x:f>J252/(1+I253)</x:f>
        <x:v>0.21482386024466077</x:v>
      </x:c>
      <x:c r="K253" s="33" t="n">
        <x:f>IF(AND(ISNUMBER('Параметры'!$C$8),'Параметры'!$C$8&gt;=0),'Параметры'!$C$8*C253/365,NA())</x:f>
        <x:v>0.005753424657534247</x:v>
      </x:c>
      <x:c r="L253" s="32" t="n">
        <x:f>L252/(1+K253)</x:f>
        <x:v>0.21482386024466077</x:v>
      </x:c>
      <x:c r="M253" s="30" t="n">
        <x:f>E253*L253</x:f>
        <x:v>4506.403081124298</x:v>
      </x:c>
      <x:c r="N253" s="30" t="n">
        <x:f>F253*L253</x:f>
        <x:v>0</x:v>
      </x:c>
      <x:c r="O253" s="30" t="n">
        <x:f>G253*L253</x:f>
        <x:v>4506.403081124298</x:v>
      </x:c>
    </x:row>
    <x:row r="254" ht="21" customHeight="1">
      <x:c r="A254" s="28" t="n">
        <x:v>248</x:v>
      </x:c>
      <x:c r="B254" s="29" t="n">
        <x:v>52343</x:v>
      </x:c>
      <x:c r="C254" s="28" t="n">
        <x:f>B254-B253</x:f>
        <x:v>31</x:v>
      </x:c>
      <x:c r="D254" s="30" t="n">
        <x:f>H253</x:f>
        <x:v>3646037.89</x:v>
      </x:c>
      <x:c r="E254" s="30" t="n">
        <x:f>ROUND(D254*I254,2)</x:f>
        <x:v>23224.76</x:v>
      </x:c>
      <x:c r="F254" s="30" t="n">
        <x:f>0</x:f>
        <x:v>0</x:v>
      </x:c>
      <x:c r="G254" s="30" t="n">
        <x:f>ROUND(E254+F254,2)</x:f>
        <x:v>23224.76</x:v>
      </x:c>
      <x:c r="H254" s="30" t="n">
        <x:f>ROUND(D254-F254,2)</x:f>
        <x:v>3646037.89</x:v>
      </x:c>
      <x:c r="I254" s="33" t="n">
        <x:f>IF(AND(ISNUMBER('Параметры'!$C$7),'Параметры'!$C$7&gt;=0),'Параметры'!$C$7*C254/365,NA())</x:f>
        <x:v>0.00636986301369863</x:v>
      </x:c>
      <x:c r="J254" s="32" t="n">
        <x:f>J253/(1+I254)</x:f>
        <x:v>0.21346412302266707</x:v>
      </x:c>
      <x:c r="K254" s="33" t="n">
        <x:f>IF(AND(ISNUMBER('Параметры'!$C$8),'Параметры'!$C$8&gt;=0),'Параметры'!$C$8*C254/365,NA())</x:f>
        <x:v>0.00636986301369863</x:v>
      </x:c>
      <x:c r="L254" s="32" t="n">
        <x:f>L253/(1+K254)</x:f>
        <x:v>0.21346412302266707</x:v>
      </x:c>
      <x:c r="M254" s="30" t="n">
        <x:f>E254*L254</x:f>
        <x:v>4957.653025811916</x:v>
      </x:c>
      <x:c r="N254" s="30" t="n">
        <x:f>F254*L254</x:f>
        <x:v>0</x:v>
      </x:c>
      <x:c r="O254" s="30" t="n">
        <x:f>G254*L254</x:f>
        <x:v>4957.653025811916</x:v>
      </x:c>
    </x:row>
    <x:row r="255" ht="21" customHeight="1">
      <x:c r="A255" s="28" t="n">
        <x:v>249</x:v>
      </x:c>
      <x:c r="B255" s="29" t="n">
        <x:v>52373</x:v>
      </x:c>
      <x:c r="C255" s="28" t="n">
        <x:f>B255-B254</x:f>
        <x:v>30</x:v>
      </x:c>
      <x:c r="D255" s="30" t="n">
        <x:f>H254</x:f>
        <x:v>3646037.89</x:v>
      </x:c>
      <x:c r="E255" s="30" t="n">
        <x:f>ROUND(D255*I255,2)</x:f>
        <x:v>22475.58</x:v>
      </x:c>
      <x:c r="F255" s="30" t="n">
        <x:f>0</x:f>
        <x:v>0</x:v>
      </x:c>
      <x:c r="G255" s="30" t="n">
        <x:f>ROUND(E255+F255,2)</x:f>
        <x:v>22475.58</x:v>
      </x:c>
      <x:c r="H255" s="30" t="n">
        <x:f>ROUND(D255-F255,2)</x:f>
        <x:v>3646037.89</x:v>
      </x:c>
      <x:c r="I255" s="33" t="n">
        <x:f>IF(AND(ISNUMBER('Параметры'!$C$7),'Параметры'!$C$7&gt;=0),'Параметры'!$C$7*C255/365,NA())</x:f>
        <x:v>0.0061643835616438354</x:v>
      </x:c>
      <x:c r="J255" s="32" t="n">
        <x:f>J254/(1+I255)</x:f>
        <x:v>0.2121563101518679</x:v>
      </x:c>
      <x:c r="K255" s="33" t="n">
        <x:f>IF(AND(ISNUMBER('Параметры'!$C$8),'Параметры'!$C$8&gt;=0),'Параметры'!$C$8*C255/365,NA())</x:f>
        <x:v>0.0061643835616438354</x:v>
      </x:c>
      <x:c r="L255" s="32" t="n">
        <x:f>L254/(1+K255)</x:f>
        <x:v>0.2121563101518679</x:v>
      </x:c>
      <x:c r="M255" s="30" t="n">
        <x:f>E255*L255</x:f>
        <x:v>4768.336121323119</x:v>
      </x:c>
      <x:c r="N255" s="30" t="n">
        <x:f>F255*L255</x:f>
        <x:v>0</x:v>
      </x:c>
      <x:c r="O255" s="30" t="n">
        <x:f>G255*L255</x:f>
        <x:v>4768.336121323119</x:v>
      </x:c>
    </x:row>
    <x:row r="256" ht="21" customHeight="1">
      <x:c r="A256" s="28" t="n">
        <x:v>250</x:v>
      </x:c>
      <x:c r="B256" s="29" t="n">
        <x:v>52404</x:v>
      </x:c>
      <x:c r="C256" s="28" t="n">
        <x:f>B256-B255</x:f>
        <x:v>31</x:v>
      </x:c>
      <x:c r="D256" s="30" t="n">
        <x:f>H255</x:f>
        <x:v>3646037.89</x:v>
      </x:c>
      <x:c r="E256" s="30" t="n">
        <x:f>ROUND(D256*I256,2)</x:f>
        <x:v>23224.76</x:v>
      </x:c>
      <x:c r="F256" s="30" t="n">
        <x:f>0</x:f>
        <x:v>0</x:v>
      </x:c>
      <x:c r="G256" s="30" t="n">
        <x:f>ROUND(E256+F256,2)</x:f>
        <x:v>23224.76</x:v>
      </x:c>
      <x:c r="H256" s="30" t="n">
        <x:f>ROUND(D256-F256,2)</x:f>
        <x:v>3646037.89</x:v>
      </x:c>
      <x:c r="I256" s="33" t="n">
        <x:f>IF(AND(ISNUMBER('Параметры'!$C$7),'Параметры'!$C$7&gt;=0),'Параметры'!$C$7*C256/365,NA())</x:f>
        <x:v>0.00636986301369863</x:v>
      </x:c>
      <x:c r="J256" s="32" t="n">
        <x:f>J255/(1+I256)</x:f>
        <x:v>0.21081345730737572</x:v>
      </x:c>
      <x:c r="K256" s="33" t="n">
        <x:f>IF(AND(ISNUMBER('Параметры'!$C$8),'Параметры'!$C$8&gt;=0),'Параметры'!$C$8*C256/365,NA())</x:f>
        <x:v>0.00636986301369863</x:v>
      </x:c>
      <x:c r="L256" s="32" t="n">
        <x:f>L255/(1+K256)</x:f>
        <x:v>0.21081345730737572</x:v>
      </x:c>
      <x:c r="M256" s="30" t="n">
        <x:f>E256*L256</x:f>
        <x:v>4896.091950734047</x:v>
      </x:c>
      <x:c r="N256" s="30" t="n">
        <x:f>F256*L256</x:f>
        <x:v>0</x:v>
      </x:c>
      <x:c r="O256" s="30" t="n">
        <x:f>G256*L256</x:f>
        <x:v>4896.091950734047</x:v>
      </x:c>
    </x:row>
    <x:row r="257" ht="21" customHeight="1">
      <x:c r="A257" s="28" t="n">
        <x:v>251</x:v>
      </x:c>
      <x:c r="B257" s="29" t="n">
        <x:v>52434</x:v>
      </x:c>
      <x:c r="C257" s="28" t="n">
        <x:f>B257-B256</x:f>
        <x:v>30</x:v>
      </x:c>
      <x:c r="D257" s="30" t="n">
        <x:f>H256</x:f>
        <x:v>3646037.89</x:v>
      </x:c>
      <x:c r="E257" s="30" t="n">
        <x:f>ROUND(D257*I257,2)</x:f>
        <x:v>22475.58</x:v>
      </x:c>
      <x:c r="F257" s="30" t="n">
        <x:f>0</x:f>
        <x:v>0</x:v>
      </x:c>
      <x:c r="G257" s="30" t="n">
        <x:f>ROUND(E257+F257,2)</x:f>
        <x:v>22475.58</x:v>
      </x:c>
      <x:c r="H257" s="30" t="n">
        <x:f>ROUND(D257-F257,2)</x:f>
        <x:v>3646037.89</x:v>
      </x:c>
      <x:c r="I257" s="33" t="n">
        <x:f>IF(AND(ISNUMBER('Параметры'!$C$7),'Параметры'!$C$7&gt;=0),'Параметры'!$C$7*C257/365,NA())</x:f>
        <x:v>0.0061643835616438354</x:v>
      </x:c>
      <x:c r="J257" s="32" t="n">
        <x:f>J256/(1+I257)</x:f>
        <x:v>0.20952188404953612</x:v>
      </x:c>
      <x:c r="K257" s="33" t="n">
        <x:f>IF(AND(ISNUMBER('Параметры'!$C$8),'Параметры'!$C$8&gt;=0),'Параметры'!$C$8*C257/365,NA())</x:f>
        <x:v>0.0061643835616438354</x:v>
      </x:c>
      <x:c r="L257" s="32" t="n">
        <x:f>L256/(1+K257)</x:f>
        <x:v>0.20952188404953612</x:v>
      </x:c>
      <x:c r="M257" s="30" t="n">
        <x:f>E257*L257</x:f>
        <x:v>4709.125866706073</x:v>
      </x:c>
      <x:c r="N257" s="30" t="n">
        <x:f>F257*L257</x:f>
        <x:v>0</x:v>
      </x:c>
      <x:c r="O257" s="30" t="n">
        <x:f>G257*L257</x:f>
        <x:v>4709.125866706073</x:v>
      </x:c>
    </x:row>
    <x:row r="258" ht="21" customHeight="1">
      <x:c r="A258" s="28" t="n">
        <x:v>252</x:v>
      </x:c>
      <x:c r="B258" s="29" t="n">
        <x:v>52465</x:v>
      </x:c>
      <x:c r="C258" s="28" t="n">
        <x:f>B258-B257</x:f>
        <x:v>31</x:v>
      </x:c>
      <x:c r="D258" s="30" t="n">
        <x:f>H257</x:f>
        <x:v>3646037.89</x:v>
      </x:c>
      <x:c r="E258" s="30" t="n">
        <x:f>ROUND(D258*I258,2)</x:f>
        <x:v>23224.76</x:v>
      </x:c>
      <x:c r="F258" s="30" t="n">
        <x:f>0</x:f>
        <x:v>0</x:v>
      </x:c>
      <x:c r="G258" s="30" t="n">
        <x:f>ROUND(E258+F258,2)</x:f>
        <x:v>23224.76</x:v>
      </x:c>
      <x:c r="H258" s="30" t="n">
        <x:f>ROUND(D258-F258,2)</x:f>
        <x:v>3646037.89</x:v>
      </x:c>
      <x:c r="I258" s="33" t="n">
        <x:f>IF(AND(ISNUMBER('Параметры'!$C$7),'Параметры'!$C$7&gt;=0),'Параметры'!$C$7*C258/365,NA())</x:f>
        <x:v>0.00636986301369863</x:v>
      </x:c>
      <x:c r="J258" s="32" t="n">
        <x:f>J257/(1+I258)</x:f>
        <x:v>0.20819570592276782</x:v>
      </x:c>
      <x:c r="K258" s="33" t="n">
        <x:f>IF(AND(ISNUMBER('Параметры'!$C$8),'Параметры'!$C$8&gt;=0),'Параметры'!$C$8*C258/365,NA())</x:f>
        <x:v>0.00636986301369863</x:v>
      </x:c>
      <x:c r="L258" s="32" t="n">
        <x:f>L257/(1+K258)</x:f>
        <x:v>0.20819570592276782</x:v>
      </x:c>
      <x:c r="M258" s="30" t="n">
        <x:f>E258*L258</x:f>
        <x:v>4835.29530308686</x:v>
      </x:c>
      <x:c r="N258" s="30" t="n">
        <x:f>F258*L258</x:f>
        <x:v>0</x:v>
      </x:c>
      <x:c r="O258" s="30" t="n">
        <x:f>G258*L258</x:f>
        <x:v>4835.29530308686</x:v>
      </x:c>
    </x:row>
    <x:row r="259" ht="21" customHeight="1">
      <x:c r="A259" s="28" t="n">
        <x:v>253</x:v>
      </x:c>
      <x:c r="B259" s="29" t="n">
        <x:v>52496</x:v>
      </x:c>
      <x:c r="C259" s="28" t="n">
        <x:f>B259-B258</x:f>
        <x:v>31</x:v>
      </x:c>
      <x:c r="D259" s="30" t="n">
        <x:f>H258</x:f>
        <x:v>3646037.89</x:v>
      </x:c>
      <x:c r="E259" s="30" t="n">
        <x:f>ROUND(D259*I259,2)</x:f>
        <x:v>23224.76</x:v>
      </x:c>
      <x:c r="F259" s="30" t="n">
        <x:f>0</x:f>
        <x:v>0</x:v>
      </x:c>
      <x:c r="G259" s="30" t="n">
        <x:f>ROUND(E259+F259,2)</x:f>
        <x:v>23224.76</x:v>
      </x:c>
      <x:c r="H259" s="30" t="n">
        <x:f>ROUND(D259-F259,2)</x:f>
        <x:v>3646037.89</x:v>
      </x:c>
      <x:c r="I259" s="33" t="n">
        <x:f>IF(AND(ISNUMBER('Параметры'!$C$7),'Параметры'!$C$7&gt;=0),'Параметры'!$C$7*C259/365,NA())</x:f>
        <x:v>0.00636986301369863</x:v>
      </x:c>
      <x:c r="J259" s="32" t="n">
        <x:f>J258/(1+I259)</x:f>
        <x:v>0.20687792189970805</x:v>
      </x:c>
      <x:c r="K259" s="33" t="n">
        <x:f>IF(AND(ISNUMBER('Параметры'!$C$8),'Параметры'!$C$8&gt;=0),'Параметры'!$C$8*C259/365,NA())</x:f>
        <x:v>0.00636986301369863</x:v>
      </x:c>
      <x:c r="L259" s="32" t="n">
        <x:f>L258/(1+K259)</x:f>
        <x:v>0.20687792189970805</x:v>
      </x:c>
      <x:c r="M259" s="30" t="n">
        <x:f>E259*L259</x:f>
        <x:v>4804.690085419463</x:v>
      </x:c>
      <x:c r="N259" s="30" t="n">
        <x:f>F259*L259</x:f>
        <x:v>0</x:v>
      </x:c>
      <x:c r="O259" s="30" t="n">
        <x:f>G259*L259</x:f>
        <x:v>4804.690085419463</x:v>
      </x:c>
    </x:row>
    <x:row r="260" ht="21" customHeight="1">
      <x:c r="A260" s="28" t="n">
        <x:v>254</x:v>
      </x:c>
      <x:c r="B260" s="29" t="n">
        <x:v>52526</x:v>
      </x:c>
      <x:c r="C260" s="28" t="n">
        <x:f>B260-B259</x:f>
        <x:v>30</x:v>
      </x:c>
      <x:c r="D260" s="30" t="n">
        <x:f>H259</x:f>
        <x:v>3646037.89</x:v>
      </x:c>
      <x:c r="E260" s="30" t="n">
        <x:f>ROUND(D260*I260,2)</x:f>
        <x:v>22475.58</x:v>
      </x:c>
      <x:c r="F260" s="30" t="n">
        <x:f>0</x:f>
        <x:v>0</x:v>
      </x:c>
      <x:c r="G260" s="30" t="n">
        <x:f>ROUND(E260+F260,2)</x:f>
        <x:v>22475.58</x:v>
      </x:c>
      <x:c r="H260" s="30" t="n">
        <x:f>ROUND(D260-F260,2)</x:f>
        <x:v>3646037.89</x:v>
      </x:c>
      <x:c r="I260" s="33" t="n">
        <x:f>IF(AND(ISNUMBER('Параметры'!$C$7),'Параметры'!$C$7&gt;=0),'Параметры'!$C$7*C260/365,NA())</x:f>
        <x:v>0.0061643835616438354</x:v>
      </x:c>
      <x:c r="J260" s="32" t="n">
        <x:f>J259/(1+I260)</x:f>
        <x:v>0.20561046015900186</x:v>
      </x:c>
      <x:c r="K260" s="33" t="n">
        <x:f>IF(AND(ISNUMBER('Параметры'!$C$8),'Параметры'!$C$8&gt;=0),'Параметры'!$C$8*C260/365,NA())</x:f>
        <x:v>0.0061643835616438354</x:v>
      </x:c>
      <x:c r="L260" s="32" t="n">
        <x:f>L259/(1+K260)</x:f>
        <x:v>0.20561046015900186</x:v>
      </x:c>
      <x:c r="M260" s="30" t="n">
        <x:f>E260*L260</x:f>
        <x:v>4621.214346140459</x:v>
      </x:c>
      <x:c r="N260" s="30" t="n">
        <x:f>F260*L260</x:f>
        <x:v>0</x:v>
      </x:c>
      <x:c r="O260" s="30" t="n">
        <x:f>G260*L260</x:f>
        <x:v>4621.214346140459</x:v>
      </x:c>
    </x:row>
    <x:row r="261" ht="21" customHeight="1">
      <x:c r="A261" s="28" t="n">
        <x:v>255</x:v>
      </x:c>
      <x:c r="B261" s="29" t="n">
        <x:v>52557</x:v>
      </x:c>
      <x:c r="C261" s="28" t="n">
        <x:f>B261-B260</x:f>
        <x:v>31</x:v>
      </x:c>
      <x:c r="D261" s="30" t="n">
        <x:f>H260</x:f>
        <x:v>3646037.89</x:v>
      </x:c>
      <x:c r="E261" s="30" t="n">
        <x:f>ROUND(D261*I261,2)</x:f>
        <x:v>23224.76</x:v>
      </x:c>
      <x:c r="F261" s="30" t="n">
        <x:f>0</x:f>
        <x:v>0</x:v>
      </x:c>
      <x:c r="G261" s="30" t="n">
        <x:f>ROUND(E261+F261,2)</x:f>
        <x:v>23224.76</x:v>
      </x:c>
      <x:c r="H261" s="30" t="n">
        <x:f>ROUND(D261-F261,2)</x:f>
        <x:v>3646037.89</x:v>
      </x:c>
      <x:c r="I261" s="33" t="n">
        <x:f>IF(AND(ISNUMBER('Параметры'!$C$7),'Параметры'!$C$7&gt;=0),'Параметры'!$C$7*C261/365,NA())</x:f>
        <x:v>0.00636986301369863</x:v>
      </x:c>
      <x:c r="J261" s="32" t="n">
        <x:f>J260/(1+I261)</x:f>
        <x:v>0.20430903956451557</x:v>
      </x:c>
      <x:c r="K261" s="33" t="n">
        <x:f>IF(AND(ISNUMBER('Параметры'!$C$8),'Параметры'!$C$8&gt;=0),'Параметры'!$C$8*C261/365,NA())</x:f>
        <x:v>0.00636986301369863</x:v>
      </x:c>
      <x:c r="L261" s="32" t="n">
        <x:f>L260/(1+K261)</x:f>
        <x:v>0.20430903956451557</x:v>
      </x:c>
      <x:c r="M261" s="30" t="n">
        <x:f>E261*L261</x:f>
        <x:v>4745.0284097163785</x:v>
      </x:c>
      <x:c r="N261" s="30" t="n">
        <x:f>F261*L261</x:f>
        <x:v>0</x:v>
      </x:c>
      <x:c r="O261" s="30" t="n">
        <x:f>G261*L261</x:f>
        <x:v>4745.0284097163785</x:v>
      </x:c>
    </x:row>
    <x:row r="262" ht="21" customHeight="1">
      <x:c r="A262" s="28" t="n">
        <x:v>256</x:v>
      </x:c>
      <x:c r="B262" s="29" t="n">
        <x:v>52587</x:v>
      </x:c>
      <x:c r="C262" s="28" t="n">
        <x:f>B262-B261</x:f>
        <x:v>30</x:v>
      </x:c>
      <x:c r="D262" s="30" t="n">
        <x:f>H261</x:f>
        <x:v>3646037.89</x:v>
      </x:c>
      <x:c r="E262" s="30" t="n">
        <x:f>ROUND(D262*I262,2)</x:f>
        <x:v>22475.58</x:v>
      </x:c>
      <x:c r="F262" s="30" t="n">
        <x:f>0</x:f>
        <x:v>0</x:v>
      </x:c>
      <x:c r="G262" s="30" t="n">
        <x:f>ROUND(E262+F262,2)</x:f>
        <x:v>22475.58</x:v>
      </x:c>
      <x:c r="H262" s="30" t="n">
        <x:f>ROUND(D262-F262,2)</x:f>
        <x:v>3646037.89</x:v>
      </x:c>
      <x:c r="I262" s="33" t="n">
        <x:f>IF(AND(ISNUMBER('Параметры'!$C$7),'Параметры'!$C$7&gt;=0),'Параметры'!$C$7*C262/365,NA())</x:f>
        <x:v>0.0061643835616438354</x:v>
      </x:c>
      <x:c r="J262" s="32" t="n">
        <x:f>J261/(1+I262)</x:f>
        <x:v>0.20305731638134292</x:v>
      </x:c>
      <x:c r="K262" s="33" t="n">
        <x:f>IF(AND(ISNUMBER('Параметры'!$C$8),'Параметры'!$C$8&gt;=0),'Параметры'!$C$8*C262/365,NA())</x:f>
        <x:v>0.0061643835616438354</x:v>
      </x:c>
      <x:c r="L262" s="32" t="n">
        <x:f>L261/(1+K262)</x:f>
        <x:v>0.20305731638134292</x:v>
      </x:c>
      <x:c r="M262" s="30" t="n">
        <x:f>E262*L262</x:f>
        <x:v>4563.830958914184</x:v>
      </x:c>
      <x:c r="N262" s="30" t="n">
        <x:f>F262*L262</x:f>
        <x:v>0</x:v>
      </x:c>
      <x:c r="O262" s="30" t="n">
        <x:f>G262*L262</x:f>
        <x:v>4563.830958914184</x:v>
      </x:c>
    </x:row>
    <x:row r="263" ht="21" customHeight="1">
      <x:c r="A263" s="28" t="n">
        <x:v>257</x:v>
      </x:c>
      <x:c r="B263" s="29" t="n">
        <x:v>52618</x:v>
      </x:c>
      <x:c r="C263" s="28" t="n">
        <x:f>B263-B262</x:f>
        <x:v>31</x:v>
      </x:c>
      <x:c r="D263" s="30" t="n">
        <x:f>H262</x:f>
        <x:v>3646037.89</x:v>
      </x:c>
      <x:c r="E263" s="30" t="n">
        <x:f>ROUND(D263*I263,2)</x:f>
        <x:v>23224.76</x:v>
      </x:c>
      <x:c r="F263" s="30" t="n">
        <x:f>0</x:f>
        <x:v>0</x:v>
      </x:c>
      <x:c r="G263" s="30" t="n">
        <x:f>ROUND(E263+F263,2)</x:f>
        <x:v>23224.76</x:v>
      </x:c>
      <x:c r="H263" s="30" t="n">
        <x:f>ROUND(D263-F263,2)</x:f>
        <x:v>3646037.89</x:v>
      </x:c>
      <x:c r="I263" s="33" t="n">
        <x:f>IF(AND(ISNUMBER('Параметры'!$C$7),'Параметры'!$C$7&gt;=0),'Параметры'!$C$7*C263/365,NA())</x:f>
        <x:v>0.00636986301369863</x:v>
      </x:c>
      <x:c r="J263" s="32" t="n">
        <x:f>J262/(1+I263)</x:f>
        <x:v>0.2017720560244747</x:v>
      </x:c>
      <x:c r="K263" s="33" t="n">
        <x:f>IF(AND(ISNUMBER('Параметры'!$C$8),'Параметры'!$C$8&gt;=0),'Параметры'!$C$8*C263/365,NA())</x:f>
        <x:v>0.00636986301369863</x:v>
      </x:c>
      <x:c r="L263" s="32" t="n">
        <x:f>L262/(1+K263)</x:f>
        <x:v>0.2017720560244747</x:v>
      </x:c>
      <x:c r="M263" s="30" t="n">
        <x:f>E263*L263</x:f>
        <x:v>4686.1075758749785</x:v>
      </x:c>
      <x:c r="N263" s="30" t="n">
        <x:f>F263*L263</x:f>
        <x:v>0</x:v>
      </x:c>
      <x:c r="O263" s="30" t="n">
        <x:f>G263*L263</x:f>
        <x:v>4686.1075758749785</x:v>
      </x:c>
    </x:row>
    <x:row r="264" ht="21" customHeight="1">
      <x:c r="A264" s="28" t="n">
        <x:v>258</x:v>
      </x:c>
      <x:c r="B264" s="29" t="n">
        <x:v>52649</x:v>
      </x:c>
      <x:c r="C264" s="28" t="n">
        <x:f>B264-B263</x:f>
        <x:v>31</x:v>
      </x:c>
      <x:c r="D264" s="30" t="n">
        <x:f>H263</x:f>
        <x:v>3646037.89</x:v>
      </x:c>
      <x:c r="E264" s="30" t="n">
        <x:f>ROUND(D264*I264,2)</x:f>
        <x:v>23224.76</x:v>
      </x:c>
      <x:c r="F264" s="30" t="n">
        <x:f>0</x:f>
        <x:v>0</x:v>
      </x:c>
      <x:c r="G264" s="30" t="n">
        <x:f>ROUND(E264+F264,2)</x:f>
        <x:v>23224.76</x:v>
      </x:c>
      <x:c r="H264" s="30" t="n">
        <x:f>ROUND(D264-F264,2)</x:f>
        <x:v>3646037.89</x:v>
      </x:c>
      <x:c r="I264" s="33" t="n">
        <x:f>IF(AND(ISNUMBER('Параметры'!$C$7),'Параметры'!$C$7&gt;=0),'Параметры'!$C$7*C264/365,NA())</x:f>
        <x:v>0.00636986301369863</x:v>
      </x:c>
      <x:c r="J264" s="32" t="n">
        <x:f>J263/(1+I264)</x:f>
        <x:v>0.20049493078046218</x:v>
      </x:c>
      <x:c r="K264" s="33" t="n">
        <x:f>IF(AND(ISNUMBER('Параметры'!$C$8),'Параметры'!$C$8&gt;=0),'Параметры'!$C$8*C264/365,NA())</x:f>
        <x:v>0.00636986301369863</x:v>
      </x:c>
      <x:c r="L264" s="32" t="n">
        <x:f>L263/(1+K264)</x:f>
        <x:v>0.20049493078046218</x:v>
      </x:c>
      <x:c r="M264" s="30" t="n">
        <x:f>E264*L264</x:f>
        <x:v>4656.446648592847</x:v>
      </x:c>
      <x:c r="N264" s="30" t="n">
        <x:f>F264*L264</x:f>
        <x:v>0</x:v>
      </x:c>
      <x:c r="O264" s="30" t="n">
        <x:f>G264*L264</x:f>
        <x:v>4656.446648592847</x:v>
      </x:c>
    </x:row>
    <x:row r="265" ht="21" customHeight="1">
      <x:c r="A265" s="28" t="n">
        <x:v>259</x:v>
      </x:c>
      <x:c r="B265" s="29" t="n">
        <x:v>52678</x:v>
      </x:c>
      <x:c r="C265" s="28" t="n">
        <x:f>B265-B264</x:f>
        <x:v>29</x:v>
      </x:c>
      <x:c r="D265" s="30" t="n">
        <x:f>H264</x:f>
        <x:v>3646037.89</x:v>
      </x:c>
      <x:c r="E265" s="30" t="n">
        <x:f>ROUND(D265*I265,2)</x:f>
        <x:v>21726.39</x:v>
      </x:c>
      <x:c r="F265" s="30" t="n">
        <x:f>0</x:f>
        <x:v>0</x:v>
      </x:c>
      <x:c r="G265" s="30" t="n">
        <x:f>ROUND(E265+F265,2)</x:f>
        <x:v>21726.39</x:v>
      </x:c>
      <x:c r="H265" s="30" t="n">
        <x:f>ROUND(D265-F265,2)</x:f>
        <x:v>3646037.89</x:v>
      </x:c>
      <x:c r="I265" s="33" t="n">
        <x:f>IF(AND(ISNUMBER('Параметры'!$C$7),'Параметры'!$C$7&gt;=0),'Параметры'!$C$7*C265/365,NA())</x:f>
        <x:v>0.00595890410958904</x:v>
      </x:c>
      <x:c r="J265" s="32" t="n">
        <x:f>J264/(1+I265)</x:f>
        <x:v>0.1993072778235683</x:v>
      </x:c>
      <x:c r="K265" s="33" t="n">
        <x:f>IF(AND(ISNUMBER('Параметры'!$C$8),'Параметры'!$C$8&gt;=0),'Параметры'!$C$8*C265/365,NA())</x:f>
        <x:v>0.00595890410958904</x:v>
      </x:c>
      <x:c r="L265" s="32" t="n">
        <x:f>L264/(1+K265)</x:f>
        <x:v>0.1993072778235683</x:v>
      </x:c>
      <x:c r="M265" s="30" t="n">
        <x:f>E265*L265</x:f>
        <x:v>4330.227647833196</x:v>
      </x:c>
      <x:c r="N265" s="30" t="n">
        <x:f>F265*L265</x:f>
        <x:v>0</x:v>
      </x:c>
      <x:c r="O265" s="30" t="n">
        <x:f>G265*L265</x:f>
        <x:v>4330.227647833196</x:v>
      </x:c>
    </x:row>
    <x:row r="266" ht="21" customHeight="1">
      <x:c r="A266" s="28" t="n">
        <x:v>260</x:v>
      </x:c>
      <x:c r="B266" s="29" t="n">
        <x:v>52709</x:v>
      </x:c>
      <x:c r="C266" s="28" t="n">
        <x:f>B266-B265</x:f>
        <x:v>31</x:v>
      </x:c>
      <x:c r="D266" s="30" t="n">
        <x:f>H265</x:f>
        <x:v>3646037.89</x:v>
      </x:c>
      <x:c r="E266" s="30" t="n">
        <x:f>ROUND(D266*I266,2)</x:f>
        <x:v>23224.76</x:v>
      </x:c>
      <x:c r="F266" s="30" t="n">
        <x:f>0</x:f>
        <x:v>0</x:v>
      </x:c>
      <x:c r="G266" s="30" t="n">
        <x:f>ROUND(E266+F266,2)</x:f>
        <x:v>23224.76</x:v>
      </x:c>
      <x:c r="H266" s="30" t="n">
        <x:f>ROUND(D266-F266,2)</x:f>
        <x:v>3646037.89</x:v>
      </x:c>
      <x:c r="I266" s="33" t="n">
        <x:f>IF(AND(ISNUMBER('Параметры'!$C$7),'Параметры'!$C$7&gt;=0),'Параметры'!$C$7*C266/365,NA())</x:f>
        <x:v>0.00636986301369863</x:v>
      </x:c>
      <x:c r="J266" s="32" t="n">
        <x:f>J265/(1+I266)</x:f>
        <x:v>0.19804575350330753</x:v>
      </x:c>
      <x:c r="K266" s="33" t="n">
        <x:f>IF(AND(ISNUMBER('Параметры'!$C$8),'Параметры'!$C$8&gt;=0),'Параметры'!$C$8*C266/365,NA())</x:f>
        <x:v>0.00636986301369863</x:v>
      </x:c>
      <x:c r="L266" s="32" t="n">
        <x:f>L265/(1+K266)</x:f>
        <x:v>0.19804575350330753</x:v>
      </x:c>
      <x:c r="M266" s="30" t="n">
        <x:f>E266*L266</x:f>
        <x:v>4599.565094133476</x:v>
      </x:c>
      <x:c r="N266" s="30" t="n">
        <x:f>F266*L266</x:f>
        <x:v>0</x:v>
      </x:c>
      <x:c r="O266" s="30" t="n">
        <x:f>G266*L266</x:f>
        <x:v>4599.565094133476</x:v>
      </x:c>
    </x:row>
    <x:row r="267" ht="21" customHeight="1">
      <x:c r="A267" s="28" t="n">
        <x:v>261</x:v>
      </x:c>
      <x:c r="B267" s="29" t="n">
        <x:v>52739</x:v>
      </x:c>
      <x:c r="C267" s="28" t="n">
        <x:f>B267-B266</x:f>
        <x:v>30</x:v>
      </x:c>
      <x:c r="D267" s="30" t="n">
        <x:f>H266</x:f>
        <x:v>3646037.89</x:v>
      </x:c>
      <x:c r="E267" s="30" t="n">
        <x:f>ROUND(D267*I267,2)</x:f>
        <x:v>22475.58</x:v>
      </x:c>
      <x:c r="F267" s="30" t="n">
        <x:f>0</x:f>
        <x:v>0</x:v>
      </x:c>
      <x:c r="G267" s="30" t="n">
        <x:f>ROUND(E267+F267,2)</x:f>
        <x:v>22475.58</x:v>
      </x:c>
      <x:c r="H267" s="30" t="n">
        <x:f>ROUND(D267-F267,2)</x:f>
        <x:v>3646037.89</x:v>
      </x:c>
      <x:c r="I267" s="33" t="n">
        <x:f>IF(AND(ISNUMBER('Параметры'!$C$7),'Параметры'!$C$7&gt;=0),'Параметры'!$C$7*C267/365,NA())</x:f>
        <x:v>0.0061643835616438354</x:v>
      </x:c>
      <x:c r="J267" s="32" t="n">
        <x:f>J266/(1+I267)</x:f>
        <x:v>0.196832403073403</x:v>
      </x:c>
      <x:c r="K267" s="33" t="n">
        <x:f>IF(AND(ISNUMBER('Параметры'!$C$8),'Параметры'!$C$8&gt;=0),'Параметры'!$C$8*C267/365,NA())</x:f>
        <x:v>0.0061643835616438354</x:v>
      </x:c>
      <x:c r="L267" s="32" t="n">
        <x:f>L266/(1+K267)</x:f>
        <x:v>0.196832403073403</x:v>
      </x:c>
      <x:c r="M267" s="30" t="n">
        <x:f>E267*L267</x:f>
        <x:v>4423.922421868515</x:v>
      </x:c>
      <x:c r="N267" s="30" t="n">
        <x:f>F267*L267</x:f>
        <x:v>0</x:v>
      </x:c>
      <x:c r="O267" s="30" t="n">
        <x:f>G267*L267</x:f>
        <x:v>4423.922421868515</x:v>
      </x:c>
    </x:row>
    <x:row r="268" ht="21" customHeight="1">
      <x:c r="A268" s="28" t="n">
        <x:v>262</x:v>
      </x:c>
      <x:c r="B268" s="29" t="n">
        <x:v>52770</x:v>
      </x:c>
      <x:c r="C268" s="28" t="n">
        <x:f>B268-B267</x:f>
        <x:v>31</x:v>
      </x:c>
      <x:c r="D268" s="30" t="n">
        <x:f>H267</x:f>
        <x:v>3646037.89</x:v>
      </x:c>
      <x:c r="E268" s="30" t="n">
        <x:f>ROUND(D268*I268,2)</x:f>
        <x:v>23224.76</x:v>
      </x:c>
      <x:c r="F268" s="30" t="n">
        <x:f>0</x:f>
        <x:v>0</x:v>
      </x:c>
      <x:c r="G268" s="30" t="n">
        <x:f>ROUND(E268+F268,2)</x:f>
        <x:v>23224.76</x:v>
      </x:c>
      <x:c r="H268" s="30" t="n">
        <x:f>ROUND(D268-F268,2)</x:f>
        <x:v>3646037.89</x:v>
      </x:c>
      <x:c r="I268" s="33" t="n">
        <x:f>IF(AND(ISNUMBER('Параметры'!$C$7),'Параметры'!$C$7&gt;=0),'Параметры'!$C$7*C268/365,NA())</x:f>
        <x:v>0.00636986301369863</x:v>
      </x:c>
      <x:c r="J268" s="32" t="n">
        <x:f>J267/(1+I268)</x:f>
        <x:v>0.19558654358345362</x:v>
      </x:c>
      <x:c r="K268" s="33" t="n">
        <x:f>IF(AND(ISNUMBER('Параметры'!$C$8),'Параметры'!$C$8&gt;=0),'Параметры'!$C$8*C268/365,NA())</x:f>
        <x:v>0.00636986301369863</x:v>
      </x:c>
      <x:c r="L268" s="32" t="n">
        <x:f>L267/(1+K268)</x:f>
        <x:v>0.19558654358345362</x:v>
      </x:c>
      <x:c r="M268" s="30" t="n">
        <x:f>E268*L268</x:f>
        <x:v>4542.45053395525</x:v>
      </x:c>
      <x:c r="N268" s="30" t="n">
        <x:f>F268*L268</x:f>
        <x:v>0</x:v>
      </x:c>
      <x:c r="O268" s="30" t="n">
        <x:f>G268*L268</x:f>
        <x:v>4542.45053395525</x:v>
      </x:c>
    </x:row>
    <x:row r="269" ht="21" customHeight="1">
      <x:c r="A269" s="28" t="n">
        <x:v>263</x:v>
      </x:c>
      <x:c r="B269" s="29" t="n">
        <x:v>52800</x:v>
      </x:c>
      <x:c r="C269" s="28" t="n">
        <x:f>B269-B268</x:f>
        <x:v>30</x:v>
      </x:c>
      <x:c r="D269" s="30" t="n">
        <x:f>H268</x:f>
        <x:v>3646037.89</x:v>
      </x:c>
      <x:c r="E269" s="30" t="n">
        <x:f>ROUND(D269*I269,2)</x:f>
        <x:v>22475.58</x:v>
      </x:c>
      <x:c r="F269" s="30" t="n">
        <x:f>0</x:f>
        <x:v>0</x:v>
      </x:c>
      <x:c r="G269" s="30" t="n">
        <x:f>ROUND(E269+F269,2)</x:f>
        <x:v>22475.58</x:v>
      </x:c>
      <x:c r="H269" s="30" t="n">
        <x:f>ROUND(D269-F269,2)</x:f>
        <x:v>3646037.89</x:v>
      </x:c>
      <x:c r="I269" s="33" t="n">
        <x:f>IF(AND(ISNUMBER('Параметры'!$C$7),'Параметры'!$C$7&gt;=0),'Параметры'!$C$7*C269/365,NA())</x:f>
        <x:v>0.0061643835616438354</x:v>
      </x:c>
      <x:c r="J269" s="32" t="n">
        <x:f>J268/(1+I269)</x:f>
        <x:v>0.1943882597902262</x:v>
      </x:c>
      <x:c r="K269" s="33" t="n">
        <x:f>IF(AND(ISNUMBER('Параметры'!$C$8),'Параметры'!$C$8&gt;=0),'Параметры'!$C$8*C269/365,NA())</x:f>
        <x:v>0.0061643835616438354</x:v>
      </x:c>
      <x:c r="L269" s="32" t="n">
        <x:f>L268/(1+K269)</x:f>
        <x:v>0.1943882597902262</x:v>
      </x:c>
      <x:c r="M269" s="30" t="n">
        <x:f>E269*L269</x:f>
        <x:v>4368.988883976012</x:v>
      </x:c>
      <x:c r="N269" s="30" t="n">
        <x:f>F269*L269</x:f>
        <x:v>0</x:v>
      </x:c>
      <x:c r="O269" s="30" t="n">
        <x:f>G269*L269</x:f>
        <x:v>4368.988883976012</x:v>
      </x:c>
    </x:row>
    <x:row r="270" ht="21" customHeight="1">
      <x:c r="A270" s="28" t="n">
        <x:v>264</x:v>
      </x:c>
      <x:c r="B270" s="29" t="n">
        <x:v>52831</x:v>
      </x:c>
      <x:c r="C270" s="28" t="n">
        <x:f>B270-B269</x:f>
        <x:v>31</x:v>
      </x:c>
      <x:c r="D270" s="30" t="n">
        <x:f>H269</x:f>
        <x:v>3646037.89</x:v>
      </x:c>
      <x:c r="E270" s="30" t="n">
        <x:f>ROUND(D270*I270,2)</x:f>
        <x:v>23224.76</x:v>
      </x:c>
      <x:c r="F270" s="30" t="n">
        <x:f>0</x:f>
        <x:v>0</x:v>
      </x:c>
      <x:c r="G270" s="30" t="n">
        <x:f>ROUND(E270+F270,2)</x:f>
        <x:v>23224.76</x:v>
      </x:c>
      <x:c r="H270" s="30" t="n">
        <x:f>ROUND(D270-F270,2)</x:f>
        <x:v>3646037.89</x:v>
      </x:c>
      <x:c r="I270" s="33" t="n">
        <x:f>IF(AND(ISNUMBER('Параметры'!$C$7),'Параметры'!$C$7&gt;=0),'Параметры'!$C$7*C270/365,NA())</x:f>
        <x:v>0.00636986301369863</x:v>
      </x:c>
      <x:c r="J270" s="32" t="n">
        <x:f>J269/(1+I270)</x:f>
        <x:v>0.1931578706143948</x:v>
      </x:c>
      <x:c r="K270" s="33" t="n">
        <x:f>IF(AND(ISNUMBER('Параметры'!$C$8),'Параметры'!$C$8&gt;=0),'Параметры'!$C$8*C270/365,NA())</x:f>
        <x:v>0.00636986301369863</x:v>
      </x:c>
      <x:c r="L270" s="32" t="n">
        <x:f>L269/(1+K270)</x:f>
        <x:v>0.1931578706143948</x:v>
      </x:c>
      <x:c r="M270" s="30" t="n">
        <x:f>E270*L270</x:f>
        <x:v>4486.045187130371</x:v>
      </x:c>
      <x:c r="N270" s="30" t="n">
        <x:f>F270*L270</x:f>
        <x:v>0</x:v>
      </x:c>
      <x:c r="O270" s="30" t="n">
        <x:f>G270*L270</x:f>
        <x:v>4486.045187130371</x:v>
      </x:c>
    </x:row>
    <x:row r="271" ht="21" customHeight="1">
      <x:c r="A271" s="28" t="n">
        <x:v>265</x:v>
      </x:c>
      <x:c r="B271" s="29" t="n">
        <x:v>52862</x:v>
      </x:c>
      <x:c r="C271" s="28" t="n">
        <x:f>B271-B270</x:f>
        <x:v>31</x:v>
      </x:c>
      <x:c r="D271" s="30" t="n">
        <x:f>H270</x:f>
        <x:v>3646037.89</x:v>
      </x:c>
      <x:c r="E271" s="30" t="n">
        <x:f>ROUND(D271*I271,2)</x:f>
        <x:v>23224.76</x:v>
      </x:c>
      <x:c r="F271" s="30" t="n">
        <x:f>0</x:f>
        <x:v>0</x:v>
      </x:c>
      <x:c r="G271" s="30" t="n">
        <x:f>ROUND(E271+F271,2)</x:f>
        <x:v>23224.76</x:v>
      </x:c>
      <x:c r="H271" s="30" t="n">
        <x:f>ROUND(D271-F271,2)</x:f>
        <x:v>3646037.89</x:v>
      </x:c>
      <x:c r="I271" s="33" t="n">
        <x:f>IF(AND(ISNUMBER('Параметры'!$C$7),'Параметры'!$C$7&gt;=0),'Параметры'!$C$7*C271/365,NA())</x:f>
        <x:v>0.00636986301369863</x:v>
      </x:c>
      <x:c r="J271" s="32" t="n">
        <x:f>J270/(1+I271)</x:f>
        <x:v>0.191935269241827</x:v>
      </x:c>
      <x:c r="K271" s="33" t="n">
        <x:f>IF(AND(ISNUMBER('Параметры'!$C$8),'Параметры'!$C$8&gt;=0),'Параметры'!$C$8*C271/365,NA())</x:f>
        <x:v>0.00636986301369863</x:v>
      </x:c>
      <x:c r="L271" s="32" t="n">
        <x:f>L270/(1+K271)</x:f>
        <x:v>0.191935269241827</x:v>
      </x:c>
      <x:c r="M271" s="30" t="n">
        <x:f>E271*L271</x:f>
        <x:v>4457.650563676813</x:v>
      </x:c>
      <x:c r="N271" s="30" t="n">
        <x:f>F271*L271</x:f>
        <x:v>0</x:v>
      </x:c>
      <x:c r="O271" s="30" t="n">
        <x:f>G271*L271</x:f>
        <x:v>4457.650563676813</x:v>
      </x:c>
    </x:row>
    <x:row r="272" ht="21" customHeight="1">
      <x:c r="A272" s="28" t="n">
        <x:v>266</x:v>
      </x:c>
      <x:c r="B272" s="29" t="n">
        <x:v>52892</x:v>
      </x:c>
      <x:c r="C272" s="28" t="n">
        <x:f>B272-B271</x:f>
        <x:v>30</x:v>
      </x:c>
      <x:c r="D272" s="30" t="n">
        <x:f>H271</x:f>
        <x:v>3646037.89</x:v>
      </x:c>
      <x:c r="E272" s="30" t="n">
        <x:f>ROUND(D272*I272,2)</x:f>
        <x:v>22475.58</x:v>
      </x:c>
      <x:c r="F272" s="30" t="n">
        <x:f>0</x:f>
        <x:v>0</x:v>
      </x:c>
      <x:c r="G272" s="30" t="n">
        <x:f>ROUND(E272+F272,2)</x:f>
        <x:v>22475.58</x:v>
      </x:c>
      <x:c r="H272" s="30" t="n">
        <x:f>ROUND(D272-F272,2)</x:f>
        <x:v>3646037.89</x:v>
      </x:c>
      <x:c r="I272" s="33" t="n">
        <x:f>IF(AND(ISNUMBER('Параметры'!$C$7),'Параметры'!$C$7&gt;=0),'Параметры'!$C$7*C272/365,NA())</x:f>
        <x:v>0.0061643835616438354</x:v>
      </x:c>
      <x:c r="J272" s="32" t="n">
        <x:f>J271/(1+I272)</x:f>
        <x:v>0.19075935540712555</x:v>
      </x:c>
      <x:c r="K272" s="33" t="n">
        <x:f>IF(AND(ISNUMBER('Параметры'!$C$8),'Параметры'!$C$8&gt;=0),'Параметры'!$C$8*C272/365,NA())</x:f>
        <x:v>0.0061643835616438354</x:v>
      </x:c>
      <x:c r="L272" s="32" t="n">
        <x:f>L271/(1+K272)</x:f>
        <x:v>0.19075935540712555</x:v>
      </x:c>
      <x:c r="M272" s="30" t="n">
        <x:f>E272*L272</x:f>
        <x:v>4287.4271532012835</x:v>
      </x:c>
      <x:c r="N272" s="30" t="n">
        <x:f>F272*L272</x:f>
        <x:v>0</x:v>
      </x:c>
      <x:c r="O272" s="30" t="n">
        <x:f>G272*L272</x:f>
        <x:v>4287.4271532012835</x:v>
      </x:c>
    </x:row>
    <x:row r="273" ht="21" customHeight="1">
      <x:c r="A273" s="28" t="n">
        <x:v>267</x:v>
      </x:c>
      <x:c r="B273" s="29" t="n">
        <x:v>52923</x:v>
      </x:c>
      <x:c r="C273" s="28" t="n">
        <x:f>B273-B272</x:f>
        <x:v>31</x:v>
      </x:c>
      <x:c r="D273" s="30" t="n">
        <x:f>H272</x:f>
        <x:v>3646037.89</x:v>
      </x:c>
      <x:c r="E273" s="30" t="n">
        <x:f>ROUND(D273*I273,2)</x:f>
        <x:v>23224.76</x:v>
      </x:c>
      <x:c r="F273" s="30" t="n">
        <x:f>0</x:f>
        <x:v>0</x:v>
      </x:c>
      <x:c r="G273" s="30" t="n">
        <x:f>ROUND(E273+F273,2)</x:f>
        <x:v>23224.76</x:v>
      </x:c>
      <x:c r="H273" s="30" t="n">
        <x:f>ROUND(D273-F273,2)</x:f>
        <x:v>3646037.89</x:v>
      </x:c>
      <x:c r="I273" s="33" t="n">
        <x:f>IF(AND(ISNUMBER('Параметры'!$C$7),'Параметры'!$C$7&gt;=0),'Параметры'!$C$7*C273/365,NA())</x:f>
        <x:v>0.00636986301369863</x:v>
      </x:c>
      <x:c r="J273" s="32" t="n">
        <x:f>J272/(1+I273)</x:f>
        <x:v>0.18955193554373057</x:v>
      </x:c>
      <x:c r="K273" s="33" t="n">
        <x:f>IF(AND(ISNUMBER('Параметры'!$C$8),'Параметры'!$C$8&gt;=0),'Параметры'!$C$8*C273/365,NA())</x:f>
        <x:v>0.00636986301369863</x:v>
      </x:c>
      <x:c r="L273" s="32" t="n">
        <x:f>L272/(1+K273)</x:f>
        <x:v>0.18955193554373057</x:v>
      </x:c>
      <x:c r="M273" s="30" t="n">
        <x:f>E273*L273</x:f>
        <x:v>4402.298210538612</x:v>
      </x:c>
      <x:c r="N273" s="30" t="n">
        <x:f>F273*L273</x:f>
        <x:v>0</x:v>
      </x:c>
      <x:c r="O273" s="30" t="n">
        <x:f>G273*L273</x:f>
        <x:v>4402.298210538612</x:v>
      </x:c>
    </x:row>
    <x:row r="274" ht="21" customHeight="1">
      <x:c r="A274" s="28" t="n">
        <x:v>268</x:v>
      </x:c>
      <x:c r="B274" s="29" t="n">
        <x:v>52953</x:v>
      </x:c>
      <x:c r="C274" s="28" t="n">
        <x:f>B274-B273</x:f>
        <x:v>30</x:v>
      </x:c>
      <x:c r="D274" s="30" t="n">
        <x:f>H273</x:f>
        <x:v>3646037.89</x:v>
      </x:c>
      <x:c r="E274" s="30" t="n">
        <x:f>ROUND(D274*I274,2)</x:f>
        <x:v>22475.58</x:v>
      </x:c>
      <x:c r="F274" s="30" t="n">
        <x:f>0</x:f>
        <x:v>0</x:v>
      </x:c>
      <x:c r="G274" s="30" t="n">
        <x:f>ROUND(E274+F274,2)</x:f>
        <x:v>22475.58</x:v>
      </x:c>
      <x:c r="H274" s="30" t="n">
        <x:f>ROUND(D274-F274,2)</x:f>
        <x:v>3646037.89</x:v>
      </x:c>
      <x:c r="I274" s="33" t="n">
        <x:f>IF(AND(ISNUMBER('Параметры'!$C$7),'Параметры'!$C$7&gt;=0),'Параметры'!$C$7*C274/365,NA())</x:f>
        <x:v>0.0061643835616438354</x:v>
      </x:c>
      <x:c r="J274" s="32" t="n">
        <x:f>J273/(1+I274)</x:f>
        <x:v>0.18839062348117538</x:v>
      </x:c>
      <x:c r="K274" s="33" t="n">
        <x:f>IF(AND(ISNUMBER('Параметры'!$C$8),'Параметры'!$C$8&gt;=0),'Параметры'!$C$8*C274/365,NA())</x:f>
        <x:v>0.0061643835616438354</x:v>
      </x:c>
      <x:c r="L274" s="32" t="n">
        <x:f>L273/(1+K274)</x:f>
        <x:v>0.18839062348117538</x:v>
      </x:c>
      <x:c r="M274" s="30" t="n">
        <x:f>E274*L274</x:f>
        <x:v>4234.188529301036</x:v>
      </x:c>
      <x:c r="N274" s="30" t="n">
        <x:f>F274*L274</x:f>
        <x:v>0</x:v>
      </x:c>
      <x:c r="O274" s="30" t="n">
        <x:f>G274*L274</x:f>
        <x:v>4234.188529301036</x:v>
      </x:c>
    </x:row>
    <x:row r="275" ht="21" customHeight="1">
      <x:c r="A275" s="28" t="n">
        <x:v>269</x:v>
      </x:c>
      <x:c r="B275" s="29" t="n">
        <x:v>52984</x:v>
      </x:c>
      <x:c r="C275" s="28" t="n">
        <x:f>B275-B274</x:f>
        <x:v>31</x:v>
      </x:c>
      <x:c r="D275" s="30" t="n">
        <x:f>H274</x:f>
        <x:v>3646037.89</x:v>
      </x:c>
      <x:c r="E275" s="30" t="n">
        <x:f>ROUND(D275*I275,2)</x:f>
        <x:v>23224.76</x:v>
      </x:c>
      <x:c r="F275" s="30" t="n">
        <x:f>0</x:f>
        <x:v>0</x:v>
      </x:c>
      <x:c r="G275" s="30" t="n">
        <x:f>ROUND(E275+F275,2)</x:f>
        <x:v>23224.76</x:v>
      </x:c>
      <x:c r="H275" s="30" t="n">
        <x:f>ROUND(D275-F275,2)</x:f>
        <x:v>3646037.89</x:v>
      </x:c>
      <x:c r="I275" s="33" t="n">
        <x:f>IF(AND(ISNUMBER('Параметры'!$C$7),'Параметры'!$C$7&gt;=0),'Параметры'!$C$7*C275/365,NA())</x:f>
        <x:v>0.00636986301369863</x:v>
      </x:c>
      <x:c r="J275" s="32" t="n">
        <x:f>J274/(1+I275)</x:f>
        <x:v>0.18719819661234335</x:v>
      </x:c>
      <x:c r="K275" s="33" t="n">
        <x:f>IF(AND(ISNUMBER('Параметры'!$C$8),'Параметры'!$C$8&gt;=0),'Параметры'!$C$8*C275/365,NA())</x:f>
        <x:v>0.00636986301369863</x:v>
      </x:c>
      <x:c r="L275" s="32" t="n">
        <x:f>L274/(1+K275)</x:f>
        <x:v>0.18719819661234335</x:v>
      </x:c>
      <x:c r="M275" s="30" t="n">
        <x:f>E275*L275</x:f>
        <x:v>4347.6331887544875</x:v>
      </x:c>
      <x:c r="N275" s="30" t="n">
        <x:f>F275*L275</x:f>
        <x:v>0</x:v>
      </x:c>
      <x:c r="O275" s="30" t="n">
        <x:f>G275*L275</x:f>
        <x:v>4347.6331887544875</x:v>
      </x:c>
    </x:row>
    <x:row r="276" ht="21" customHeight="1">
      <x:c r="A276" s="28" t="n">
        <x:v>270</x:v>
      </x:c>
      <x:c r="B276" s="29" t="n">
        <x:v>53015</x:v>
      </x:c>
      <x:c r="C276" s="28" t="n">
        <x:f>B276-B275</x:f>
        <x:v>31</x:v>
      </x:c>
      <x:c r="D276" s="30" t="n">
        <x:f>H275</x:f>
        <x:v>3646037.89</x:v>
      </x:c>
      <x:c r="E276" s="30" t="n">
        <x:f>ROUND(D276*I276,2)</x:f>
        <x:v>23224.76</x:v>
      </x:c>
      <x:c r="F276" s="30" t="n">
        <x:f>0</x:f>
        <x:v>0</x:v>
      </x:c>
      <x:c r="G276" s="30" t="n">
        <x:f>ROUND(E276+F276,2)</x:f>
        <x:v>23224.76</x:v>
      </x:c>
      <x:c r="H276" s="30" t="n">
        <x:f>ROUND(D276-F276,2)</x:f>
        <x:v>3646037.89</x:v>
      </x:c>
      <x:c r="I276" s="33" t="n">
        <x:f>IF(AND(ISNUMBER('Параметры'!$C$7),'Параметры'!$C$7&gt;=0),'Параметры'!$C$7*C276/365,NA())</x:f>
        <x:v>0.00636986301369863</x:v>
      </x:c>
      <x:c r="J276" s="32" t="n">
        <x:f>J275/(1+I276)</x:f>
        <x:v>0.18601331726265657</x:v>
      </x:c>
      <x:c r="K276" s="33" t="n">
        <x:f>IF(AND(ISNUMBER('Параметры'!$C$8),'Параметры'!$C$8&gt;=0),'Параметры'!$C$8*C276/365,NA())</x:f>
        <x:v>0.00636986301369863</x:v>
      </x:c>
      <x:c r="L276" s="32" t="n">
        <x:f>L275/(1+K276)</x:f>
        <x:v>0.18601331726265657</x:v>
      </x:c>
      <x:c r="M276" s="30" t="n">
        <x:f>E276*L276</x:f>
        <x:v>4320.114650229056</x:v>
      </x:c>
      <x:c r="N276" s="30" t="n">
        <x:f>F276*L276</x:f>
        <x:v>0</x:v>
      </x:c>
      <x:c r="O276" s="30" t="n">
        <x:f>G276*L276</x:f>
        <x:v>4320.114650229056</x:v>
      </x:c>
    </x:row>
    <x:row r="277" ht="21" customHeight="1">
      <x:c r="A277" s="28" t="n">
        <x:v>271</x:v>
      </x:c>
      <x:c r="B277" s="29" t="n">
        <x:v>53043</x:v>
      </x:c>
      <x:c r="C277" s="28" t="n">
        <x:f>B277-B276</x:f>
        <x:v>28</x:v>
      </x:c>
      <x:c r="D277" s="30" t="n">
        <x:f>H276</x:f>
        <x:v>3646037.89</x:v>
      </x:c>
      <x:c r="E277" s="30" t="n">
        <x:f>ROUND(D277*I277,2)</x:f>
        <x:v>20977.2</x:v>
      </x:c>
      <x:c r="F277" s="30" t="n">
        <x:f>0</x:f>
        <x:v>0</x:v>
      </x:c>
      <x:c r="G277" s="30" t="n">
        <x:f>ROUND(E277+F277,2)</x:f>
        <x:v>20977.2</x:v>
      </x:c>
      <x:c r="H277" s="30" t="n">
        <x:f>ROUND(D277-F277,2)</x:f>
        <x:v>3646037.89</x:v>
      </x:c>
      <x:c r="I277" s="33" t="n">
        <x:f>IF(AND(ISNUMBER('Параметры'!$C$7),'Параметры'!$C$7&gt;=0),'Параметры'!$C$7*C277/365,NA())</x:f>
        <x:v>0.005753424657534247</x:v>
      </x:c>
      <x:c r="J277" s="32" t="n">
        <x:f>J276/(1+I277)</x:f>
        <x:v>0.18494922582639514</x:v>
      </x:c>
      <x:c r="K277" s="33" t="n">
        <x:f>IF(AND(ISNUMBER('Параметры'!$C$8),'Параметры'!$C$8&gt;=0),'Параметры'!$C$8*C277/365,NA())</x:f>
        <x:v>0.005753424657534247</x:v>
      </x:c>
      <x:c r="L277" s="32" t="n">
        <x:f>L276/(1+K277)</x:f>
        <x:v>0.18494922582639514</x:v>
      </x:c>
      <x:c r="M277" s="30" t="n">
        <x:f>E277*L277</x:f>
        <x:v>3879.7169000054564</x:v>
      </x:c>
      <x:c r="N277" s="30" t="n">
        <x:f>F277*L277</x:f>
        <x:v>0</x:v>
      </x:c>
      <x:c r="O277" s="30" t="n">
        <x:f>G277*L277</x:f>
        <x:v>3879.7169000054564</x:v>
      </x:c>
    </x:row>
    <x:row r="278" ht="21" customHeight="1">
      <x:c r="A278" s="28" t="n">
        <x:v>272</x:v>
      </x:c>
      <x:c r="B278" s="29" t="n">
        <x:v>53074</x:v>
      </x:c>
      <x:c r="C278" s="28" t="n">
        <x:f>B278-B277</x:f>
        <x:v>31</x:v>
      </x:c>
      <x:c r="D278" s="30" t="n">
        <x:f>H277</x:f>
        <x:v>3646037.89</x:v>
      </x:c>
      <x:c r="E278" s="30" t="n">
        <x:f>ROUND(D278*I278,2)</x:f>
        <x:v>23224.76</x:v>
      </x:c>
      <x:c r="F278" s="30" t="n">
        <x:f>0</x:f>
        <x:v>0</x:v>
      </x:c>
      <x:c r="G278" s="30" t="n">
        <x:f>ROUND(E278+F278,2)</x:f>
        <x:v>23224.76</x:v>
      </x:c>
      <x:c r="H278" s="30" t="n">
        <x:f>ROUND(D278-F278,2)</x:f>
        <x:v>3646037.89</x:v>
      </x:c>
      <x:c r="I278" s="33" t="n">
        <x:f>IF(AND(ISNUMBER('Параметры'!$C$7),'Параметры'!$C$7&gt;=0),'Параметры'!$C$7*C278/365,NA())</x:f>
        <x:v>0.00636986301369863</x:v>
      </x:c>
      <x:c r="J278" s="32" t="n">
        <x:f>J277/(1+I278)</x:f>
        <x:v>0.1837785814377846</x:v>
      </x:c>
      <x:c r="K278" s="33" t="n">
        <x:f>IF(AND(ISNUMBER('Параметры'!$C$8),'Параметры'!$C$8&gt;=0),'Параметры'!$C$8*C278/365,NA())</x:f>
        <x:v>0.00636986301369863</x:v>
      </x:c>
      <x:c r="L278" s="32" t="n">
        <x:f>L277/(1+K278)</x:f>
        <x:v>0.1837785814377846</x:v>
      </x:c>
      <x:c r="M278" s="30" t="n">
        <x:f>E278*L278</x:f>
        <x:v>4268.213447033002</x:v>
      </x:c>
      <x:c r="N278" s="30" t="n">
        <x:f>F278*L278</x:f>
        <x:v>0</x:v>
      </x:c>
      <x:c r="O278" s="30" t="n">
        <x:f>G278*L278</x:f>
        <x:v>4268.213447033002</x:v>
      </x:c>
    </x:row>
    <x:row r="279" ht="21" customHeight="1">
      <x:c r="A279" s="28" t="n">
        <x:v>273</x:v>
      </x:c>
      <x:c r="B279" s="29" t="n">
        <x:v>53104</x:v>
      </x:c>
      <x:c r="C279" s="28" t="n">
        <x:f>B279-B278</x:f>
        <x:v>30</x:v>
      </x:c>
      <x:c r="D279" s="30" t="n">
        <x:f>H278</x:f>
        <x:v>3646037.89</x:v>
      </x:c>
      <x:c r="E279" s="30" t="n">
        <x:f>ROUND(D279*I279,2)</x:f>
        <x:v>22475.58</x:v>
      </x:c>
      <x:c r="F279" s="30" t="n">
        <x:f>0</x:f>
        <x:v>0</x:v>
      </x:c>
      <x:c r="G279" s="30" t="n">
        <x:f>ROUND(E279+F279,2)</x:f>
        <x:v>22475.58</x:v>
      </x:c>
      <x:c r="H279" s="30" t="n">
        <x:f>ROUND(D279-F279,2)</x:f>
        <x:v>3646037.89</x:v>
      </x:c>
      <x:c r="I279" s="33" t="n">
        <x:f>IF(AND(ISNUMBER('Параметры'!$C$7),'Параметры'!$C$7&gt;=0),'Параметры'!$C$7*C279/365,NA())</x:f>
        <x:v>0.0061643835616438354</x:v>
      </x:c>
      <x:c r="J279" s="32" t="n">
        <x:f>J278/(1+I279)</x:f>
        <x:v>0.18265264050317598</x:v>
      </x:c>
      <x:c r="K279" s="33" t="n">
        <x:f>IF(AND(ISNUMBER('Параметры'!$C$8),'Параметры'!$C$8&gt;=0),'Параметры'!$C$8*C279/365,NA())</x:f>
        <x:v>0.0061643835616438354</x:v>
      </x:c>
      <x:c r="L279" s="32" t="n">
        <x:f>L278/(1+K279)</x:f>
        <x:v>0.18265264050317598</x:v>
      </x:c>
      <x:c r="M279" s="30" t="n">
        <x:f>E279*L279</x:f>
        <x:v>4105.224033840373</x:v>
      </x:c>
      <x:c r="N279" s="30" t="n">
        <x:f>F279*L279</x:f>
        <x:v>0</x:v>
      </x:c>
      <x:c r="O279" s="30" t="n">
        <x:f>G279*L279</x:f>
        <x:v>4105.224033840373</x:v>
      </x:c>
    </x:row>
    <x:row r="280" ht="21" customHeight="1">
      <x:c r="A280" s="28" t="n">
        <x:v>274</x:v>
      </x:c>
      <x:c r="B280" s="29" t="n">
        <x:v>53135</x:v>
      </x:c>
      <x:c r="C280" s="28" t="n">
        <x:f>B280-B279</x:f>
        <x:v>31</x:v>
      </x:c>
      <x:c r="D280" s="30" t="n">
        <x:f>H279</x:f>
        <x:v>3646037.89</x:v>
      </x:c>
      <x:c r="E280" s="30" t="n">
        <x:f>ROUND(D280*I280,2)</x:f>
        <x:v>23224.76</x:v>
      </x:c>
      <x:c r="F280" s="30" t="n">
        <x:f>0</x:f>
        <x:v>0</x:v>
      </x:c>
      <x:c r="G280" s="30" t="n">
        <x:f>ROUND(E280+F280,2)</x:f>
        <x:v>23224.76</x:v>
      </x:c>
      <x:c r="H280" s="30" t="n">
        <x:f>ROUND(D280-F280,2)</x:f>
        <x:v>3646037.89</x:v>
      </x:c>
      <x:c r="I280" s="33" t="n">
        <x:f>IF(AND(ISNUMBER('Параметры'!$C$7),'Параметры'!$C$7&gt;=0),'Параметры'!$C$7*C280/365,NA())</x:f>
        <x:v>0.00636986301369863</x:v>
      </x:c>
      <x:c r="J280" s="32" t="n">
        <x:f>J279/(1+I280)</x:f>
        <x:v>0.1814965324539828</x:v>
      </x:c>
      <x:c r="K280" s="33" t="n">
        <x:f>IF(AND(ISNUMBER('Параметры'!$C$8),'Параметры'!$C$8&gt;=0),'Параметры'!$C$8*C280/365,NA())</x:f>
        <x:v>0.00636986301369863</x:v>
      </x:c>
      <x:c r="L280" s="32" t="n">
        <x:f>L279/(1+K280)</x:f>
        <x:v>0.1814965324539828</x:v>
      </x:c>
      <x:c r="M280" s="30" t="n">
        <x:f>E280*L280</x:f>
        <x:v>4215.213407075961</x:v>
      </x:c>
      <x:c r="N280" s="30" t="n">
        <x:f>F280*L280</x:f>
        <x:v>0</x:v>
      </x:c>
      <x:c r="O280" s="30" t="n">
        <x:f>G280*L280</x:f>
        <x:v>4215.213407075961</x:v>
      </x:c>
    </x:row>
    <x:row r="281" ht="21" customHeight="1">
      <x:c r="A281" s="28" t="n">
        <x:v>275</x:v>
      </x:c>
      <x:c r="B281" s="29" t="n">
        <x:v>53165</x:v>
      </x:c>
      <x:c r="C281" s="28" t="n">
        <x:f>B281-B280</x:f>
        <x:v>30</x:v>
      </x:c>
      <x:c r="D281" s="30" t="n">
        <x:f>H280</x:f>
        <x:v>3646037.89</x:v>
      </x:c>
      <x:c r="E281" s="30" t="n">
        <x:f>ROUND(D281*I281,2)</x:f>
        <x:v>22475.58</x:v>
      </x:c>
      <x:c r="F281" s="30" t="n">
        <x:f>0</x:f>
        <x:v>0</x:v>
      </x:c>
      <x:c r="G281" s="30" t="n">
        <x:f>ROUND(E281+F281,2)</x:f>
        <x:v>22475.58</x:v>
      </x:c>
      <x:c r="H281" s="30" t="n">
        <x:f>ROUND(D281-F281,2)</x:f>
        <x:v>3646037.89</x:v>
      </x:c>
      <x:c r="I281" s="33" t="n">
        <x:f>IF(AND(ISNUMBER('Параметры'!$C$7),'Параметры'!$C$7&gt;=0),'Параметры'!$C$7*C281/365,NA())</x:f>
        <x:v>0.0061643835616438354</x:v>
      </x:c>
      <x:c r="J281" s="32" t="n">
        <x:f>J280/(1+I281)</x:f>
        <x:v>0.18038457275889375</x:v>
      </x:c>
      <x:c r="K281" s="33" t="n">
        <x:f>IF(AND(ISNUMBER('Параметры'!$C$8),'Параметры'!$C$8&gt;=0),'Параметры'!$C$8*C281/365,NA())</x:f>
        <x:v>0.0061643835616438354</x:v>
      </x:c>
      <x:c r="L281" s="32" t="n">
        <x:f>L280/(1+K281)</x:f>
        <x:v>0.18038457275889375</x:v>
      </x:c>
      <x:c r="M281" s="30" t="n">
        <x:f>E281*L281</x:f>
        <x:v>4054.2478958083375</x:v>
      </x:c>
      <x:c r="N281" s="30" t="n">
        <x:f>F281*L281</x:f>
        <x:v>0</x:v>
      </x:c>
      <x:c r="O281" s="30" t="n">
        <x:f>G281*L281</x:f>
        <x:v>4054.2478958083375</x:v>
      </x:c>
    </x:row>
    <x:row r="282" ht="21" customHeight="1">
      <x:c r="A282" s="28" t="n">
        <x:v>276</x:v>
      </x:c>
      <x:c r="B282" s="29" t="n">
        <x:v>53196</x:v>
      </x:c>
      <x:c r="C282" s="28" t="n">
        <x:f>B282-B281</x:f>
        <x:v>31</x:v>
      </x:c>
      <x:c r="D282" s="30" t="n">
        <x:f>H281</x:f>
        <x:v>3646037.89</x:v>
      </x:c>
      <x:c r="E282" s="30" t="n">
        <x:f>ROUND(D282*I282,2)</x:f>
        <x:v>23224.76</x:v>
      </x:c>
      <x:c r="F282" s="30" t="n">
        <x:f>0</x:f>
        <x:v>0</x:v>
      </x:c>
      <x:c r="G282" s="30" t="n">
        <x:f>ROUND(E282+F282,2)</x:f>
        <x:v>23224.76</x:v>
      </x:c>
      <x:c r="H282" s="30" t="n">
        <x:f>ROUND(D282-F282,2)</x:f>
        <x:v>3646037.89</x:v>
      </x:c>
      <x:c r="I282" s="33" t="n">
        <x:f>IF(AND(ISNUMBER('Параметры'!$C$7),'Параметры'!$C$7&gt;=0),'Параметры'!$C$7*C282/365,NA())</x:f>
        <x:v>0.00636986301369863</x:v>
      </x:c>
      <x:c r="J282" s="32" t="n">
        <x:f>J281/(1+I282)</x:f>
        <x:v>0.17924282054582788</x:v>
      </x:c>
      <x:c r="K282" s="33" t="n">
        <x:f>IF(AND(ISNUMBER('Параметры'!$C$8),'Параметры'!$C$8&gt;=0),'Параметры'!$C$8*C282/365,NA())</x:f>
        <x:v>0.00636986301369863</x:v>
      </x:c>
      <x:c r="L282" s="32" t="n">
        <x:f>L281/(1+K282)</x:f>
        <x:v>0.17924282054582788</x:v>
      </x:c>
      <x:c r="M282" s="30" t="n">
        <x:f>E282*L282</x:f>
        <x:v>4162.871488899921</x:v>
      </x:c>
      <x:c r="N282" s="30" t="n">
        <x:f>F282*L282</x:f>
        <x:v>0</x:v>
      </x:c>
      <x:c r="O282" s="30" t="n">
        <x:f>G282*L282</x:f>
        <x:v>4162.871488899921</x:v>
      </x:c>
    </x:row>
    <x:row r="283" ht="21" customHeight="1">
      <x:c r="A283" s="28" t="n">
        <x:v>277</x:v>
      </x:c>
      <x:c r="B283" s="29" t="n">
        <x:v>53227</x:v>
      </x:c>
      <x:c r="C283" s="28" t="n">
        <x:f>B283-B282</x:f>
        <x:v>31</x:v>
      </x:c>
      <x:c r="D283" s="30" t="n">
        <x:f>H282</x:f>
        <x:v>3646037.89</x:v>
      </x:c>
      <x:c r="E283" s="30" t="n">
        <x:f>ROUND(D283*I283,2)</x:f>
        <x:v>23224.76</x:v>
      </x:c>
      <x:c r="F283" s="30" t="n">
        <x:f>0</x:f>
        <x:v>0</x:v>
      </x:c>
      <x:c r="G283" s="30" t="n">
        <x:f>ROUND(E283+F283,2)</x:f>
        <x:v>23224.76</x:v>
      </x:c>
      <x:c r="H283" s="30" t="n">
        <x:f>ROUND(D283-F283,2)</x:f>
        <x:v>3646037.89</x:v>
      </x:c>
      <x:c r="I283" s="33" t="n">
        <x:f>IF(AND(ISNUMBER('Параметры'!$C$7),'Параметры'!$C$7&gt;=0),'Параметры'!$C$7*C283/365,NA())</x:f>
        <x:v>0.00636986301369863</x:v>
      </x:c>
      <x:c r="J283" s="32" t="n">
        <x:f>J282/(1+I283)</x:f>
        <x:v>0.1781082951044094</x:v>
      </x:c>
      <x:c r="K283" s="33" t="n">
        <x:f>IF(AND(ISNUMBER('Параметры'!$C$8),'Параметры'!$C$8&gt;=0),'Параметры'!$C$8*C283/365,NA())</x:f>
        <x:v>0.00636986301369863</x:v>
      </x:c>
      <x:c r="L283" s="32" t="n">
        <x:f>L282/(1+K283)</x:f>
        <x:v>0.1781082951044094</x:v>
      </x:c>
      <x:c r="M283" s="30" t="n">
        <x:f>E283*L283</x:f>
        <x:v>4136.522407809083</x:v>
      </x:c>
      <x:c r="N283" s="30" t="n">
        <x:f>F283*L283</x:f>
        <x:v>0</x:v>
      </x:c>
      <x:c r="O283" s="30" t="n">
        <x:f>G283*L283</x:f>
        <x:v>4136.522407809083</x:v>
      </x:c>
    </x:row>
    <x:row r="284" ht="21" customHeight="1">
      <x:c r="A284" s="28" t="n">
        <x:v>278</x:v>
      </x:c>
      <x:c r="B284" s="29" t="n">
        <x:v>53257</x:v>
      </x:c>
      <x:c r="C284" s="28" t="n">
        <x:f>B284-B283</x:f>
        <x:v>30</x:v>
      </x:c>
      <x:c r="D284" s="30" t="n">
        <x:f>H283</x:f>
        <x:v>3646037.89</x:v>
      </x:c>
      <x:c r="E284" s="30" t="n">
        <x:f>ROUND(D284*I284,2)</x:f>
        <x:v>22475.58</x:v>
      </x:c>
      <x:c r="F284" s="30" t="n">
        <x:f>0</x:f>
        <x:v>0</x:v>
      </x:c>
      <x:c r="G284" s="30" t="n">
        <x:f>ROUND(E284+F284,2)</x:f>
        <x:v>22475.58</x:v>
      </x:c>
      <x:c r="H284" s="30" t="n">
        <x:f>ROUND(D284-F284,2)</x:f>
        <x:v>3646037.89</x:v>
      </x:c>
      <x:c r="I284" s="33" t="n">
        <x:f>IF(AND(ISNUMBER('Параметры'!$C$7),'Параметры'!$C$7&gt;=0),'Параметры'!$C$7*C284/365,NA())</x:f>
        <x:v>0.0061643835616438354</x:v>
      </x:c>
      <x:c r="J284" s="32" t="n">
        <x:f>J283/(1+I284)</x:f>
        <x:v>0.17701709384100595</x:v>
      </x:c>
      <x:c r="K284" s="33" t="n">
        <x:f>IF(AND(ISNUMBER('Параметры'!$C$8),'Параметры'!$C$8&gt;=0),'Параметры'!$C$8*C284/365,NA())</x:f>
        <x:v>0.0061643835616438354</x:v>
      </x:c>
      <x:c r="L284" s="32" t="n">
        <x:f>L283/(1+K284)</x:f>
        <x:v>0.17701709384100595</x:v>
      </x:c>
      <x:c r="M284" s="30" t="n">
        <x:f>E284*L284</x:f>
        <x:v>3978.5618539910365</x:v>
      </x:c>
      <x:c r="N284" s="30" t="n">
        <x:f>F284*L284</x:f>
        <x:v>0</x:v>
      </x:c>
      <x:c r="O284" s="30" t="n">
        <x:f>G284*L284</x:f>
        <x:v>3978.5618539910365</x:v>
      </x:c>
    </x:row>
    <x:row r="285" ht="21" customHeight="1">
      <x:c r="A285" s="28" t="n">
        <x:v>279</x:v>
      </x:c>
      <x:c r="B285" s="29" t="n">
        <x:v>53288</x:v>
      </x:c>
      <x:c r="C285" s="28" t="n">
        <x:f>B285-B284</x:f>
        <x:v>31</x:v>
      </x:c>
      <x:c r="D285" s="30" t="n">
        <x:f>H284</x:f>
        <x:v>3646037.89</x:v>
      </x:c>
      <x:c r="E285" s="30" t="n">
        <x:f>ROUND(D285*I285,2)</x:f>
        <x:v>23224.76</x:v>
      </x:c>
      <x:c r="F285" s="30" t="n">
        <x:f>0</x:f>
        <x:v>0</x:v>
      </x:c>
      <x:c r="G285" s="30" t="n">
        <x:f>ROUND(E285+F285,2)</x:f>
        <x:v>23224.76</x:v>
      </x:c>
      <x:c r="H285" s="30" t="n">
        <x:f>ROUND(D285-F285,2)</x:f>
        <x:v>3646037.89</x:v>
      </x:c>
      <x:c r="I285" s="33" t="n">
        <x:f>IF(AND(ISNUMBER('Параметры'!$C$7),'Параметры'!$C$7&gt;=0),'Параметры'!$C$7*C285/365,NA())</x:f>
        <x:v>0.00636986301369863</x:v>
      </x:c>
      <x:c r="J285" s="32" t="n">
        <x:f>J284/(1+I285)</x:f>
        <x:v>0.17589665623621364</x:v>
      </x:c>
      <x:c r="K285" s="33" t="n">
        <x:f>IF(AND(ISNUMBER('Параметры'!$C$8),'Параметры'!$C$8&gt;=0),'Параметры'!$C$8*C285/365,NA())</x:f>
        <x:v>0.00636986301369863</x:v>
      </x:c>
      <x:c r="L285" s="32" t="n">
        <x:f>L284/(1+K285)</x:f>
        <x:v>0.17589665623621364</x:v>
      </x:c>
      <x:c r="M285" s="30" t="n">
        <x:f>E285*L285</x:f>
        <x:v>4085.157625888565</x:v>
      </x:c>
      <x:c r="N285" s="30" t="n">
        <x:f>F285*L285</x:f>
        <x:v>0</x:v>
      </x:c>
      <x:c r="O285" s="30" t="n">
        <x:f>G285*L285</x:f>
        <x:v>4085.157625888565</x:v>
      </x:c>
    </x:row>
    <x:row r="286" ht="21" customHeight="1">
      <x:c r="A286" s="28" t="n">
        <x:v>280</x:v>
      </x:c>
      <x:c r="B286" s="29" t="n">
        <x:v>53318</x:v>
      </x:c>
      <x:c r="C286" s="28" t="n">
        <x:f>B286-B285</x:f>
        <x:v>30</x:v>
      </x:c>
      <x:c r="D286" s="30" t="n">
        <x:f>H285</x:f>
        <x:v>3646037.89</x:v>
      </x:c>
      <x:c r="E286" s="30" t="n">
        <x:f>ROUND(D286*I286,2)</x:f>
        <x:v>22475.58</x:v>
      </x:c>
      <x:c r="F286" s="30" t="n">
        <x:f>0</x:f>
        <x:v>0</x:v>
      </x:c>
      <x:c r="G286" s="30" t="n">
        <x:f>ROUND(E286+F286,2)</x:f>
        <x:v>22475.58</x:v>
      </x:c>
      <x:c r="H286" s="30" t="n">
        <x:f>ROUND(D286-F286,2)</x:f>
        <x:v>3646037.89</x:v>
      </x:c>
      <x:c r="I286" s="33" t="n">
        <x:f>IF(AND(ISNUMBER('Параметры'!$C$7),'Параметры'!$C$7&gt;=0),'Параметры'!$C$7*C286/365,NA())</x:f>
        <x:v>0.0061643835616438354</x:v>
      </x:c>
      <x:c r="J286" s="32" t="n">
        <x:f>J285/(1+I286)</x:f>
        <x:v>0.17481900483653637</x:v>
      </x:c>
      <x:c r="K286" s="33" t="n">
        <x:f>IF(AND(ISNUMBER('Параметры'!$C$8),'Параметры'!$C$8&gt;=0),'Параметры'!$C$8*C286/365,NA())</x:f>
        <x:v>0.0061643835616438354</x:v>
      </x:c>
      <x:c r="L286" s="32" t="n">
        <x:f>L285/(1+K286)</x:f>
        <x:v>0.17481900483653637</x:v>
      </x:c>
      <x:c r="M286" s="30" t="n">
        <x:f>E286*L286</x:f>
        <x:v>3929.1585287239604</x:v>
      </x:c>
      <x:c r="N286" s="30" t="n">
        <x:f>F286*L286</x:f>
        <x:v>0</x:v>
      </x:c>
      <x:c r="O286" s="30" t="n">
        <x:f>G286*L286</x:f>
        <x:v>3929.1585287239604</x:v>
      </x:c>
    </x:row>
    <x:row r="287" ht="21" customHeight="1">
      <x:c r="A287" s="28" t="n">
        <x:v>281</x:v>
      </x:c>
      <x:c r="B287" s="29" t="n">
        <x:v>53349</x:v>
      </x:c>
      <x:c r="C287" s="28" t="n">
        <x:f>B287-B286</x:f>
        <x:v>31</x:v>
      </x:c>
      <x:c r="D287" s="30" t="n">
        <x:f>H286</x:f>
        <x:v>3646037.89</x:v>
      </x:c>
      <x:c r="E287" s="30" t="n">
        <x:f>ROUND(D287*I287,2)</x:f>
        <x:v>23224.76</x:v>
      </x:c>
      <x:c r="F287" s="30" t="n">
        <x:f>0</x:f>
        <x:v>0</x:v>
      </x:c>
      <x:c r="G287" s="30" t="n">
        <x:f>ROUND(E287+F287,2)</x:f>
        <x:v>23224.76</x:v>
      </x:c>
      <x:c r="H287" s="30" t="n">
        <x:f>ROUND(D287-F287,2)</x:f>
        <x:v>3646037.89</x:v>
      </x:c>
      <x:c r="I287" s="33" t="n">
        <x:f>IF(AND(ISNUMBER('Параметры'!$C$7),'Параметры'!$C$7&gt;=0),'Параметры'!$C$7*C287/365,NA())</x:f>
        <x:v>0.00636986301369863</x:v>
      </x:c>
      <x:c r="J287" s="32" t="n">
        <x:f>J286/(1+I287)</x:f>
        <x:v>0.17371248013431098</x:v>
      </x:c>
      <x:c r="K287" s="33" t="n">
        <x:f>IF(AND(ISNUMBER('Параметры'!$C$8),'Параметры'!$C$8&gt;=0),'Параметры'!$C$8*C287/365,NA())</x:f>
        <x:v>0.00636986301369863</x:v>
      </x:c>
      <x:c r="L287" s="32" t="n">
        <x:f>L286/(1+K287)</x:f>
        <x:v>0.17371248013431098</x:v>
      </x:c>
      <x:c r="M287" s="30" t="n">
        <x:f>E287*L287</x:f>
        <x:v>4034.43066012414</x:v>
      </x:c>
      <x:c r="N287" s="30" t="n">
        <x:f>F287*L287</x:f>
        <x:v>0</x:v>
      </x:c>
      <x:c r="O287" s="30" t="n">
        <x:f>G287*L287</x:f>
        <x:v>4034.43066012414</x:v>
      </x:c>
    </x:row>
    <x:row r="288" ht="21" customHeight="1">
      <x:c r="A288" s="28" t="n">
        <x:v>282</x:v>
      </x:c>
      <x:c r="B288" s="29" t="n">
        <x:v>53380</x:v>
      </x:c>
      <x:c r="C288" s="28" t="n">
        <x:f>B288-B287</x:f>
        <x:v>31</x:v>
      </x:c>
      <x:c r="D288" s="30" t="n">
        <x:f>H287</x:f>
        <x:v>3646037.89</x:v>
      </x:c>
      <x:c r="E288" s="30" t="n">
        <x:f>ROUND(D288*I288,2)</x:f>
        <x:v>23224.76</x:v>
      </x:c>
      <x:c r="F288" s="30" t="n">
        <x:f>0</x:f>
        <x:v>0</x:v>
      </x:c>
      <x:c r="G288" s="30" t="n">
        <x:f>ROUND(E288+F288,2)</x:f>
        <x:v>23224.76</x:v>
      </x:c>
      <x:c r="H288" s="30" t="n">
        <x:f>ROUND(D288-F288,2)</x:f>
        <x:v>3646037.89</x:v>
      </x:c>
      <x:c r="I288" s="33" t="n">
        <x:f>IF(AND(ISNUMBER('Параметры'!$C$7),'Параметры'!$C$7&gt;=0),'Параметры'!$C$7*C288/365,NA())</x:f>
        <x:v>0.00636986301369863</x:v>
      </x:c>
      <x:c r="J288" s="32" t="n">
        <x:f>J287/(1+I288)</x:f>
        <x:v>0.1726129592296291</x:v>
      </x:c>
      <x:c r="K288" s="33" t="n">
        <x:f>IF(AND(ISNUMBER('Параметры'!$C$8),'Параметры'!$C$8&gt;=0),'Параметры'!$C$8*C288/365,NA())</x:f>
        <x:v>0.00636986301369863</x:v>
      </x:c>
      <x:c r="L288" s="32" t="n">
        <x:f>L287/(1+K288)</x:f>
        <x:v>0.1726129592296291</x:v>
      </x:c>
      <x:c r="M288" s="30" t="n">
        <x:f>E288*L288</x:f>
        <x:v>4008.8945509979208</x:v>
      </x:c>
      <x:c r="N288" s="30" t="n">
        <x:f>F288*L288</x:f>
        <x:v>0</x:v>
      </x:c>
      <x:c r="O288" s="30" t="n">
        <x:f>G288*L288</x:f>
        <x:v>4008.8945509979208</x:v>
      </x:c>
    </x:row>
    <x:row r="289" ht="21" customHeight="1">
      <x:c r="A289" s="28" t="n">
        <x:v>283</x:v>
      </x:c>
      <x:c r="B289" s="29" t="n">
        <x:v>53408</x:v>
      </x:c>
      <x:c r="C289" s="28" t="n">
        <x:f>B289-B288</x:f>
        <x:v>28</x:v>
      </x:c>
      <x:c r="D289" s="30" t="n">
        <x:f>H288</x:f>
        <x:v>3646037.89</x:v>
      </x:c>
      <x:c r="E289" s="30" t="n">
        <x:f>ROUND(D289*I289,2)</x:f>
        <x:v>20977.2</x:v>
      </x:c>
      <x:c r="F289" s="30" t="n">
        <x:f>0</x:f>
        <x:v>0</x:v>
      </x:c>
      <x:c r="G289" s="30" t="n">
        <x:f>ROUND(E289+F289,2)</x:f>
        <x:v>20977.2</x:v>
      </x:c>
      <x:c r="H289" s="30" t="n">
        <x:f>ROUND(D289-F289,2)</x:f>
        <x:v>3646037.89</x:v>
      </x:c>
      <x:c r="I289" s="33" t="n">
        <x:f>IF(AND(ISNUMBER('Параметры'!$C$7),'Параметры'!$C$7&gt;=0),'Параметры'!$C$7*C289/365,NA())</x:f>
        <x:v>0.005753424657534247</x:v>
      </x:c>
      <x:c r="J289" s="32" t="n">
        <x:f>J288/(1+I289)</x:f>
        <x:v>0.17162552470393524</x:v>
      </x:c>
      <x:c r="K289" s="33" t="n">
        <x:f>IF(AND(ISNUMBER('Параметры'!$C$8),'Параметры'!$C$8&gt;=0),'Параметры'!$C$8*C289/365,NA())</x:f>
        <x:v>0.005753424657534247</x:v>
      </x:c>
      <x:c r="L289" s="32" t="n">
        <x:f>L288/(1+K289)</x:f>
        <x:v>0.17162552470393524</x:v>
      </x:c>
      <x:c r="M289" s="30" t="n">
        <x:f>E289*L289</x:f>
        <x:v>3600.2229568193907</x:v>
      </x:c>
      <x:c r="N289" s="30" t="n">
        <x:f>F289*L289</x:f>
        <x:v>0</x:v>
      </x:c>
      <x:c r="O289" s="30" t="n">
        <x:f>G289*L289</x:f>
        <x:v>3600.2229568193907</x:v>
      </x:c>
    </x:row>
    <x:row r="290" ht="21" customHeight="1">
      <x:c r="A290" s="28" t="n">
        <x:v>284</x:v>
      </x:c>
      <x:c r="B290" s="29" t="n">
        <x:v>53439</x:v>
      </x:c>
      <x:c r="C290" s="28" t="n">
        <x:f>B290-B289</x:f>
        <x:v>31</x:v>
      </x:c>
      <x:c r="D290" s="30" t="n">
        <x:f>H289</x:f>
        <x:v>3646037.89</x:v>
      </x:c>
      <x:c r="E290" s="30" t="n">
        <x:f>ROUND(D290*I290,2)</x:f>
        <x:v>23224.76</x:v>
      </x:c>
      <x:c r="F290" s="30" t="n">
        <x:f>0</x:f>
        <x:v>0</x:v>
      </x:c>
      <x:c r="G290" s="30" t="n">
        <x:f>ROUND(E290+F290,2)</x:f>
        <x:v>23224.76</x:v>
      </x:c>
      <x:c r="H290" s="30" t="n">
        <x:f>ROUND(D290-F290,2)</x:f>
        <x:v>3646037.89</x:v>
      </x:c>
      <x:c r="I290" s="33" t="n">
        <x:f>IF(AND(ISNUMBER('Параметры'!$C$7),'Параметры'!$C$7&gt;=0),'Параметры'!$C$7*C290/365,NA())</x:f>
        <x:v>0.00636986301369863</x:v>
      </x:c>
      <x:c r="J290" s="32" t="n">
        <x:f>J289/(1+I290)</x:f>
        <x:v>0.17053921327689747</x:v>
      </x:c>
      <x:c r="K290" s="33" t="n">
        <x:f>IF(AND(ISNUMBER('Параметры'!$C$8),'Параметры'!$C$8&gt;=0),'Параметры'!$C$8*C290/365,NA())</x:f>
        <x:v>0.00636986301369863</x:v>
      </x:c>
      <x:c r="L290" s="32" t="n">
        <x:f>L289/(1+K290)</x:f>
        <x:v>0.17053921327689747</x:v>
      </x:c>
      <x:c r="M290" s="30" t="n">
        <x:f>E290*L290</x:f>
        <x:v>3960.732298944757</x:v>
      </x:c>
      <x:c r="N290" s="30" t="n">
        <x:f>F290*L290</x:f>
        <x:v>0</x:v>
      </x:c>
      <x:c r="O290" s="30" t="n">
        <x:f>G290*L290</x:f>
        <x:v>3960.732298944757</x:v>
      </x:c>
    </x:row>
    <x:row r="291" ht="21" customHeight="1">
      <x:c r="A291" s="28" t="n">
        <x:v>285</x:v>
      </x:c>
      <x:c r="B291" s="29" t="n">
        <x:v>53469</x:v>
      </x:c>
      <x:c r="C291" s="28" t="n">
        <x:f>B291-B290</x:f>
        <x:v>30</x:v>
      </x:c>
      <x:c r="D291" s="30" t="n">
        <x:f>H290</x:f>
        <x:v>3646037.89</x:v>
      </x:c>
      <x:c r="E291" s="30" t="n">
        <x:f>ROUND(D291*I291,2)</x:f>
        <x:v>22475.58</x:v>
      </x:c>
      <x:c r="F291" s="30" t="n">
        <x:f>0</x:f>
        <x:v>0</x:v>
      </x:c>
      <x:c r="G291" s="30" t="n">
        <x:f>ROUND(E291+F291,2)</x:f>
        <x:v>22475.58</x:v>
      </x:c>
      <x:c r="H291" s="30" t="n">
        <x:f>ROUND(D291-F291,2)</x:f>
        <x:v>3646037.89</x:v>
      </x:c>
      <x:c r="I291" s="33" t="n">
        <x:f>IF(AND(ISNUMBER('Параметры'!$C$7),'Параметры'!$C$7&gt;=0),'Параметры'!$C$7*C291/365,NA())</x:f>
        <x:v>0.0061643835616438354</x:v>
      </x:c>
      <x:c r="J291" s="32" t="n">
        <x:f>J290/(1+I291)</x:f>
        <x:v>0.16949438487697094</x:v>
      </x:c>
      <x:c r="K291" s="33" t="n">
        <x:f>IF(AND(ISNUMBER('Параметры'!$C$8),'Параметры'!$C$8&gt;=0),'Параметры'!$C$8*C291/365,NA())</x:f>
        <x:v>0.0061643835616438354</x:v>
      </x:c>
      <x:c r="L291" s="32" t="n">
        <x:f>L290/(1+K291)</x:f>
        <x:v>0.16949438487697094</x:v>
      </x:c>
      <x:c r="M291" s="30" t="n">
        <x:f>E291*L291</x:f>
        <x:v>3809.4846068531506</x:v>
      </x:c>
      <x:c r="N291" s="30" t="n">
        <x:f>F291*L291</x:f>
        <x:v>0</x:v>
      </x:c>
      <x:c r="O291" s="30" t="n">
        <x:f>G291*L291</x:f>
        <x:v>3809.4846068531506</x:v>
      </x:c>
    </x:row>
    <x:row r="292" ht="21" customHeight="1">
      <x:c r="A292" s="28" t="n">
        <x:v>286</x:v>
      </x:c>
      <x:c r="B292" s="29" t="n">
        <x:v>53500</x:v>
      </x:c>
      <x:c r="C292" s="28" t="n">
        <x:f>B292-B291</x:f>
        <x:v>31</x:v>
      </x:c>
      <x:c r="D292" s="30" t="n">
        <x:f>H291</x:f>
        <x:v>3646037.89</x:v>
      </x:c>
      <x:c r="E292" s="30" t="n">
        <x:f>ROUND(D292*I292,2)</x:f>
        <x:v>23224.76</x:v>
      </x:c>
      <x:c r="F292" s="30" t="n">
        <x:f>0</x:f>
        <x:v>0</x:v>
      </x:c>
      <x:c r="G292" s="30" t="n">
        <x:f>ROUND(E292+F292,2)</x:f>
        <x:v>23224.76</x:v>
      </x:c>
      <x:c r="H292" s="30" t="n">
        <x:f>ROUND(D292-F292,2)</x:f>
        <x:v>3646037.89</x:v>
      </x:c>
      <x:c r="I292" s="33" t="n">
        <x:f>IF(AND(ISNUMBER('Параметры'!$C$7),'Параметры'!$C$7&gt;=0),'Параметры'!$C$7*C292/365,NA())</x:f>
        <x:v>0.00636986301369863</x:v>
      </x:c>
      <x:c r="J292" s="32" t="n">
        <x:f>J291/(1+I292)</x:f>
        <x:v>0.1684215625946897</x:v>
      </x:c>
      <x:c r="K292" s="33" t="n">
        <x:f>IF(AND(ISNUMBER('Параметры'!$C$8),'Параметры'!$C$8&gt;=0),'Параметры'!$C$8*C292/365,NA())</x:f>
        <x:v>0.00636986301369863</x:v>
      </x:c>
      <x:c r="L292" s="32" t="n">
        <x:f>L291/(1+K292)</x:f>
        <x:v>0.1684215625946897</x:v>
      </x:c>
      <x:c r="M292" s="30" t="n">
        <x:f>E292*L292</x:f>
        <x:v>3911.5503700866457</x:v>
      </x:c>
      <x:c r="N292" s="30" t="n">
        <x:f>F292*L292</x:f>
        <x:v>0</x:v>
      </x:c>
      <x:c r="O292" s="30" t="n">
        <x:f>G292*L292</x:f>
        <x:v>3911.5503700866457</x:v>
      </x:c>
    </x:row>
    <x:row r="293" ht="21" customHeight="1">
      <x:c r="A293" s="28" t="n">
        <x:v>287</x:v>
      </x:c>
      <x:c r="B293" s="29" t="n">
        <x:v>53530</x:v>
      </x:c>
      <x:c r="C293" s="28" t="n">
        <x:f>B293-B292</x:f>
        <x:v>30</x:v>
      </x:c>
      <x:c r="D293" s="30" t="n">
        <x:f>H292</x:f>
        <x:v>3646037.89</x:v>
      </x:c>
      <x:c r="E293" s="30" t="n">
        <x:f>ROUND(D293*I293,2)</x:f>
        <x:v>22475.58</x:v>
      </x:c>
      <x:c r="F293" s="30" t="n">
        <x:f>0</x:f>
        <x:v>0</x:v>
      </x:c>
      <x:c r="G293" s="30" t="n">
        <x:f>ROUND(E293+F293,2)</x:f>
        <x:v>22475.58</x:v>
      </x:c>
      <x:c r="H293" s="30" t="n">
        <x:f>ROUND(D293-F293,2)</x:f>
        <x:v>3646037.89</x:v>
      </x:c>
      <x:c r="I293" s="33" t="n">
        <x:f>IF(AND(ISNUMBER('Параметры'!$C$7),'Параметры'!$C$7&gt;=0),'Параметры'!$C$7*C293/365,NA())</x:f>
        <x:v>0.0061643835616438354</x:v>
      </x:c>
      <x:c r="J293" s="32" t="n">
        <x:f>J292/(1+I293)</x:f>
        <x:v>0.16738970822889515</x:v>
      </x:c>
      <x:c r="K293" s="33" t="n">
        <x:f>IF(AND(ISNUMBER('Параметры'!$C$8),'Параметры'!$C$8&gt;=0),'Параметры'!$C$8*C293/365,NA())</x:f>
        <x:v>0.0061643835616438354</x:v>
      </x:c>
      <x:c r="L293" s="32" t="n">
        <x:f>L292/(1+K293)</x:f>
        <x:v>0.16738970822889515</x:v>
      </x:c>
      <x:c r="M293" s="30" t="n">
        <x:f>E293*L293</x:f>
        <x:v>3762.1807784751913</x:v>
      </x:c>
      <x:c r="N293" s="30" t="n">
        <x:f>F293*L293</x:f>
        <x:v>0</x:v>
      </x:c>
      <x:c r="O293" s="30" t="n">
        <x:f>G293*L293</x:f>
        <x:v>3762.1807784751913</x:v>
      </x:c>
    </x:row>
    <x:row r="294" ht="21" customHeight="1">
      <x:c r="A294" s="28" t="n">
        <x:v>288</x:v>
      </x:c>
      <x:c r="B294" s="29" t="n">
        <x:v>53561</x:v>
      </x:c>
      <x:c r="C294" s="28" t="n">
        <x:f>B294-B293</x:f>
        <x:v>31</x:v>
      </x:c>
      <x:c r="D294" s="30" t="n">
        <x:f>H293</x:f>
        <x:v>3646037.89</x:v>
      </x:c>
      <x:c r="E294" s="30" t="n">
        <x:f>ROUND(D294*I294,2)</x:f>
        <x:v>23224.76</x:v>
      </x:c>
      <x:c r="F294" s="30" t="n">
        <x:f>0</x:f>
        <x:v>0</x:v>
      </x:c>
      <x:c r="G294" s="30" t="n">
        <x:f>ROUND(E294+F294,2)</x:f>
        <x:v>23224.76</x:v>
      </x:c>
      <x:c r="H294" s="30" t="n">
        <x:f>ROUND(D294-F294,2)</x:f>
        <x:v>3646037.89</x:v>
      </x:c>
      <x:c r="I294" s="33" t="n">
        <x:f>IF(AND(ISNUMBER('Параметры'!$C$7),'Параметры'!$C$7&gt;=0),'Параметры'!$C$7*C294/365,NA())</x:f>
        <x:v>0.00636986301369863</x:v>
      </x:c>
      <x:c r="J294" s="32" t="n">
        <x:f>J293/(1+I294)</x:f>
        <x:v>0.16633020759149728</x:v>
      </x:c>
      <x:c r="K294" s="33" t="n">
        <x:f>IF(AND(ISNUMBER('Параметры'!$C$8),'Параметры'!$C$8&gt;=0),'Параметры'!$C$8*C294/365,NA())</x:f>
        <x:v>0.00636986301369863</x:v>
      </x:c>
      <x:c r="L294" s="32" t="n">
        <x:f>L293/(1+K294)</x:f>
        <x:v>0.16633020759149728</x:v>
      </x:c>
      <x:c r="M294" s="30" t="n">
        <x:f>E294*L294</x:f>
        <x:v>3862.979152062702</x:v>
      </x:c>
      <x:c r="N294" s="30" t="n">
        <x:f>F294*L294</x:f>
        <x:v>0</x:v>
      </x:c>
      <x:c r="O294" s="30" t="n">
        <x:f>G294*L294</x:f>
        <x:v>3862.979152062702</x:v>
      </x:c>
    </x:row>
    <x:row r="295" ht="21" customHeight="1">
      <x:c r="A295" s="28" t="n">
        <x:v>289</x:v>
      </x:c>
      <x:c r="B295" s="29" t="n">
        <x:v>53592</x:v>
      </x:c>
      <x:c r="C295" s="28" t="n">
        <x:f>B295-B294</x:f>
        <x:v>31</x:v>
      </x:c>
      <x:c r="D295" s="30" t="n">
        <x:f>H294</x:f>
        <x:v>3646037.89</x:v>
      </x:c>
      <x:c r="E295" s="30" t="n">
        <x:f>ROUND(D295*I295,2)</x:f>
        <x:v>23224.76</x:v>
      </x:c>
      <x:c r="F295" s="30" t="n">
        <x:f>0</x:f>
        <x:v>0</x:v>
      </x:c>
      <x:c r="G295" s="30" t="n">
        <x:f>ROUND(E295+F295,2)</x:f>
        <x:v>23224.76</x:v>
      </x:c>
      <x:c r="H295" s="30" t="n">
        <x:f>ROUND(D295-F295,2)</x:f>
        <x:v>3646037.89</x:v>
      </x:c>
      <x:c r="I295" s="33" t="n">
        <x:f>IF(AND(ISNUMBER('Параметры'!$C$7),'Параметры'!$C$7&gt;=0),'Параметры'!$C$7*C295/365,NA())</x:f>
        <x:v>0.00636986301369863</x:v>
      </x:c>
      <x:c r="J295" s="32" t="n">
        <x:f>J294/(1+I295)</x:f>
        <x:v>0.1652774131107235</x:v>
      </x:c>
      <x:c r="K295" s="33" t="n">
        <x:f>IF(AND(ISNUMBER('Параметры'!$C$8),'Параметры'!$C$8&gt;=0),'Параметры'!$C$8*C295/365,NA())</x:f>
        <x:v>0.00636986301369863</x:v>
      </x:c>
      <x:c r="L295" s="32" t="n">
        <x:f>L294/(1+K295)</x:f>
        <x:v>0.1652774131107235</x:v>
      </x:c>
      <x:c r="M295" s="30" t="n">
        <x:f>E295*L295</x:f>
        <x:v>3838.5282529174065</x:v>
      </x:c>
      <x:c r="N295" s="30" t="n">
        <x:f>F295*L295</x:f>
        <x:v>0</x:v>
      </x:c>
      <x:c r="O295" s="30" t="n">
        <x:f>G295*L295</x:f>
        <x:v>3838.5282529174065</x:v>
      </x:c>
    </x:row>
    <x:row r="296" ht="21" customHeight="1">
      <x:c r="A296" s="28" t="n">
        <x:v>290</x:v>
      </x:c>
      <x:c r="B296" s="29" t="n">
        <x:v>53622</x:v>
      </x:c>
      <x:c r="C296" s="28" t="n">
        <x:f>B296-B295</x:f>
        <x:v>30</x:v>
      </x:c>
      <x:c r="D296" s="30" t="n">
        <x:f>H295</x:f>
        <x:v>3646037.89</x:v>
      </x:c>
      <x:c r="E296" s="30" t="n">
        <x:f>ROUND(D296*I296,2)</x:f>
        <x:v>22475.58</x:v>
      </x:c>
      <x:c r="F296" s="30" t="n">
        <x:f>0</x:f>
        <x:v>0</x:v>
      </x:c>
      <x:c r="G296" s="30" t="n">
        <x:f>ROUND(E296+F296,2)</x:f>
        <x:v>22475.58</x:v>
      </x:c>
      <x:c r="H296" s="30" t="n">
        <x:f>ROUND(D296-F296,2)</x:f>
        <x:v>3646037.89</x:v>
      </x:c>
      <x:c r="I296" s="33" t="n">
        <x:f>IF(AND(ISNUMBER('Параметры'!$C$7),'Параметры'!$C$7&gt;=0),'Параметры'!$C$7*C296/365,NA())</x:f>
        <x:v>0.0061643835616438354</x:v>
      </x:c>
      <x:c r="J296" s="32" t="n">
        <x:f>J295/(1+I296)</x:f>
        <x:v>0.1642648217438096</x:v>
      </x:c>
      <x:c r="K296" s="33" t="n">
        <x:f>IF(AND(ISNUMBER('Параметры'!$C$8),'Параметры'!$C$8&gt;=0),'Параметры'!$C$8*C296/365,NA())</x:f>
        <x:v>0.0061643835616438354</x:v>
      </x:c>
      <x:c r="L296" s="32" t="n">
        <x:f>L295/(1+K296)</x:f>
        <x:v>0.1642648217438096</x:v>
      </x:c>
      <x:c r="M296" s="30" t="n">
        <x:f>E296*L296</x:f>
        <x:v>3691.9471422887327</x:v>
      </x:c>
      <x:c r="N296" s="30" t="n">
        <x:f>F296*L296</x:f>
        <x:v>0</x:v>
      </x:c>
      <x:c r="O296" s="30" t="n">
        <x:f>G296*L296</x:f>
        <x:v>3691.9471422887327</x:v>
      </x:c>
    </x:row>
    <x:row r="297" ht="21" customHeight="1">
      <x:c r="A297" s="28" t="n">
        <x:v>291</x:v>
      </x:c>
      <x:c r="B297" s="29" t="n">
        <x:v>53653</x:v>
      </x:c>
      <x:c r="C297" s="28" t="n">
        <x:f>B297-B296</x:f>
        <x:v>31</x:v>
      </x:c>
      <x:c r="D297" s="30" t="n">
        <x:f>H296</x:f>
        <x:v>3646037.89</x:v>
      </x:c>
      <x:c r="E297" s="30" t="n">
        <x:f>ROUND(D297*I297,2)</x:f>
        <x:v>23224.76</x:v>
      </x:c>
      <x:c r="F297" s="30" t="n">
        <x:f>0</x:f>
        <x:v>0</x:v>
      </x:c>
      <x:c r="G297" s="30" t="n">
        <x:f>ROUND(E297+F297,2)</x:f>
        <x:v>23224.76</x:v>
      </x:c>
      <x:c r="H297" s="30" t="n">
        <x:f>ROUND(D297-F297,2)</x:f>
        <x:v>3646037.89</x:v>
      </x:c>
      <x:c r="I297" s="33" t="n">
        <x:f>IF(AND(ISNUMBER('Параметры'!$C$7),'Параметры'!$C$7&gt;=0),'Параметры'!$C$7*C297/365,NA())</x:f>
        <x:v>0.00636986301369863</x:v>
      </x:c>
      <x:c r="J297" s="32" t="n">
        <x:f>J296/(1+I297)</x:f>
        <x:v>0.16322510021504255</x:v>
      </x:c>
      <x:c r="K297" s="33" t="n">
        <x:f>IF(AND(ISNUMBER('Параметры'!$C$8),'Параметры'!$C$8&gt;=0),'Параметры'!$C$8*C297/365,NA())</x:f>
        <x:v>0.00636986301369863</x:v>
      </x:c>
      <x:c r="L297" s="32" t="n">
        <x:f>L296/(1+K297)</x:f>
        <x:v>0.16322510021504255</x:v>
      </x:c>
      <x:c r="M297" s="30" t="n">
        <x:f>E297*L297</x:f>
        <x:v>3790.8637784703114</x:v>
      </x:c>
      <x:c r="N297" s="30" t="n">
        <x:f>F297*L297</x:f>
        <x:v>0</x:v>
      </x:c>
      <x:c r="O297" s="30" t="n">
        <x:f>G297*L297</x:f>
        <x:v>3790.8637784703114</x:v>
      </x:c>
    </x:row>
    <x:row r="298" ht="21" customHeight="1">
      <x:c r="A298" s="28" t="n">
        <x:v>292</x:v>
      </x:c>
      <x:c r="B298" s="29" t="n">
        <x:v>53683</x:v>
      </x:c>
      <x:c r="C298" s="28" t="n">
        <x:f>B298-B297</x:f>
        <x:v>30</x:v>
      </x:c>
      <x:c r="D298" s="30" t="n">
        <x:f>H297</x:f>
        <x:v>3646037.89</x:v>
      </x:c>
      <x:c r="E298" s="30" t="n">
        <x:f>ROUND(D298*I298,2)</x:f>
        <x:v>22475.58</x:v>
      </x:c>
      <x:c r="F298" s="30" t="n">
        <x:f>0</x:f>
        <x:v>0</x:v>
      </x:c>
      <x:c r="G298" s="30" t="n">
        <x:f>ROUND(E298+F298,2)</x:f>
        <x:v>22475.58</x:v>
      </x:c>
      <x:c r="H298" s="30" t="n">
        <x:f>ROUND(D298-F298,2)</x:f>
        <x:v>3646037.89</x:v>
      </x:c>
      <x:c r="I298" s="33" t="n">
        <x:f>IF(AND(ISNUMBER('Параметры'!$C$7),'Параметры'!$C$7&gt;=0),'Параметры'!$C$7*C298/365,NA())</x:f>
        <x:v>0.0061643835616438354</x:v>
      </x:c>
      <x:c r="J298" s="32" t="n">
        <x:f>J297/(1+I298)</x:f>
        <x:v>0.16222508258268353</x:v>
      </x:c>
      <x:c r="K298" s="33" t="n">
        <x:f>IF(AND(ISNUMBER('Параметры'!$C$8),'Параметры'!$C$8&gt;=0),'Параметры'!$C$8*C298/365,NA())</x:f>
        <x:v>0.0061643835616438354</x:v>
      </x:c>
      <x:c r="L298" s="32" t="n">
        <x:f>L297/(1+K298)</x:f>
        <x:v>0.16222508258268353</x:v>
      </x:c>
      <x:c r="M298" s="30" t="n">
        <x:f>E298*L298</x:f>
        <x:v>3646.102821593711</x:v>
      </x:c>
      <x:c r="N298" s="30" t="n">
        <x:f>F298*L298</x:f>
        <x:v>0</x:v>
      </x:c>
      <x:c r="O298" s="30" t="n">
        <x:f>G298*L298</x:f>
        <x:v>3646.102821593711</x:v>
      </x:c>
    </x:row>
    <x:row r="299" ht="21" customHeight="1">
      <x:c r="A299" s="28" t="n">
        <x:v>293</x:v>
      </x:c>
      <x:c r="B299" s="29" t="n">
        <x:v>53714</x:v>
      </x:c>
      <x:c r="C299" s="28" t="n">
        <x:f>B299-B298</x:f>
        <x:v>31</x:v>
      </x:c>
      <x:c r="D299" s="30" t="n">
        <x:f>H298</x:f>
        <x:v>3646037.89</x:v>
      </x:c>
      <x:c r="E299" s="30" t="n">
        <x:f>ROUND(D299*I299,2)</x:f>
        <x:v>23224.76</x:v>
      </x:c>
      <x:c r="F299" s="30" t="n">
        <x:f>0</x:f>
        <x:v>0</x:v>
      </x:c>
      <x:c r="G299" s="30" t="n">
        <x:f>ROUND(E299+F299,2)</x:f>
        <x:v>23224.76</x:v>
      </x:c>
      <x:c r="H299" s="30" t="n">
        <x:f>ROUND(D299-F299,2)</x:f>
        <x:v>3646037.89</x:v>
      </x:c>
      <x:c r="I299" s="33" t="n">
        <x:f>IF(AND(ISNUMBER('Параметры'!$C$7),'Параметры'!$C$7&gt;=0),'Параметры'!$C$7*C299/365,NA())</x:f>
        <x:v>0.00636986301369863</x:v>
      </x:c>
      <x:c r="J299" s="32" t="n">
        <x:f>J298/(1+I299)</x:f>
        <x:v>0.16119827167407472</x:v>
      </x:c>
      <x:c r="K299" s="33" t="n">
        <x:f>IF(AND(ISNUMBER('Параметры'!$C$8),'Параметры'!$C$8&gt;=0),'Параметры'!$C$8*C299/365,NA())</x:f>
        <x:v>0.00636986301369863</x:v>
      </x:c>
      <x:c r="L299" s="32" t="n">
        <x:f>L298/(1+K299)</x:f>
        <x:v>0.16119827167407472</x:v>
      </x:c>
      <x:c r="M299" s="30" t="n">
        <x:f>E299*L299</x:f>
        <x:v>3743.7911720451834</x:v>
      </x:c>
      <x:c r="N299" s="30" t="n">
        <x:f>F299*L299</x:f>
        <x:v>0</x:v>
      </x:c>
      <x:c r="O299" s="30" t="n">
        <x:f>G299*L299</x:f>
        <x:v>3743.7911720451834</x:v>
      </x:c>
    </x:row>
    <x:row r="300" ht="21" customHeight="1">
      <x:c r="A300" s="28" t="n">
        <x:v>294</x:v>
      </x:c>
      <x:c r="B300" s="29" t="n">
        <x:v>53745</x:v>
      </x:c>
      <x:c r="C300" s="28" t="n">
        <x:f>B300-B299</x:f>
        <x:v>31</x:v>
      </x:c>
      <x:c r="D300" s="30" t="n">
        <x:f>H299</x:f>
        <x:v>3646037.89</x:v>
      </x:c>
      <x:c r="E300" s="30" t="n">
        <x:f>ROUND(D300*I300,2)</x:f>
        <x:v>23224.76</x:v>
      </x:c>
      <x:c r="F300" s="30" t="n">
        <x:f>0</x:f>
        <x:v>0</x:v>
      </x:c>
      <x:c r="G300" s="30" t="n">
        <x:f>ROUND(E300+F300,2)</x:f>
        <x:v>23224.76</x:v>
      </x:c>
      <x:c r="H300" s="30" t="n">
        <x:f>ROUND(D300-F300,2)</x:f>
        <x:v>3646037.89</x:v>
      </x:c>
      <x:c r="I300" s="33" t="n">
        <x:f>IF(AND(ISNUMBER('Параметры'!$C$7),'Параметры'!$C$7&gt;=0),'Параметры'!$C$7*C300/365,NA())</x:f>
        <x:v>0.00636986301369863</x:v>
      </x:c>
      <x:c r="J300" s="32" t="n">
        <x:f>J299/(1+I300)</x:f>
        <x:v>0.16017796001099102</x:v>
      </x:c>
      <x:c r="K300" s="33" t="n">
        <x:f>IF(AND(ISNUMBER('Параметры'!$C$8),'Параметры'!$C$8&gt;=0),'Параметры'!$C$8*C300/365,NA())</x:f>
        <x:v>0.00636986301369863</x:v>
      </x:c>
      <x:c r="L300" s="32" t="n">
        <x:f>L299/(1+K300)</x:f>
        <x:v>0.16017796001099102</x:v>
      </x:c>
      <x:c r="M300" s="30" t="n">
        <x:f>E300*L300</x:f>
        <x:v>3720.0946785448637</x:v>
      </x:c>
      <x:c r="N300" s="30" t="n">
        <x:f>F300*L300</x:f>
        <x:v>0</x:v>
      </x:c>
      <x:c r="O300" s="30" t="n">
        <x:f>G300*L300</x:f>
        <x:v>3720.0946785448637</x:v>
      </x:c>
    </x:row>
    <x:row r="301" ht="21" customHeight="1">
      <x:c r="A301" s="28" t="n">
        <x:v>295</x:v>
      </x:c>
      <x:c r="B301" s="29" t="n">
        <x:v>53773</x:v>
      </x:c>
      <x:c r="C301" s="28" t="n">
        <x:f>B301-B300</x:f>
        <x:v>28</x:v>
      </x:c>
      <x:c r="D301" s="30" t="n">
        <x:f>H300</x:f>
        <x:v>3646037.89</x:v>
      </x:c>
      <x:c r="E301" s="30" t="n">
        <x:f>ROUND(D301*I301,2)</x:f>
        <x:v>20977.2</x:v>
      </x:c>
      <x:c r="F301" s="30" t="n">
        <x:f>0</x:f>
        <x:v>0</x:v>
      </x:c>
      <x:c r="G301" s="30" t="n">
        <x:f>ROUND(E301+F301,2)</x:f>
        <x:v>20977.2</x:v>
      </x:c>
      <x:c r="H301" s="30" t="n">
        <x:f>ROUND(D301-F301,2)</x:f>
        <x:v>3646037.89</x:v>
      </x:c>
      <x:c r="I301" s="33" t="n">
        <x:f>IF(AND(ISNUMBER('Параметры'!$C$7),'Параметры'!$C$7&gt;=0),'Параметры'!$C$7*C301/365,NA())</x:f>
        <x:v>0.005753424657534247</x:v>
      </x:c>
      <x:c r="J301" s="32" t="n">
        <x:f>J300/(1+I301)</x:f>
        <x:v>0.15926166004906492</x:v>
      </x:c>
      <x:c r="K301" s="33" t="n">
        <x:f>IF(AND(ISNUMBER('Параметры'!$C$8),'Параметры'!$C$8&gt;=0),'Параметры'!$C$8*C301/365,NA())</x:f>
        <x:v>0.005753424657534247</x:v>
      </x:c>
      <x:c r="L301" s="32" t="n">
        <x:f>L300/(1+K301)</x:f>
        <x:v>0.15926166004906492</x:v>
      </x:c>
      <x:c r="M301" s="30" t="n">
        <x:f>E301*L301</x:f>
        <x:v>3340.8636951812446</x:v>
      </x:c>
      <x:c r="N301" s="30" t="n">
        <x:f>F301*L301</x:f>
        <x:v>0</x:v>
      </x:c>
      <x:c r="O301" s="30" t="n">
        <x:f>G301*L301</x:f>
        <x:v>3340.8636951812446</x:v>
      </x:c>
    </x:row>
    <x:row r="302" ht="21" customHeight="1">
      <x:c r="A302" s="28" t="n">
        <x:v>296</x:v>
      </x:c>
      <x:c r="B302" s="29" t="n">
        <x:v>53804</x:v>
      </x:c>
      <x:c r="C302" s="28" t="n">
        <x:f>B302-B301</x:f>
        <x:v>31</x:v>
      </x:c>
      <x:c r="D302" s="30" t="n">
        <x:f>H301</x:f>
        <x:v>3646037.89</x:v>
      </x:c>
      <x:c r="E302" s="30" t="n">
        <x:f>ROUND(D302*I302,2)</x:f>
        <x:v>23224.76</x:v>
      </x:c>
      <x:c r="F302" s="30" t="n">
        <x:f>0</x:f>
        <x:v>0</x:v>
      </x:c>
      <x:c r="G302" s="30" t="n">
        <x:f>ROUND(E302+F302,2)</x:f>
        <x:v>23224.76</x:v>
      </x:c>
      <x:c r="H302" s="30" t="n">
        <x:f>ROUND(D302-F302,2)</x:f>
        <x:v>3646037.89</x:v>
      </x:c>
      <x:c r="I302" s="33" t="n">
        <x:f>IF(AND(ISNUMBER('Параметры'!$C$7),'Параметры'!$C$7&gt;=0),'Параметры'!$C$7*C302/365,NA())</x:f>
        <x:v>0.00636986301369863</x:v>
      </x:c>
      <x:c r="J302" s="32" t="n">
        <x:f>J301/(1+I302)</x:f>
        <x:v>0.15825360625579174</x:v>
      </x:c>
      <x:c r="K302" s="33" t="n">
        <x:f>IF(AND(ISNUMBER('Параметры'!$C$8),'Параметры'!$C$8&gt;=0),'Параметры'!$C$8*C302/365,NA())</x:f>
        <x:v>0.00636986301369863</x:v>
      </x:c>
      <x:c r="L302" s="32" t="n">
        <x:f>L301/(1+K302)</x:f>
        <x:v>0.15825360625579174</x:v>
      </x:c>
      <x:c r="M302" s="30" t="n">
        <x:f>E302*L302</x:f>
        <x:v>3675.4020244252615</x:v>
      </x:c>
      <x:c r="N302" s="30" t="n">
        <x:f>F302*L302</x:f>
        <x:v>0</x:v>
      </x:c>
      <x:c r="O302" s="30" t="n">
        <x:f>G302*L302</x:f>
        <x:v>3675.4020244252615</x:v>
      </x:c>
    </x:row>
    <x:row r="303" ht="21" customHeight="1">
      <x:c r="A303" s="28" t="n">
        <x:v>297</x:v>
      </x:c>
      <x:c r="B303" s="29" t="n">
        <x:v>53834</x:v>
      </x:c>
      <x:c r="C303" s="28" t="n">
        <x:f>B303-B302</x:f>
        <x:v>30</x:v>
      </x:c>
      <x:c r="D303" s="30" t="n">
        <x:f>H302</x:f>
        <x:v>3646037.89</x:v>
      </x:c>
      <x:c r="E303" s="30" t="n">
        <x:f>ROUND(D303*I303,2)</x:f>
        <x:v>22475.58</x:v>
      </x:c>
      <x:c r="F303" s="30" t="n">
        <x:f>0</x:f>
        <x:v>0</x:v>
      </x:c>
      <x:c r="G303" s="30" t="n">
        <x:f>ROUND(E303+F303,2)</x:f>
        <x:v>22475.58</x:v>
      </x:c>
      <x:c r="H303" s="30" t="n">
        <x:f>ROUND(D303-F303,2)</x:f>
        <x:v>3646037.89</x:v>
      </x:c>
      <x:c r="I303" s="33" t="n">
        <x:f>IF(AND(ISNUMBER('Параметры'!$C$7),'Параметры'!$C$7&gt;=0),'Параметры'!$C$7*C303/365,NA())</x:f>
        <x:v>0.0061643835616438354</x:v>
      </x:c>
      <x:c r="J303" s="32" t="n">
        <x:f>J302/(1+I303)</x:f>
        <x:v>0.15728404706157653</x:v>
      </x:c>
      <x:c r="K303" s="33" t="n">
        <x:f>IF(AND(ISNUMBER('Параметры'!$C$8),'Параметры'!$C$8&gt;=0),'Параметры'!$C$8*C303/365,NA())</x:f>
        <x:v>0.0061643835616438354</x:v>
      </x:c>
      <x:c r="L303" s="32" t="n">
        <x:f>L302/(1+K303)</x:f>
        <x:v>0.15728404706157653</x:v>
      </x:c>
      <x:c r="M303" s="30" t="n">
        <x:f>E303*L303</x:f>
        <x:v>3535.0501824562284</x:v>
      </x:c>
      <x:c r="N303" s="30" t="n">
        <x:f>F303*L303</x:f>
        <x:v>0</x:v>
      </x:c>
      <x:c r="O303" s="30" t="n">
        <x:f>G303*L303</x:f>
        <x:v>3535.0501824562284</x:v>
      </x:c>
    </x:row>
    <x:row r="304" ht="21" customHeight="1">
      <x:c r="A304" s="28" t="n">
        <x:v>298</x:v>
      </x:c>
      <x:c r="B304" s="29" t="n">
        <x:v>53865</x:v>
      </x:c>
      <x:c r="C304" s="28" t="n">
        <x:f>B304-B303</x:f>
        <x:v>31</x:v>
      </x:c>
      <x:c r="D304" s="30" t="n">
        <x:f>H303</x:f>
        <x:v>3646037.89</x:v>
      </x:c>
      <x:c r="E304" s="30" t="n">
        <x:f>ROUND(D304*I304,2)</x:f>
        <x:v>23224.76</x:v>
      </x:c>
      <x:c r="F304" s="30" t="n">
        <x:f>0</x:f>
        <x:v>0</x:v>
      </x:c>
      <x:c r="G304" s="30" t="n">
        <x:f>ROUND(E304+F304,2)</x:f>
        <x:v>23224.76</x:v>
      </x:c>
      <x:c r="H304" s="30" t="n">
        <x:f>ROUND(D304-F304,2)</x:f>
        <x:v>3646037.89</x:v>
      </x:c>
      <x:c r="I304" s="33" t="n">
        <x:f>IF(AND(ISNUMBER('Параметры'!$C$7),'Параметры'!$C$7&gt;=0),'Параметры'!$C$7*C304/365,NA())</x:f>
        <x:v>0.00636986301369863</x:v>
      </x:c>
      <x:c r="J304" s="32" t="n">
        <x:f>J303/(1+I304)</x:f>
        <x:v>0.15628851065806965</x:v>
      </x:c>
      <x:c r="K304" s="33" t="n">
        <x:f>IF(AND(ISNUMBER('Параметры'!$C$8),'Параметры'!$C$8&gt;=0),'Параметры'!$C$8*C304/365,NA())</x:f>
        <x:v>0.00636986301369863</x:v>
      </x:c>
      <x:c r="L304" s="32" t="n">
        <x:f>L303/(1+K304)</x:f>
        <x:v>0.15628851065806965</x:v>
      </x:c>
      <x:c r="M304" s="30" t="n">
        <x:f>E304*L304</x:f>
        <x:v>3629.763150791109</x:v>
      </x:c>
      <x:c r="N304" s="30" t="n">
        <x:f>F304*L304</x:f>
        <x:v>0</x:v>
      </x:c>
      <x:c r="O304" s="30" t="n">
        <x:f>G304*L304</x:f>
        <x:v>3629.763150791109</x:v>
      </x:c>
    </x:row>
    <x:row r="305" ht="21" customHeight="1">
      <x:c r="A305" s="28" t="n">
        <x:v>299</x:v>
      </x:c>
      <x:c r="B305" s="29" t="n">
        <x:v>53895</x:v>
      </x:c>
      <x:c r="C305" s="28" t="n">
        <x:f>B305-B304</x:f>
        <x:v>30</x:v>
      </x:c>
      <x:c r="D305" s="30" t="n">
        <x:f>H304</x:f>
        <x:v>3646037.89</x:v>
      </x:c>
      <x:c r="E305" s="30" t="n">
        <x:f>ROUND(D305*I305,2)</x:f>
        <x:v>22475.58</x:v>
      </x:c>
      <x:c r="F305" s="30" t="n">
        <x:f>0</x:f>
        <x:v>0</x:v>
      </x:c>
      <x:c r="G305" s="30" t="n">
        <x:f>ROUND(E305+F305,2)</x:f>
        <x:v>22475.58</x:v>
      </x:c>
      <x:c r="H305" s="30" t="n">
        <x:f>ROUND(D305-F305,2)</x:f>
        <x:v>3646037.89</x:v>
      </x:c>
      <x:c r="I305" s="33" t="n">
        <x:f>IF(AND(ISNUMBER('Параметры'!$C$7),'Параметры'!$C$7&gt;=0),'Параметры'!$C$7*C305/365,NA())</x:f>
        <x:v>0.0061643835616438354</x:v>
      </x:c>
      <x:c r="J305" s="32" t="n">
        <x:f>J304/(1+I305)</x:f>
        <x:v>0.1553309908514511</x:v>
      </x:c>
      <x:c r="K305" s="33" t="n">
        <x:f>IF(AND(ISNUMBER('Параметры'!$C$8),'Параметры'!$C$8&gt;=0),'Параметры'!$C$8*C305/365,NA())</x:f>
        <x:v>0.0061643835616438354</x:v>
      </x:c>
      <x:c r="L305" s="32" t="n">
        <x:f>L304/(1+K305)</x:f>
        <x:v>0.1553309908514511</x:v>
      </x:c>
      <x:c r="M305" s="30" t="n">
        <x:f>E305*L305</x:f>
        <x:v>3491.154111361058</x:v>
      </x:c>
      <x:c r="N305" s="30" t="n">
        <x:f>F305*L305</x:f>
        <x:v>0</x:v>
      </x:c>
      <x:c r="O305" s="30" t="n">
        <x:f>G305*L305</x:f>
        <x:v>3491.154111361058</x:v>
      </x:c>
    </x:row>
    <x:row r="306" ht="21" customHeight="1">
      <x:c r="A306" s="28" t="n">
        <x:v>300</x:v>
      </x:c>
      <x:c r="B306" s="29" t="n">
        <x:v>53926</x:v>
      </x:c>
      <x:c r="C306" s="28" t="n">
        <x:f>B306-B305</x:f>
        <x:v>31</x:v>
      </x:c>
      <x:c r="D306" s="30" t="n">
        <x:f>H305</x:f>
        <x:v>3646037.89</x:v>
      </x:c>
      <x:c r="E306" s="30" t="n">
        <x:f>ROUND(D306*I306,2)</x:f>
        <x:v>23224.76</x:v>
      </x:c>
      <x:c r="F306" s="30" t="n">
        <x:f>0</x:f>
        <x:v>0</x:v>
      </x:c>
      <x:c r="G306" s="30" t="n">
        <x:f>ROUND(E306+F306,2)</x:f>
        <x:v>23224.76</x:v>
      </x:c>
      <x:c r="H306" s="30" t="n">
        <x:f>ROUND(D306-F306,2)</x:f>
        <x:v>3646037.89</x:v>
      </x:c>
      <x:c r="I306" s="33" t="n">
        <x:f>IF(AND(ISNUMBER('Параметры'!$C$7),'Параметры'!$C$7&gt;=0),'Параметры'!$C$7*C306/365,NA())</x:f>
        <x:v>0.00636986301369863</x:v>
      </x:c>
      <x:c r="J306" s="32" t="n">
        <x:f>J305/(1+I306)</x:f>
        <x:v>0.154347816404491</x:v>
      </x:c>
      <x:c r="K306" s="33" t="n">
        <x:f>IF(AND(ISNUMBER('Параметры'!$C$8),'Параметры'!$C$8&gt;=0),'Параметры'!$C$8*C306/365,NA())</x:f>
        <x:v>0.00636986301369863</x:v>
      </x:c>
      <x:c r="L306" s="32" t="n">
        <x:f>L305/(1+K306)</x:f>
        <x:v>0.154347816404491</x:v>
      </x:c>
      <x:c r="M306" s="30" t="n">
        <x:f>E306*L306</x:f>
        <x:v>3584.690992518366</x:v>
      </x:c>
      <x:c r="N306" s="30" t="n">
        <x:f>F306*L306</x:f>
        <x:v>0</x:v>
      </x:c>
      <x:c r="O306" s="30" t="n">
        <x:f>G306*L306</x:f>
        <x:v>3584.690992518366</x:v>
      </x:c>
    </x:row>
    <x:row r="307" ht="21" customHeight="1">
      <x:c r="A307" s="28" t="n">
        <x:v>301</x:v>
      </x:c>
      <x:c r="B307" s="29" t="n">
        <x:v>53957</x:v>
      </x:c>
      <x:c r="C307" s="28" t="n">
        <x:f>B307-B306</x:f>
        <x:v>31</x:v>
      </x:c>
      <x:c r="D307" s="30" t="n">
        <x:f>H306</x:f>
        <x:v>3646037.89</x:v>
      </x:c>
      <x:c r="E307" s="30" t="n">
        <x:f>ROUND(D307*I307,2)</x:f>
        <x:v>23224.76</x:v>
      </x:c>
      <x:c r="F307" s="30" t="n">
        <x:f>0</x:f>
        <x:v>0</x:v>
      </x:c>
      <x:c r="G307" s="30" t="n">
        <x:f>ROUND(E307+F307,2)</x:f>
        <x:v>23224.76</x:v>
      </x:c>
      <x:c r="H307" s="30" t="n">
        <x:f>ROUND(D307-F307,2)</x:f>
        <x:v>3646037.89</x:v>
      </x:c>
      <x:c r="I307" s="33" t="n">
        <x:f>IF(AND(ISNUMBER('Параметры'!$C$7),'Параметры'!$C$7&gt;=0),'Параметры'!$C$7*C307/365,NA())</x:f>
        <x:v>0.00636986301369863</x:v>
      </x:c>
      <x:c r="J307" s="32" t="n">
        <x:f>J306/(1+I307)</x:f>
        <x:v>0.15337086500412228</x:v>
      </x:c>
      <x:c r="K307" s="33" t="n">
        <x:f>IF(AND(ISNUMBER('Параметры'!$C$8),'Параметры'!$C$8&gt;=0),'Параметры'!$C$8*C307/365,NA())</x:f>
        <x:v>0.00636986301369863</x:v>
      </x:c>
      <x:c r="L307" s="32" t="n">
        <x:f>L306/(1+K307)</x:f>
        <x:v>0.15337086500412228</x:v>
      </x:c>
      <x:c r="M307" s="30" t="n">
        <x:f>E307*L307</x:f>
        <x:v>3562.001530713139</x:v>
      </x:c>
      <x:c r="N307" s="30" t="n">
        <x:f>F307*L307</x:f>
        <x:v>0</x:v>
      </x:c>
      <x:c r="O307" s="30" t="n">
        <x:f>G307*L307</x:f>
        <x:v>3562.001530713139</x:v>
      </x:c>
    </x:row>
    <x:row r="308" ht="21" customHeight="1">
      <x:c r="A308" s="28" t="n">
        <x:v>302</x:v>
      </x:c>
      <x:c r="B308" s="29" t="n">
        <x:v>53987</x:v>
      </x:c>
      <x:c r="C308" s="28" t="n">
        <x:f>B308-B307</x:f>
        <x:v>30</x:v>
      </x:c>
      <x:c r="D308" s="30" t="n">
        <x:f>H307</x:f>
        <x:v>3646037.89</x:v>
      </x:c>
      <x:c r="E308" s="30" t="n">
        <x:f>ROUND(D308*I308,2)</x:f>
        <x:v>22475.58</x:v>
      </x:c>
      <x:c r="F308" s="30" t="n">
        <x:f>0</x:f>
        <x:v>0</x:v>
      </x:c>
      <x:c r="G308" s="30" t="n">
        <x:f>ROUND(E308+F308,2)</x:f>
        <x:v>22475.58</x:v>
      </x:c>
      <x:c r="H308" s="30" t="n">
        <x:f>ROUND(D308-F308,2)</x:f>
        <x:v>3646037.89</x:v>
      </x:c>
      <x:c r="I308" s="33" t="n">
        <x:f>IF(AND(ISNUMBER('Параметры'!$C$7),'Параметры'!$C$7&gt;=0),'Параметры'!$C$7*C308/365,NA())</x:f>
        <x:v>0.0061643835616438354</x:v>
      </x:c>
      <x:c r="J308" s="32" t="n">
        <x:f>J307/(1+I308)</x:f>
        <x:v>0.15243122049422636</x:v>
      </x:c>
      <x:c r="K308" s="33" t="n">
        <x:f>IF(AND(ISNUMBER('Параметры'!$C$8),'Параметры'!$C$8&gt;=0),'Параметры'!$C$8*C308/365,NA())</x:f>
        <x:v>0.0061643835616438354</x:v>
      </x:c>
      <x:c r="L308" s="32" t="n">
        <x:f>L307/(1+K308)</x:f>
        <x:v>0.15243122049422636</x:v>
      </x:c>
      <x:c r="M308" s="30" t="n">
        <x:f>E308*L308</x:f>
        <x:v>3425.9800907156246</x:v>
      </x:c>
      <x:c r="N308" s="30" t="n">
        <x:f>F308*L308</x:f>
        <x:v>0</x:v>
      </x:c>
      <x:c r="O308" s="30" t="n">
        <x:f>G308*L308</x:f>
        <x:v>3425.9800907156246</x:v>
      </x:c>
    </x:row>
    <x:row r="309" ht="21" customHeight="1">
      <x:c r="A309" s="28" t="n">
        <x:v>303</x:v>
      </x:c>
      <x:c r="B309" s="29" t="n">
        <x:v>54018</x:v>
      </x:c>
      <x:c r="C309" s="28" t="n">
        <x:f>B309-B308</x:f>
        <x:v>31</x:v>
      </x:c>
      <x:c r="D309" s="30" t="n">
        <x:f>H308</x:f>
        <x:v>3646037.89</x:v>
      </x:c>
      <x:c r="E309" s="30" t="n">
        <x:f>ROUND(D309*I309,2)</x:f>
        <x:v>23224.76</x:v>
      </x:c>
      <x:c r="F309" s="30" t="n">
        <x:f>0</x:f>
        <x:v>0</x:v>
      </x:c>
      <x:c r="G309" s="30" t="n">
        <x:f>ROUND(E309+F309,2)</x:f>
        <x:v>23224.76</x:v>
      </x:c>
      <x:c r="H309" s="30" t="n">
        <x:f>ROUND(D309-F309,2)</x:f>
        <x:v>3646037.89</x:v>
      </x:c>
      <x:c r="I309" s="33" t="n">
        <x:f>IF(AND(ISNUMBER('Параметры'!$C$7),'Параметры'!$C$7&gt;=0),'Параметры'!$C$7*C309/365,NA())</x:f>
        <x:v>0.00636986301369863</x:v>
      </x:c>
      <x:c r="J309" s="32" t="n">
        <x:f>J308/(1+I309)</x:f>
        <x:v>0.15146640027330735</x:v>
      </x:c>
      <x:c r="K309" s="33" t="n">
        <x:f>IF(AND(ISNUMBER('Параметры'!$C$8),'Параметры'!$C$8&gt;=0),'Параметры'!$C$8*C309/365,NA())</x:f>
        <x:v>0.00636986301369863</x:v>
      </x:c>
      <x:c r="L309" s="32" t="n">
        <x:f>L308/(1+K309)</x:f>
        <x:v>0.15146640027330735</x:v>
      </x:c>
      <x:c r="M309" s="30" t="n">
        <x:f>E309*L309</x:f>
        <x:v>3517.7707944114973</x:v>
      </x:c>
      <x:c r="N309" s="30" t="n">
        <x:f>F309*L309</x:f>
        <x:v>0</x:v>
      </x:c>
      <x:c r="O309" s="30" t="n">
        <x:f>G309*L309</x:f>
        <x:v>3517.7707944114973</x:v>
      </x:c>
    </x:row>
    <x:row r="310" ht="21" customHeight="1">
      <x:c r="A310" s="28" t="n">
        <x:v>304</x:v>
      </x:c>
      <x:c r="B310" s="29" t="n">
        <x:v>54048</x:v>
      </x:c>
      <x:c r="C310" s="28" t="n">
        <x:f>B310-B309</x:f>
        <x:v>30</x:v>
      </x:c>
      <x:c r="D310" s="30" t="n">
        <x:f>H309</x:f>
        <x:v>3646037.89</x:v>
      </x:c>
      <x:c r="E310" s="30" t="n">
        <x:f>ROUND(D310*I310,2)</x:f>
        <x:v>22475.58</x:v>
      </x:c>
      <x:c r="F310" s="30" t="n">
        <x:f>0</x:f>
        <x:v>0</x:v>
      </x:c>
      <x:c r="G310" s="30" t="n">
        <x:f>ROUND(E310+F310,2)</x:f>
        <x:v>22475.58</x:v>
      </x:c>
      <x:c r="H310" s="30" t="n">
        <x:f>ROUND(D310-F310,2)</x:f>
        <x:v>3646037.89</x:v>
      </x:c>
      <x:c r="I310" s="33" t="n">
        <x:f>IF(AND(ISNUMBER('Параметры'!$C$7),'Параметры'!$C$7&gt;=0),'Параметры'!$C$7*C310/365,NA())</x:f>
        <x:v>0.0061643835616438354</x:v>
      </x:c>
      <x:c r="J310" s="32" t="n">
        <x:f>J309/(1+I310)</x:f>
        <x:v>0.15053842368892356</x:v>
      </x:c>
      <x:c r="K310" s="33" t="n">
        <x:f>IF(AND(ISNUMBER('Параметры'!$C$8),'Параметры'!$C$8&gt;=0),'Параметры'!$C$8*C310/365,NA())</x:f>
        <x:v>0.0061643835616438354</x:v>
      </x:c>
      <x:c r="L310" s="32" t="n">
        <x:f>L309/(1+K310)</x:f>
        <x:v>0.15053842368892356</x:v>
      </x:c>
      <x:c r="M310" s="30" t="n">
        <x:f>E310*L310</x:f>
        <x:v>3383.438384694297</x:v>
      </x:c>
      <x:c r="N310" s="30" t="n">
        <x:f>F310*L310</x:f>
        <x:v>0</x:v>
      </x:c>
      <x:c r="O310" s="30" t="n">
        <x:f>G310*L310</x:f>
        <x:v>3383.438384694297</x:v>
      </x:c>
    </x:row>
    <x:row r="311" ht="21" customHeight="1">
      <x:c r="A311" s="28" t="n">
        <x:v>305</x:v>
      </x:c>
      <x:c r="B311" s="29" t="n">
        <x:v>54079</x:v>
      </x:c>
      <x:c r="C311" s="28" t="n">
        <x:f>B311-B310</x:f>
        <x:v>31</x:v>
      </x:c>
      <x:c r="D311" s="30" t="n">
        <x:f>H310</x:f>
        <x:v>3646037.89</x:v>
      </x:c>
      <x:c r="E311" s="30" t="n">
        <x:f>ROUND(D311*I311,2)</x:f>
        <x:v>23224.76</x:v>
      </x:c>
      <x:c r="F311" s="30" t="n">
        <x:f>0</x:f>
        <x:v>0</x:v>
      </x:c>
      <x:c r="G311" s="30" t="n">
        <x:f>ROUND(E311+F311,2)</x:f>
        <x:v>23224.76</x:v>
      </x:c>
      <x:c r="H311" s="30" t="n">
        <x:f>ROUND(D311-F311,2)</x:f>
        <x:v>3646037.89</x:v>
      </x:c>
      <x:c r="I311" s="33" t="n">
        <x:f>IF(AND(ISNUMBER('Параметры'!$C$7),'Параметры'!$C$7&gt;=0),'Параметры'!$C$7*C311/365,NA())</x:f>
        <x:v>0.00636986301369863</x:v>
      </x:c>
      <x:c r="J311" s="32" t="n">
        <x:f>J310/(1+I311)</x:f>
        <x:v>0.14958558400995603</x:v>
      </x:c>
      <x:c r="K311" s="33" t="n">
        <x:f>IF(AND(ISNUMBER('Параметры'!$C$8),'Параметры'!$C$8&gt;=0),'Параметры'!$C$8*C311/365,NA())</x:f>
        <x:v>0.00636986301369863</x:v>
      </x:c>
      <x:c r="L311" s="32" t="n">
        <x:f>L310/(1+K311)</x:f>
        <x:v>0.14958558400995603</x:v>
      </x:c>
      <x:c r="M311" s="30" t="n">
        <x:f>E311*L311</x:f>
        <x:v>3474.089288091066</x:v>
      </x:c>
      <x:c r="N311" s="30" t="n">
        <x:f>F311*L311</x:f>
        <x:v>0</x:v>
      </x:c>
      <x:c r="O311" s="30" t="n">
        <x:f>G311*L311</x:f>
        <x:v>3474.089288091066</x:v>
      </x:c>
    </x:row>
    <x:row r="312" ht="21" customHeight="1">
      <x:c r="A312" s="28" t="n">
        <x:v>306</x:v>
      </x:c>
      <x:c r="B312" s="29" t="n">
        <x:v>54110</x:v>
      </x:c>
      <x:c r="C312" s="28" t="n">
        <x:f>B312-B311</x:f>
        <x:v>31</x:v>
      </x:c>
      <x:c r="D312" s="30" t="n">
        <x:f>H311</x:f>
        <x:v>3646037.89</x:v>
      </x:c>
      <x:c r="E312" s="30" t="n">
        <x:f>ROUND(D312*I312,2)</x:f>
        <x:v>23224.76</x:v>
      </x:c>
      <x:c r="F312" s="30" t="n">
        <x:f>0</x:f>
        <x:v>0</x:v>
      </x:c>
      <x:c r="G312" s="30" t="n">
        <x:f>ROUND(E312+F312,2)</x:f>
        <x:v>23224.76</x:v>
      </x:c>
      <x:c r="H312" s="30" t="n">
        <x:f>ROUND(D312-F312,2)</x:f>
        <x:v>3646037.89</x:v>
      </x:c>
      <x:c r="I312" s="33" t="n">
        <x:f>IF(AND(ISNUMBER('Параметры'!$C$7),'Параметры'!$C$7&gt;=0),'Параметры'!$C$7*C312/365,NA())</x:f>
        <x:v>0.00636986301369863</x:v>
      </x:c>
      <x:c r="J312" s="32" t="n">
        <x:f>J311/(1+I312)</x:f>
        <x:v>0.1486387753723105</x:v>
      </x:c>
      <x:c r="K312" s="33" t="n">
        <x:f>IF(AND(ISNUMBER('Параметры'!$C$8),'Параметры'!$C$8&gt;=0),'Параметры'!$C$8*C312/365,NA())</x:f>
        <x:v>0.00636986301369863</x:v>
      </x:c>
      <x:c r="L312" s="32" t="n">
        <x:f>L311/(1+K312)</x:f>
        <x:v>0.1486387753723105</x:v>
      </x:c>
      <x:c r="M312" s="30" t="n">
        <x:f>E312*L312</x:f>
        <x:v>3452.0998847158216</x:v>
      </x:c>
      <x:c r="N312" s="30" t="n">
        <x:f>F312*L312</x:f>
        <x:v>0</x:v>
      </x:c>
      <x:c r="O312" s="30" t="n">
        <x:f>G312*L312</x:f>
        <x:v>3452.0998847158216</x:v>
      </x:c>
    </x:row>
    <x:row r="313" ht="21" customHeight="1">
      <x:c r="A313" s="28" t="n">
        <x:v>307</x:v>
      </x:c>
      <x:c r="B313" s="29" t="n">
        <x:v>54139</x:v>
      </x:c>
      <x:c r="C313" s="28" t="n">
        <x:f>B313-B312</x:f>
        <x:v>29</x:v>
      </x:c>
      <x:c r="D313" s="30" t="n">
        <x:f>H312</x:f>
        <x:v>3646037.89</x:v>
      </x:c>
      <x:c r="E313" s="30" t="n">
        <x:f>ROUND(D313*I313,2)</x:f>
        <x:v>21726.39</x:v>
      </x:c>
      <x:c r="F313" s="30" t="n">
        <x:f>0</x:f>
        <x:v>0</x:v>
      </x:c>
      <x:c r="G313" s="30" t="n">
        <x:f>ROUND(E313+F313,2)</x:f>
        <x:v>21726.39</x:v>
      </x:c>
      <x:c r="H313" s="30" t="n">
        <x:f>ROUND(D313-F313,2)</x:f>
        <x:v>3646037.89</x:v>
      </x:c>
      <x:c r="I313" s="33" t="n">
        <x:f>IF(AND(ISNUMBER('Параметры'!$C$7),'Параметры'!$C$7&gt;=0),'Параметры'!$C$7*C313/365,NA())</x:f>
        <x:v>0.00595890410958904</x:v>
      </x:c>
      <x:c r="J313" s="32" t="n">
        <x:f>J312/(1+I313)</x:f>
        <x:v>0.1477582978440616</x:v>
      </x:c>
      <x:c r="K313" s="33" t="n">
        <x:f>IF(AND(ISNUMBER('Параметры'!$C$8),'Параметры'!$C$8&gt;=0),'Параметры'!$C$8*C313/365,NA())</x:f>
        <x:v>0.00595890410958904</x:v>
      </x:c>
      <x:c r="L313" s="32" t="n">
        <x:f>L312/(1+K313)</x:f>
        <x:v>0.1477582978440616</x:v>
      </x:c>
      <x:c r="M313" s="30" t="n">
        <x:f>E313*L313</x:f>
        <x:v>3210.2544046962416</x:v>
      </x:c>
      <x:c r="N313" s="30" t="n">
        <x:f>F313*L313</x:f>
        <x:v>0</x:v>
      </x:c>
      <x:c r="O313" s="30" t="n">
        <x:f>G313*L313</x:f>
        <x:v>3210.2544046962416</x:v>
      </x:c>
    </x:row>
    <x:row r="314" ht="21" customHeight="1">
      <x:c r="A314" s="28" t="n">
        <x:v>308</x:v>
      </x:c>
      <x:c r="B314" s="29" t="n">
        <x:v>54170</x:v>
      </x:c>
      <x:c r="C314" s="28" t="n">
        <x:f>B314-B313</x:f>
        <x:v>31</x:v>
      </x:c>
      <x:c r="D314" s="30" t="n">
        <x:f>H313</x:f>
        <x:v>3646037.89</x:v>
      </x:c>
      <x:c r="E314" s="30" t="n">
        <x:f>ROUND(D314*I314,2)</x:f>
        <x:v>23224.76</x:v>
      </x:c>
      <x:c r="F314" s="30" t="n">
        <x:f>0</x:f>
        <x:v>0</x:v>
      </x:c>
      <x:c r="G314" s="30" t="n">
        <x:f>ROUND(E314+F314,2)</x:f>
        <x:v>23224.76</x:v>
      </x:c>
      <x:c r="H314" s="30" t="n">
        <x:f>ROUND(D314-F314,2)</x:f>
        <x:v>3646037.89</x:v>
      </x:c>
      <x:c r="I314" s="33" t="n">
        <x:f>IF(AND(ISNUMBER('Параметры'!$C$7),'Параметры'!$C$7&gt;=0),'Параметры'!$C$7*C314/365,NA())</x:f>
        <x:v>0.00636986301369863</x:v>
      </x:c>
      <x:c r="J314" s="32" t="n">
        <x:f>J313/(1+I314)</x:f>
        <x:v>0.14682305509584834</x:v>
      </x:c>
      <x:c r="K314" s="33" t="n">
        <x:f>IF(AND(ISNUMBER('Параметры'!$C$8),'Параметры'!$C$8&gt;=0),'Параметры'!$C$8*C314/365,NA())</x:f>
        <x:v>0.00636986301369863</x:v>
      </x:c>
      <x:c r="L314" s="32" t="n">
        <x:f>L313/(1+K314)</x:f>
        <x:v>0.14682305509584834</x:v>
      </x:c>
      <x:c r="M314" s="30" t="n">
        <x:f>E314*L314</x:f>
        <x:v>3409.9302170678543</x:v>
      </x:c>
      <x:c r="N314" s="30" t="n">
        <x:f>F314*L314</x:f>
        <x:v>0</x:v>
      </x:c>
      <x:c r="O314" s="30" t="n">
        <x:f>G314*L314</x:f>
        <x:v>3409.9302170678543</x:v>
      </x:c>
    </x:row>
    <x:row r="315" ht="21" customHeight="1">
      <x:c r="A315" s="28" t="n">
        <x:v>309</x:v>
      </x:c>
      <x:c r="B315" s="29" t="n">
        <x:v>54200</x:v>
      </x:c>
      <x:c r="C315" s="28" t="n">
        <x:f>B315-B314</x:f>
        <x:v>30</x:v>
      </x:c>
      <x:c r="D315" s="30" t="n">
        <x:f>H314</x:f>
        <x:v>3646037.89</x:v>
      </x:c>
      <x:c r="E315" s="30" t="n">
        <x:f>ROUND(D315*I315,2)</x:f>
        <x:v>22475.58</x:v>
      </x:c>
      <x:c r="F315" s="30" t="n">
        <x:f>0</x:f>
        <x:v>0</x:v>
      </x:c>
      <x:c r="G315" s="30" t="n">
        <x:f>ROUND(E315+F315,2)</x:f>
        <x:v>22475.58</x:v>
      </x:c>
      <x:c r="H315" s="30" t="n">
        <x:f>ROUND(D315-F315,2)</x:f>
        <x:v>3646037.89</x:v>
      </x:c>
      <x:c r="I315" s="33" t="n">
        <x:f>IF(AND(ISNUMBER('Параметры'!$C$7),'Параметры'!$C$7&gt;=0),'Параметры'!$C$7*C315/365,NA())</x:f>
        <x:v>0.0061643835616438354</x:v>
      </x:c>
      <x:c r="J315" s="32" t="n">
        <x:f>J314/(1+I315)</x:f>
        <x:v>0.14592352650778664</x:v>
      </x:c>
      <x:c r="K315" s="33" t="n">
        <x:f>IF(AND(ISNUMBER('Параметры'!$C$8),'Параметры'!$C$8&gt;=0),'Параметры'!$C$8*C315/365,NA())</x:f>
        <x:v>0.0061643835616438354</x:v>
      </x:c>
      <x:c r="L315" s="32" t="n">
        <x:f>L314/(1+K315)</x:f>
        <x:v>0.14592352650778664</x:v>
      </x:c>
      <x:c r="M315" s="30" t="n">
        <x:f>E315*L315</x:f>
        <x:v>3279.7158939078795</x:v>
      </x:c>
      <x:c r="N315" s="30" t="n">
        <x:f>F315*L315</x:f>
        <x:v>0</x:v>
      </x:c>
      <x:c r="O315" s="30" t="n">
        <x:f>G315*L315</x:f>
        <x:v>3279.7158939078795</x:v>
      </x:c>
    </x:row>
    <x:row r="316" ht="21" customHeight="1">
      <x:c r="A316" s="28" t="n">
        <x:v>310</x:v>
      </x:c>
      <x:c r="B316" s="29" t="n">
        <x:v>54231</x:v>
      </x:c>
      <x:c r="C316" s="28" t="n">
        <x:f>B316-B315</x:f>
        <x:v>31</x:v>
      </x:c>
      <x:c r="D316" s="30" t="n">
        <x:f>H315</x:f>
        <x:v>3646037.89</x:v>
      </x:c>
      <x:c r="E316" s="30" t="n">
        <x:f>ROUND(D316*I316,2)</x:f>
        <x:v>23224.76</x:v>
      </x:c>
      <x:c r="F316" s="30" t="n">
        <x:f>0</x:f>
        <x:v>0</x:v>
      </x:c>
      <x:c r="G316" s="30" t="n">
        <x:f>ROUND(E316+F316,2)</x:f>
        <x:v>23224.76</x:v>
      </x:c>
      <x:c r="H316" s="30" t="n">
        <x:f>ROUND(D316-F316,2)</x:f>
        <x:v>3646037.89</x:v>
      </x:c>
      <x:c r="I316" s="33" t="n">
        <x:f>IF(AND(ISNUMBER('Параметры'!$C$7),'Параметры'!$C$7&gt;=0),'Параметры'!$C$7*C316/365,NA())</x:f>
        <x:v>0.00636986301369863</x:v>
      </x:c>
      <x:c r="J316" s="32" t="n">
        <x:f>J315/(1+I316)</x:f>
        <x:v>0.144999897026726</x:v>
      </x:c>
      <x:c r="K316" s="33" t="n">
        <x:f>IF(AND(ISNUMBER('Параметры'!$C$8),'Параметры'!$C$8&gt;=0),'Параметры'!$C$8*C316/365,NA())</x:f>
        <x:v>0.00636986301369863</x:v>
      </x:c>
      <x:c r="L316" s="32" t="n">
        <x:f>L315/(1+K316)</x:f>
        <x:v>0.144999897026726</x:v>
      </x:c>
      <x:c r="M316" s="30" t="n">
        <x:f>E316*L316</x:f>
        <x:v>3367.5878084704245</x:v>
      </x:c>
      <x:c r="N316" s="30" t="n">
        <x:f>F316*L316</x:f>
        <x:v>0</x:v>
      </x:c>
      <x:c r="O316" s="30" t="n">
        <x:f>G316*L316</x:f>
        <x:v>3367.5878084704245</x:v>
      </x:c>
    </x:row>
    <x:row r="317" ht="21" customHeight="1">
      <x:c r="A317" s="28" t="n">
        <x:v>311</x:v>
      </x:c>
      <x:c r="B317" s="29" t="n">
        <x:v>54261</x:v>
      </x:c>
      <x:c r="C317" s="28" t="n">
        <x:f>B317-B316</x:f>
        <x:v>30</x:v>
      </x:c>
      <x:c r="D317" s="30" t="n">
        <x:f>H316</x:f>
        <x:v>3646037.89</x:v>
      </x:c>
      <x:c r="E317" s="30" t="n">
        <x:f>ROUND(D317*I317,2)</x:f>
        <x:v>22475.58</x:v>
      </x:c>
      <x:c r="F317" s="30" t="n">
        <x:f>0</x:f>
        <x:v>0</x:v>
      </x:c>
      <x:c r="G317" s="30" t="n">
        <x:f>ROUND(E317+F317,2)</x:f>
        <x:v>22475.58</x:v>
      </x:c>
      <x:c r="H317" s="30" t="n">
        <x:f>ROUND(D317-F317,2)</x:f>
        <x:v>3646037.89</x:v>
      </x:c>
      <x:c r="I317" s="33" t="n">
        <x:f>IF(AND(ISNUMBER('Параметры'!$C$7),'Параметры'!$C$7&gt;=0),'Параметры'!$C$7*C317/365,NA())</x:f>
        <x:v>0.0061643835616438354</x:v>
      </x:c>
      <x:c r="J317" s="32" t="n">
        <x:f>J316/(1+I317)</x:f>
        <x:v>0.14411153822942135</x:v>
      </x:c>
      <x:c r="K317" s="33" t="n">
        <x:f>IF(AND(ISNUMBER('Параметры'!$C$8),'Параметры'!$C$8&gt;=0),'Параметры'!$C$8*C317/365,NA())</x:f>
        <x:v>0.0061643835616438354</x:v>
      </x:c>
      <x:c r="L317" s="32" t="n">
        <x:f>L316/(1+K317)</x:f>
        <x:v>0.14411153822942135</x:v>
      </x:c>
      <x:c r="M317" s="30" t="n">
        <x:f>E317*L317</x:f>
        <x:v>3238.990406398418</x:v>
      </x:c>
      <x:c r="N317" s="30" t="n">
        <x:f>F317*L317</x:f>
        <x:v>0</x:v>
      </x:c>
      <x:c r="O317" s="30" t="n">
        <x:f>G317*L317</x:f>
        <x:v>3238.990406398418</x:v>
      </x:c>
    </x:row>
    <x:row r="318" ht="21" customHeight="1">
      <x:c r="A318" s="28" t="n">
        <x:v>312</x:v>
      </x:c>
      <x:c r="B318" s="29" t="n">
        <x:v>54292</x:v>
      </x:c>
      <x:c r="C318" s="28" t="n">
        <x:f>B318-B317</x:f>
        <x:v>31</x:v>
      </x:c>
      <x:c r="D318" s="30" t="n">
        <x:f>H317</x:f>
        <x:v>3646037.89</x:v>
      </x:c>
      <x:c r="E318" s="30" t="n">
        <x:f>ROUND(D318*I318,2)</x:f>
        <x:v>23224.76</x:v>
      </x:c>
      <x:c r="F318" s="30" t="n">
        <x:f>0</x:f>
        <x:v>0</x:v>
      </x:c>
      <x:c r="G318" s="30" t="n">
        <x:f>ROUND(E318+F318,2)</x:f>
        <x:v>23224.76</x:v>
      </x:c>
      <x:c r="H318" s="30" t="n">
        <x:f>ROUND(D318-F318,2)</x:f>
        <x:v>3646037.89</x:v>
      </x:c>
      <x:c r="I318" s="33" t="n">
        <x:f>IF(AND(ISNUMBER('Параметры'!$C$7),'Параметры'!$C$7&gt;=0),'Параметры'!$C$7*C318/365,NA())</x:f>
        <x:v>0.00636986301369863</x:v>
      </x:c>
      <x:c r="J318" s="32" t="n">
        <x:f>J317/(1+I318)</x:f>
        <x:v>0.14319937780913033</x:v>
      </x:c>
      <x:c r="K318" s="33" t="n">
        <x:f>IF(AND(ISNUMBER('Параметры'!$C$8),'Параметры'!$C$8&gt;=0),'Параметры'!$C$8*C318/365,NA())</x:f>
        <x:v>0.00636986301369863</x:v>
      </x:c>
      <x:c r="L318" s="32" t="n">
        <x:f>L317/(1+K318)</x:f>
        <x:v>0.14319937780913033</x:v>
      </x:c>
      <x:c r="M318" s="30" t="n">
        <x:f>E318*L318</x:f>
        <x:v>3325.7711817663776</x:v>
      </x:c>
      <x:c r="N318" s="30" t="n">
        <x:f>F318*L318</x:f>
        <x:v>0</x:v>
      </x:c>
      <x:c r="O318" s="30" t="n">
        <x:f>G318*L318</x:f>
        <x:v>3325.7711817663776</x:v>
      </x:c>
    </x:row>
    <x:row r="319" ht="21" customHeight="1">
      <x:c r="A319" s="28" t="n">
        <x:v>313</x:v>
      </x:c>
      <x:c r="B319" s="29" t="n">
        <x:v>54323</x:v>
      </x:c>
      <x:c r="C319" s="28" t="n">
        <x:f>B319-B318</x:f>
        <x:v>31</x:v>
      </x:c>
      <x:c r="D319" s="30" t="n">
        <x:f>H318</x:f>
        <x:v>3646037.89</x:v>
      </x:c>
      <x:c r="E319" s="30" t="n">
        <x:f>ROUND(D319*I319,2)</x:f>
        <x:v>23224.76</x:v>
      </x:c>
      <x:c r="F319" s="30" t="n">
        <x:f>0</x:f>
        <x:v>0</x:v>
      </x:c>
      <x:c r="G319" s="30" t="n">
        <x:f>ROUND(E319+F319,2)</x:f>
        <x:v>23224.76</x:v>
      </x:c>
      <x:c r="H319" s="30" t="n">
        <x:f>ROUND(D319-F319,2)</x:f>
        <x:v>3646037.89</x:v>
      </x:c>
      <x:c r="I319" s="33" t="n">
        <x:f>IF(AND(ISNUMBER('Параметры'!$C$7),'Параметры'!$C$7&gt;=0),'Параметры'!$C$7*C319/365,NA())</x:f>
        <x:v>0.00636986301369863</x:v>
      </x:c>
      <x:c r="J319" s="32" t="n">
        <x:f>J318/(1+I319)</x:f>
        <x:v>0.1422929909489759</x:v>
      </x:c>
      <x:c r="K319" s="33" t="n">
        <x:f>IF(AND(ISNUMBER('Параметры'!$C$8),'Параметры'!$C$8&gt;=0),'Параметры'!$C$8*C319/365,NA())</x:f>
        <x:v>0.00636986301369863</x:v>
      </x:c>
      <x:c r="L319" s="32" t="n">
        <x:f>L318/(1+K319)</x:f>
        <x:v>0.1422929909489759</x:v>
      </x:c>
      <x:c r="M319" s="30" t="n">
        <x:f>E319*L319</x:f>
        <x:v>3304.7205644721375</x:v>
      </x:c>
      <x:c r="N319" s="30" t="n">
        <x:f>F319*L319</x:f>
        <x:v>0</x:v>
      </x:c>
      <x:c r="O319" s="30" t="n">
        <x:f>G319*L319</x:f>
        <x:v>3304.7205644721375</x:v>
      </x:c>
    </x:row>
    <x:row r="320" ht="21" customHeight="1">
      <x:c r="A320" s="28" t="n">
        <x:v>314</x:v>
      </x:c>
      <x:c r="B320" s="29" t="n">
        <x:v>54353</x:v>
      </x:c>
      <x:c r="C320" s="28" t="n">
        <x:f>B320-B319</x:f>
        <x:v>30</x:v>
      </x:c>
      <x:c r="D320" s="30" t="n">
        <x:f>H319</x:f>
        <x:v>3646037.89</x:v>
      </x:c>
      <x:c r="E320" s="30" t="n">
        <x:f>ROUND(D320*I320,2)</x:f>
        <x:v>22475.58</x:v>
      </x:c>
      <x:c r="F320" s="30" t="n">
        <x:f>0</x:f>
        <x:v>0</x:v>
      </x:c>
      <x:c r="G320" s="30" t="n">
        <x:f>ROUND(E320+F320,2)</x:f>
        <x:v>22475.58</x:v>
      </x:c>
      <x:c r="H320" s="30" t="n">
        <x:f>ROUND(D320-F320,2)</x:f>
        <x:v>3646037.89</x:v>
      </x:c>
      <x:c r="I320" s="33" t="n">
        <x:f>IF(AND(ISNUMBER('Параметры'!$C$7),'Параметры'!$C$7&gt;=0),'Параметры'!$C$7*C320/365,NA())</x:f>
        <x:v>0.0061643835616438354</x:v>
      </x:c>
      <x:c r="J320" s="32" t="n">
        <x:f>J319/(1+I320)</x:f>
        <x:v>0.14142121632777727</x:v>
      </x:c>
      <x:c r="K320" s="33" t="n">
        <x:f>IF(AND(ISNUMBER('Параметры'!$C$8),'Параметры'!$C$8&gt;=0),'Параметры'!$C$8*C320/365,NA())</x:f>
        <x:v>0.0061643835616438354</x:v>
      </x:c>
      <x:c r="L320" s="32" t="n">
        <x:f>L319/(1+K320)</x:f>
        <x:v>0.14142121632777727</x:v>
      </x:c>
      <x:c r="M320" s="30" t="n">
        <x:f>E320*L320</x:f>
        <x:v>3178.523861272264</x:v>
      </x:c>
      <x:c r="N320" s="30" t="n">
        <x:f>F320*L320</x:f>
        <x:v>0</x:v>
      </x:c>
      <x:c r="O320" s="30" t="n">
        <x:f>G320*L320</x:f>
        <x:v>3178.523861272264</x:v>
      </x:c>
    </x:row>
    <x:row r="321" ht="21" customHeight="1">
      <x:c r="A321" s="28" t="n">
        <x:v>315</x:v>
      </x:c>
      <x:c r="B321" s="29" t="n">
        <x:v>54384</x:v>
      </x:c>
      <x:c r="C321" s="28" t="n">
        <x:f>B321-B320</x:f>
        <x:v>31</x:v>
      </x:c>
      <x:c r="D321" s="30" t="n">
        <x:f>H320</x:f>
        <x:v>3646037.89</x:v>
      </x:c>
      <x:c r="E321" s="30" t="n">
        <x:f>ROUND(D321*I321,2)</x:f>
        <x:v>23224.76</x:v>
      </x:c>
      <x:c r="F321" s="30" t="n">
        <x:f>0</x:f>
        <x:v>0</x:v>
      </x:c>
      <x:c r="G321" s="30" t="n">
        <x:f>ROUND(E321+F321,2)</x:f>
        <x:v>23224.76</x:v>
      </x:c>
      <x:c r="H321" s="30" t="n">
        <x:f>ROUND(D321-F321,2)</x:f>
        <x:v>3646037.89</x:v>
      </x:c>
      <x:c r="I321" s="33" t="n">
        <x:f>IF(AND(ISNUMBER('Параметры'!$C$7),'Параметры'!$C$7&gt;=0),'Параметры'!$C$7*C321/365,NA())</x:f>
        <x:v>0.00636986301369863</x:v>
      </x:c>
      <x:c r="J321" s="32" t="n">
        <x:f>J320/(1+I321)</x:f>
        <x:v>0.14052608442016934</x:v>
      </x:c>
      <x:c r="K321" s="33" t="n">
        <x:f>IF(AND(ISNUMBER('Параметры'!$C$8),'Параметры'!$C$8&gt;=0),'Параметры'!$C$8*C321/365,NA())</x:f>
        <x:v>0.00636986301369863</x:v>
      </x:c>
      <x:c r="L321" s="32" t="n">
        <x:f>L320/(1+K321)</x:f>
        <x:v>0.14052608442016934</x:v>
      </x:c>
      <x:c r="M321" s="30" t="n">
        <x:f>E321*L321</x:f>
        <x:v>3263.684584398172</x:v>
      </x:c>
      <x:c r="N321" s="30" t="n">
        <x:f>F321*L321</x:f>
        <x:v>0</x:v>
      </x:c>
      <x:c r="O321" s="30" t="n">
        <x:f>G321*L321</x:f>
        <x:v>3263.684584398172</x:v>
      </x:c>
    </x:row>
    <x:row r="322" ht="21" customHeight="1">
      <x:c r="A322" s="28" t="n">
        <x:v>316</x:v>
      </x:c>
      <x:c r="B322" s="29" t="n">
        <x:v>54414</x:v>
      </x:c>
      <x:c r="C322" s="28" t="n">
        <x:f>B322-B321</x:f>
        <x:v>30</x:v>
      </x:c>
      <x:c r="D322" s="30" t="n">
        <x:f>H321</x:f>
        <x:v>3646037.89</x:v>
      </x:c>
      <x:c r="E322" s="30" t="n">
        <x:f>ROUND(D322*I322,2)</x:f>
        <x:v>22475.58</x:v>
      </x:c>
      <x:c r="F322" s="30" t="n">
        <x:f>0</x:f>
        <x:v>0</x:v>
      </x:c>
      <x:c r="G322" s="30" t="n">
        <x:f>ROUND(E322+F322,2)</x:f>
        <x:v>22475.58</x:v>
      </x:c>
      <x:c r="H322" s="30" t="n">
        <x:f>ROUND(D322-F322,2)</x:f>
        <x:v>3646037.89</x:v>
      </x:c>
      <x:c r="I322" s="33" t="n">
        <x:f>IF(AND(ISNUMBER('Параметры'!$C$7),'Параметры'!$C$7&gt;=0),'Параметры'!$C$7*C322/365,NA())</x:f>
        <x:v>0.0061643835616438354</x:v>
      </x:c>
      <x:c r="J322" s="32" t="n">
        <x:f>J321/(1+I322)</x:f>
        <x:v>0.13966513495809887</x:v>
      </x:c>
      <x:c r="K322" s="33" t="n">
        <x:f>IF(AND(ISNUMBER('Параметры'!$C$8),'Параметры'!$C$8&gt;=0),'Параметры'!$C$8*C322/365,NA())</x:f>
        <x:v>0.0061643835616438354</x:v>
      </x:c>
      <x:c r="L322" s="32" t="n">
        <x:f>L321/(1+K322)</x:f>
        <x:v>0.13966513495809887</x:v>
      </x:c>
      <x:c r="M322" s="30" t="n">
        <x:f>E322*L322</x:f>
        <x:v>3139.054913961548</x:v>
      </x:c>
      <x:c r="N322" s="30" t="n">
        <x:f>F322*L322</x:f>
        <x:v>0</x:v>
      </x:c>
      <x:c r="O322" s="30" t="n">
        <x:f>G322*L322</x:f>
        <x:v>3139.054913961548</x:v>
      </x:c>
    </x:row>
    <x:row r="323" ht="21" customHeight="1">
      <x:c r="A323" s="28" t="n">
        <x:v>317</x:v>
      </x:c>
      <x:c r="B323" s="29" t="n">
        <x:v>54445</x:v>
      </x:c>
      <x:c r="C323" s="28" t="n">
        <x:f>B323-B322</x:f>
        <x:v>31</x:v>
      </x:c>
      <x:c r="D323" s="30" t="n">
        <x:f>H322</x:f>
        <x:v>3646037.89</x:v>
      </x:c>
      <x:c r="E323" s="30" t="n">
        <x:f>ROUND(D323*I323,2)</x:f>
        <x:v>23224.76</x:v>
      </x:c>
      <x:c r="F323" s="30" t="n">
        <x:f>0</x:f>
        <x:v>0</x:v>
      </x:c>
      <x:c r="G323" s="30" t="n">
        <x:f>ROUND(E323+F323,2)</x:f>
        <x:v>23224.76</x:v>
      </x:c>
      <x:c r="H323" s="30" t="n">
        <x:f>ROUND(D323-F323,2)</x:f>
        <x:v>3646037.89</x:v>
      </x:c>
      <x:c r="I323" s="33" t="n">
        <x:f>IF(AND(ISNUMBER('Параметры'!$C$7),'Параметры'!$C$7&gt;=0),'Параметры'!$C$7*C323/365,NA())</x:f>
        <x:v>0.00636986301369863</x:v>
      </x:c>
      <x:c r="J323" s="32" t="n">
        <x:f>J322/(1+I323)</x:f>
        <x:v>0.13878111824598405</x:v>
      </x:c>
      <x:c r="K323" s="33" t="n">
        <x:f>IF(AND(ISNUMBER('Параметры'!$C$8),'Параметры'!$C$8&gt;=0),'Параметры'!$C$8*C323/365,NA())</x:f>
        <x:v>0.00636986301369863</x:v>
      </x:c>
      <x:c r="L323" s="32" t="n">
        <x:f>L322/(1+K323)</x:f>
        <x:v>0.13878111824598405</x:v>
      </x:c>
      <x:c r="M323" s="30" t="n">
        <x:f>E323*L323</x:f>
        <x:v>3223.1581637946</x:v>
      </x:c>
      <x:c r="N323" s="30" t="n">
        <x:f>F323*L323</x:f>
        <x:v>0</x:v>
      </x:c>
      <x:c r="O323" s="30" t="n">
        <x:f>G323*L323</x:f>
        <x:v>3223.1581637946</x:v>
      </x:c>
    </x:row>
    <x:row r="324" ht="21" customHeight="1">
      <x:c r="A324" s="28" t="n">
        <x:v>318</x:v>
      </x:c>
      <x:c r="B324" s="29" t="n">
        <x:v>54476</x:v>
      </x:c>
      <x:c r="C324" s="28" t="n">
        <x:f>B324-B323</x:f>
        <x:v>31</x:v>
      </x:c>
      <x:c r="D324" s="30" t="n">
        <x:f>H323</x:f>
        <x:v>3646037.89</x:v>
      </x:c>
      <x:c r="E324" s="30" t="n">
        <x:f>ROUND(D324*I324,2)</x:f>
        <x:v>23224.76</x:v>
      </x:c>
      <x:c r="F324" s="30" t="n">
        <x:f>0</x:f>
        <x:v>0</x:v>
      </x:c>
      <x:c r="G324" s="30" t="n">
        <x:f>ROUND(E324+F324,2)</x:f>
        <x:v>23224.76</x:v>
      </x:c>
      <x:c r="H324" s="30" t="n">
        <x:f>ROUND(D324-F324,2)</x:f>
        <x:v>3646037.89</x:v>
      </x:c>
      <x:c r="I324" s="33" t="n">
        <x:f>IF(AND(ISNUMBER('Параметры'!$C$7),'Параметры'!$C$7&gt;=0),'Параметры'!$C$7*C324/365,NA())</x:f>
        <x:v>0.00636986301369863</x:v>
      </x:c>
      <x:c r="J324" s="32" t="n">
        <x:f>J323/(1+I324)</x:f>
        <x:v>0.13790269695714744</x:v>
      </x:c>
      <x:c r="K324" s="33" t="n">
        <x:f>IF(AND(ISNUMBER('Параметры'!$C$8),'Параметры'!$C$8&gt;=0),'Параметры'!$C$8*C324/365,NA())</x:f>
        <x:v>0.00636986301369863</x:v>
      </x:c>
      <x:c r="L324" s="32" t="n">
        <x:f>L323/(1+K324)</x:f>
        <x:v>0.13790269695714744</x:v>
      </x:c>
      <x:c r="M324" s="30" t="n">
        <x:f>E324*L324</x:f>
        <x:v>3202.757040182479</x:v>
      </x:c>
      <x:c r="N324" s="30" t="n">
        <x:f>F324*L324</x:f>
        <x:v>0</x:v>
      </x:c>
      <x:c r="O324" s="30" t="n">
        <x:f>G324*L324</x:f>
        <x:v>3202.757040182479</x:v>
      </x:c>
    </x:row>
    <x:row r="325" ht="21" customHeight="1">
      <x:c r="A325" s="28" t="n">
        <x:v>319</x:v>
      </x:c>
      <x:c r="B325" s="29" t="n">
        <x:v>54504</x:v>
      </x:c>
      <x:c r="C325" s="28" t="n">
        <x:f>B325-B324</x:f>
        <x:v>28</x:v>
      </x:c>
      <x:c r="D325" s="30" t="n">
        <x:f>H324</x:f>
        <x:v>3646037.89</x:v>
      </x:c>
      <x:c r="E325" s="30" t="n">
        <x:f>ROUND(D325*I325,2)</x:f>
        <x:v>20977.2</x:v>
      </x:c>
      <x:c r="F325" s="30" t="n">
        <x:f>0</x:f>
        <x:v>0</x:v>
      </x:c>
      <x:c r="G325" s="30" t="n">
        <x:f>ROUND(E325+F325,2)</x:f>
        <x:v>20977.2</x:v>
      </x:c>
      <x:c r="H325" s="30" t="n">
        <x:f>ROUND(D325-F325,2)</x:f>
        <x:v>3646037.89</x:v>
      </x:c>
      <x:c r="I325" s="33" t="n">
        <x:f>IF(AND(ISNUMBER('Параметры'!$C$7),'Параметры'!$C$7&gt;=0),'Параметры'!$C$7*C325/365,NA())</x:f>
        <x:v>0.005753424657534247</x:v>
      </x:c>
      <x:c r="J325" s="32" t="n">
        <x:f>J324/(1+I325)</x:f>
        <x:v>0.1371138229075424</x:v>
      </x:c>
      <x:c r="K325" s="33" t="n">
        <x:f>IF(AND(ISNUMBER('Параметры'!$C$8),'Параметры'!$C$8&gt;=0),'Параметры'!$C$8*C325/365,NA())</x:f>
        <x:v>0.005753424657534247</x:v>
      </x:c>
      <x:c r="L325" s="32" t="n">
        <x:f>L324/(1+K325)</x:f>
        <x:v>0.1371138229075424</x:v>
      </x:c>
      <x:c r="M325" s="30" t="n">
        <x:f>E325*L325</x:f>
        <x:v>2876.2640858960985</x:v>
      </x:c>
      <x:c r="N325" s="30" t="n">
        <x:f>F325*L325</x:f>
        <x:v>0</x:v>
      </x:c>
      <x:c r="O325" s="30" t="n">
        <x:f>G325*L325</x:f>
        <x:v>2876.2640858960985</x:v>
      </x:c>
    </x:row>
    <x:row r="326" ht="21" customHeight="1">
      <x:c r="A326" s="28" t="n">
        <x:v>320</x:v>
      </x:c>
      <x:c r="B326" s="29" t="n">
        <x:v>54535</x:v>
      </x:c>
      <x:c r="C326" s="28" t="n">
        <x:f>B326-B325</x:f>
        <x:v>31</x:v>
      </x:c>
      <x:c r="D326" s="30" t="n">
        <x:f>H325</x:f>
        <x:v>3646037.89</x:v>
      </x:c>
      <x:c r="E326" s="30" t="n">
        <x:f>ROUND(D326*I326,2)</x:f>
        <x:v>23224.76</x:v>
      </x:c>
      <x:c r="F326" s="30" t="n">
        <x:f>0</x:f>
        <x:v>0</x:v>
      </x:c>
      <x:c r="G326" s="30" t="n">
        <x:f>ROUND(E326+F326,2)</x:f>
        <x:v>23224.76</x:v>
      </x:c>
      <x:c r="H326" s="30" t="n">
        <x:f>ROUND(D326-F326,2)</x:f>
        <x:v>3646037.89</x:v>
      </x:c>
      <x:c r="I326" s="33" t="n">
        <x:f>IF(AND(ISNUMBER('Параметры'!$C$7),'Параметры'!$C$7&gt;=0),'Параметры'!$C$7*C326/365,NA())</x:f>
        <x:v>0.00636986301369863</x:v>
      </x:c>
      <x:c r="J326" s="32" t="n">
        <x:f>J325/(1+I326)</x:f>
        <x:v>0.1362459548390471</x:v>
      </x:c>
      <x:c r="K326" s="33" t="n">
        <x:f>IF(AND(ISNUMBER('Параметры'!$C$8),'Параметры'!$C$8&gt;=0),'Параметры'!$C$8*C326/365,NA())</x:f>
        <x:v>0.00636986301369863</x:v>
      </x:c>
      <x:c r="L326" s="32" t="n">
        <x:f>L325/(1+K326)</x:f>
        <x:v>0.1362459548390471</x:v>
      </x:c>
      <x:c r="M326" s="30" t="n">
        <x:f>E326*L326</x:f>
        <x:v>3164.2796021077074</x:v>
      </x:c>
      <x:c r="N326" s="30" t="n">
        <x:f>F326*L326</x:f>
        <x:v>0</x:v>
      </x:c>
      <x:c r="O326" s="30" t="n">
        <x:f>G326*L326</x:f>
        <x:v>3164.2796021077074</x:v>
      </x:c>
    </x:row>
    <x:row r="327" ht="21" customHeight="1">
      <x:c r="A327" s="28" t="n">
        <x:v>321</x:v>
      </x:c>
      <x:c r="B327" s="29" t="n">
        <x:v>54565</x:v>
      </x:c>
      <x:c r="C327" s="28" t="n">
        <x:f>B327-B326</x:f>
        <x:v>30</x:v>
      </x:c>
      <x:c r="D327" s="30" t="n">
        <x:f>H326</x:f>
        <x:v>3646037.89</x:v>
      </x:c>
      <x:c r="E327" s="30" t="n">
        <x:f>ROUND(D327*I327,2)</x:f>
        <x:v>22475.58</x:v>
      </x:c>
      <x:c r="F327" s="30" t="n">
        <x:f>0</x:f>
        <x:v>0</x:v>
      </x:c>
      <x:c r="G327" s="30" t="n">
        <x:f>ROUND(E327+F327,2)</x:f>
        <x:v>22475.58</x:v>
      </x:c>
      <x:c r="H327" s="30" t="n">
        <x:f>ROUND(D327-F327,2)</x:f>
        <x:v>3646037.89</x:v>
      </x:c>
      <x:c r="I327" s="33" t="n">
        <x:f>IF(AND(ISNUMBER('Параметры'!$C$7),'Параметры'!$C$7&gt;=0),'Параметры'!$C$7*C327/365,NA())</x:f>
        <x:v>0.0061643835616438354</x:v>
      </x:c>
      <x:c r="J327" s="32" t="n">
        <x:f>J326/(1+I327)</x:f>
        <x:v>0.13541122809054376</x:v>
      </x:c>
      <x:c r="K327" s="33" t="n">
        <x:f>IF(AND(ISNUMBER('Параметры'!$C$8),'Параметры'!$C$8&gt;=0),'Параметры'!$C$8*C327/365,NA())</x:f>
        <x:v>0.0061643835616438354</x:v>
      </x:c>
      <x:c r="L327" s="32" t="n">
        <x:f>L326/(1+K327)</x:f>
        <x:v>0.13541122809054376</x:v>
      </x:c>
      <x:c r="M327" s="30" t="n">
        <x:f>E327*L327</x:f>
        <x:v>3043.445889847264</x:v>
      </x:c>
      <x:c r="N327" s="30" t="n">
        <x:f>F327*L327</x:f>
        <x:v>0</x:v>
      </x:c>
      <x:c r="O327" s="30" t="n">
        <x:f>G327*L327</x:f>
        <x:v>3043.445889847264</x:v>
      </x:c>
    </x:row>
    <x:row r="328" ht="21" customHeight="1">
      <x:c r="A328" s="28" t="n">
        <x:v>322</x:v>
      </x:c>
      <x:c r="B328" s="29" t="n">
        <x:v>54596</x:v>
      </x:c>
      <x:c r="C328" s="28" t="n">
        <x:f>B328-B327</x:f>
        <x:v>31</x:v>
      </x:c>
      <x:c r="D328" s="30" t="n">
        <x:f>H327</x:f>
        <x:v>3646037.89</x:v>
      </x:c>
      <x:c r="E328" s="30" t="n">
        <x:f>ROUND(D328*I328,2)</x:f>
        <x:v>23224.76</x:v>
      </x:c>
      <x:c r="F328" s="30" t="n">
        <x:f>0</x:f>
        <x:v>0</x:v>
      </x:c>
      <x:c r="G328" s="30" t="n">
        <x:f>ROUND(E328+F328,2)</x:f>
        <x:v>23224.76</x:v>
      </x:c>
      <x:c r="H328" s="30" t="n">
        <x:f>ROUND(D328-F328,2)</x:f>
        <x:v>3646037.89</x:v>
      </x:c>
      <x:c r="I328" s="33" t="n">
        <x:f>IF(AND(ISNUMBER('Параметры'!$C$7),'Параметры'!$C$7&gt;=0),'Параметры'!$C$7*C328/365,NA())</x:f>
        <x:v>0.00636986301369863</x:v>
      </x:c>
      <x:c r="J328" s="32" t="n">
        <x:f>J327/(1+I328)</x:f>
        <x:v>0.13455413667201654</x:v>
      </x:c>
      <x:c r="K328" s="33" t="n">
        <x:f>IF(AND(ISNUMBER('Параметры'!$C$8),'Параметры'!$C$8&gt;=0),'Параметры'!$C$8*C328/365,NA())</x:f>
        <x:v>0.00636986301369863</x:v>
      </x:c>
      <x:c r="L328" s="32" t="n">
        <x:f>L327/(1+K328)</x:f>
        <x:v>0.13455413667201654</x:v>
      </x:c>
      <x:c r="M328" s="30" t="n">
        <x:f>E328*L328</x:f>
        <x:v>3124.987531214783</x:v>
      </x:c>
      <x:c r="N328" s="30" t="n">
        <x:f>F328*L328</x:f>
        <x:v>0</x:v>
      </x:c>
      <x:c r="O328" s="30" t="n">
        <x:f>G328*L328</x:f>
        <x:v>3124.987531214783</x:v>
      </x:c>
    </x:row>
    <x:row r="329" ht="21" customHeight="1">
      <x:c r="A329" s="28" t="n">
        <x:v>323</x:v>
      </x:c>
      <x:c r="B329" s="29" t="n">
        <x:v>54626</x:v>
      </x:c>
      <x:c r="C329" s="28" t="n">
        <x:f>B329-B328</x:f>
        <x:v>30</x:v>
      </x:c>
      <x:c r="D329" s="30" t="n">
        <x:f>H328</x:f>
        <x:v>3646037.89</x:v>
      </x:c>
      <x:c r="E329" s="30" t="n">
        <x:f>ROUND(D329*I329,2)</x:f>
        <x:v>22475.58</x:v>
      </x:c>
      <x:c r="F329" s="30" t="n">
        <x:f>0</x:f>
        <x:v>0</x:v>
      </x:c>
      <x:c r="G329" s="30" t="n">
        <x:f>ROUND(E329+F329,2)</x:f>
        <x:v>22475.58</x:v>
      </x:c>
      <x:c r="H329" s="30" t="n">
        <x:f>ROUND(D329-F329,2)</x:f>
        <x:v>3646037.89</x:v>
      </x:c>
      <x:c r="I329" s="33" t="n">
        <x:f>IF(AND(ISNUMBER('Параметры'!$C$7),'Параметры'!$C$7&gt;=0),'Параметры'!$C$7*C329/365,NA())</x:f>
        <x:v>0.0061643835616438354</x:v>
      </x:c>
      <x:c r="J329" s="32" t="n">
        <x:f>J328/(1+I329)</x:f>
        <x:v>0.13372977504502664</x:v>
      </x:c>
      <x:c r="K329" s="33" t="n">
        <x:f>IF(AND(ISNUMBER('Параметры'!$C$8),'Параметры'!$C$8&gt;=0),'Параметры'!$C$8*C329/365,NA())</x:f>
        <x:v>0.0061643835616438354</x:v>
      </x:c>
      <x:c r="L329" s="32" t="n">
        <x:f>L328/(1+K329)</x:f>
        <x:v>0.13372977504502664</x:v>
      </x:c>
      <x:c r="M329" s="30" t="n">
        <x:f>E329*L329</x:f>
        <x:v>3005.6542574065</x:v>
      </x:c>
      <x:c r="N329" s="30" t="n">
        <x:f>F329*L329</x:f>
        <x:v>0</x:v>
      </x:c>
      <x:c r="O329" s="30" t="n">
        <x:f>G329*L329</x:f>
        <x:v>3005.6542574065</x:v>
      </x:c>
    </x:row>
    <x:row r="330" ht="21" customHeight="1">
      <x:c r="A330" s="28" t="n">
        <x:v>324</x:v>
      </x:c>
      <x:c r="B330" s="29" t="n">
        <x:v>54657</x:v>
      </x:c>
      <x:c r="C330" s="28" t="n">
        <x:f>B330-B329</x:f>
        <x:v>31</x:v>
      </x:c>
      <x:c r="D330" s="30" t="n">
        <x:f>H329</x:f>
        <x:v>3646037.89</x:v>
      </x:c>
      <x:c r="E330" s="30" t="n">
        <x:f>ROUND(D330*I330,2)</x:f>
        <x:v>23224.76</x:v>
      </x:c>
      <x:c r="F330" s="30" t="n">
        <x:f>0</x:f>
        <x:v>0</x:v>
      </x:c>
      <x:c r="G330" s="30" t="n">
        <x:f>ROUND(E330+F330,2)</x:f>
        <x:v>23224.76</x:v>
      </x:c>
      <x:c r="H330" s="30" t="n">
        <x:f>ROUND(D330-F330,2)</x:f>
        <x:v>3646037.89</x:v>
      </x:c>
      <x:c r="I330" s="33" t="n">
        <x:f>IF(AND(ISNUMBER('Параметры'!$C$7),'Параметры'!$C$7&gt;=0),'Параметры'!$C$7*C330/365,NA())</x:f>
        <x:v>0.00636986301369863</x:v>
      </x:c>
      <x:c r="J330" s="32" t="n">
        <x:f>J329/(1+I330)</x:f>
        <x:v>0.13288332645868026</x:v>
      </x:c>
      <x:c r="K330" s="33" t="n">
        <x:f>IF(AND(ISNUMBER('Параметры'!$C$8),'Параметры'!$C$8&gt;=0),'Параметры'!$C$8*C330/365,NA())</x:f>
        <x:v>0.00636986301369863</x:v>
      </x:c>
      <x:c r="L330" s="32" t="n">
        <x:f>L329/(1+K330)</x:f>
        <x:v>0.13288332645868026</x:v>
      </x:c>
      <x:c r="M330" s="30" t="n">
        <x:f>E330*L330</x:f>
        <x:v>3086.1833650044987</x:v>
      </x:c>
      <x:c r="N330" s="30" t="n">
        <x:f>F330*L330</x:f>
        <x:v>0</x:v>
      </x:c>
      <x:c r="O330" s="30" t="n">
        <x:f>G330*L330</x:f>
        <x:v>3086.1833650044987</x:v>
      </x:c>
    </x:row>
    <x:row r="331" ht="21" customHeight="1">
      <x:c r="A331" s="28" t="n">
        <x:v>325</x:v>
      </x:c>
      <x:c r="B331" s="29" t="n">
        <x:v>54688</x:v>
      </x:c>
      <x:c r="C331" s="28" t="n">
        <x:f>B331-B330</x:f>
        <x:v>31</x:v>
      </x:c>
      <x:c r="D331" s="30" t="n">
        <x:f>H330</x:f>
        <x:v>3646037.89</x:v>
      </x:c>
      <x:c r="E331" s="30" t="n">
        <x:f>ROUND(D331*I331,2)</x:f>
        <x:v>23224.76</x:v>
      </x:c>
      <x:c r="F331" s="30" t="n">
        <x:f>0</x:f>
        <x:v>0</x:v>
      </x:c>
      <x:c r="G331" s="30" t="n">
        <x:f>ROUND(E331+F331,2)</x:f>
        <x:v>23224.76</x:v>
      </x:c>
      <x:c r="H331" s="30" t="n">
        <x:f>ROUND(D331-F331,2)</x:f>
        <x:v>3646037.89</x:v>
      </x:c>
      <x:c r="I331" s="33" t="n">
        <x:f>IF(AND(ISNUMBER('Параметры'!$C$7),'Параметры'!$C$7&gt;=0),'Параметры'!$C$7*C331/365,NA())</x:f>
        <x:v>0.00636986301369863</x:v>
      </x:c>
      <x:c r="J331" s="32" t="n">
        <x:f>J330/(1+I331)</x:f>
        <x:v>0.13204223550648145</x:v>
      </x:c>
      <x:c r="K331" s="33" t="n">
        <x:f>IF(AND(ISNUMBER('Параметры'!$C$8),'Параметры'!$C$8&gt;=0),'Параметры'!$C$8*C331/365,NA())</x:f>
        <x:v>0.00636986301369863</x:v>
      </x:c>
      <x:c r="L331" s="32" t="n">
        <x:f>L330/(1+K331)</x:f>
        <x:v>0.13204223550648145</x:v>
      </x:c>
      <x:c r="M331" s="30" t="n">
        <x:f>E331*L331</x:f>
        <x:v>3066.64922950151</x:v>
      </x:c>
      <x:c r="N331" s="30" t="n">
        <x:f>F331*L331</x:f>
        <x:v>0</x:v>
      </x:c>
      <x:c r="O331" s="30" t="n">
        <x:f>G331*L331</x:f>
        <x:v>3066.64922950151</x:v>
      </x:c>
    </x:row>
    <x:row r="332" ht="21" customHeight="1">
      <x:c r="A332" s="28" t="n">
        <x:v>326</x:v>
      </x:c>
      <x:c r="B332" s="29" t="n">
        <x:v>54718</x:v>
      </x:c>
      <x:c r="C332" s="28" t="n">
        <x:f>B332-B331</x:f>
        <x:v>30</x:v>
      </x:c>
      <x:c r="D332" s="30" t="n">
        <x:f>H331</x:f>
        <x:v>3646037.89</x:v>
      </x:c>
      <x:c r="E332" s="30" t="n">
        <x:f>ROUND(D332*I332,2)</x:f>
        <x:v>22475.58</x:v>
      </x:c>
      <x:c r="F332" s="30" t="n">
        <x:f>0</x:f>
        <x:v>0</x:v>
      </x:c>
      <x:c r="G332" s="30" t="n">
        <x:f>ROUND(E332+F332,2)</x:f>
        <x:v>22475.58</x:v>
      </x:c>
      <x:c r="H332" s="30" t="n">
        <x:f>ROUND(D332-F332,2)</x:f>
        <x:v>3646037.89</x:v>
      </x:c>
      <x:c r="I332" s="33" t="n">
        <x:f>IF(AND(ISNUMBER('Параметры'!$C$7),'Параметры'!$C$7&gt;=0),'Параметры'!$C$7*C332/365,NA())</x:f>
        <x:v>0.0061643835616438354</x:v>
      </x:c>
      <x:c r="J332" s="32" t="n">
        <x:f>J331/(1+I332)</x:f>
        <x:v>0.13123326333523683</x:v>
      </x:c>
      <x:c r="K332" s="33" t="n">
        <x:f>IF(AND(ISNUMBER('Параметры'!$C$8),'Параметры'!$C$8&gt;=0),'Параметры'!$C$8*C332/365,NA())</x:f>
        <x:v>0.0061643835616438354</x:v>
      </x:c>
      <x:c r="L332" s="32" t="n">
        <x:f>L331/(1+K332)</x:f>
        <x:v>0.13123326333523683</x:v>
      </x:c>
      <x:c r="M332" s="30" t="n">
        <x:f>E332*L332</x:f>
        <x:v>2949.5437087521823</x:v>
      </x:c>
      <x:c r="N332" s="30" t="n">
        <x:f>F332*L332</x:f>
        <x:v>0</x:v>
      </x:c>
      <x:c r="O332" s="30" t="n">
        <x:f>G332*L332</x:f>
        <x:v>2949.5437087521823</x:v>
      </x:c>
    </x:row>
    <x:row r="333" ht="21" customHeight="1">
      <x:c r="A333" s="28" t="n">
        <x:v>327</x:v>
      </x:c>
      <x:c r="B333" s="29" t="n">
        <x:v>54749</x:v>
      </x:c>
      <x:c r="C333" s="28" t="n">
        <x:f>B333-B332</x:f>
        <x:v>31</x:v>
      </x:c>
      <x:c r="D333" s="30" t="n">
        <x:f>H332</x:f>
        <x:v>3646037.89</x:v>
      </x:c>
      <x:c r="E333" s="30" t="n">
        <x:f>ROUND(D333*I333,2)</x:f>
        <x:v>23224.76</x:v>
      </x:c>
      <x:c r="F333" s="30" t="n">
        <x:f>0</x:f>
        <x:v>0</x:v>
      </x:c>
      <x:c r="G333" s="30" t="n">
        <x:f>ROUND(E333+F333,2)</x:f>
        <x:v>23224.76</x:v>
      </x:c>
      <x:c r="H333" s="30" t="n">
        <x:f>ROUND(D333-F333,2)</x:f>
        <x:v>3646037.89</x:v>
      </x:c>
      <x:c r="I333" s="33" t="n">
        <x:f>IF(AND(ISNUMBER('Параметры'!$C$7),'Параметры'!$C$7&gt;=0),'Параметры'!$C$7*C333/365,NA())</x:f>
        <x:v>0.00636986301369863</x:v>
      </x:c>
      <x:c r="J333" s="32" t="n">
        <x:f>J332/(1+I333)</x:f>
        <x:v>0.13040261653130455</x:v>
      </x:c>
      <x:c r="K333" s="33" t="n">
        <x:f>IF(AND(ISNUMBER('Параметры'!$C$8),'Параметры'!$C$8&gt;=0),'Параметры'!$C$8*C333/365,NA())</x:f>
        <x:v>0.00636986301369863</x:v>
      </x:c>
      <x:c r="L333" s="32" t="n">
        <x:f>L332/(1+K333)</x:f>
        <x:v>0.13040261653130455</x:v>
      </x:c>
      <x:c r="M333" s="30" t="n">
        <x:f>E333*L333</x:f>
        <x:v>3028.5694723115807</x:v>
      </x:c>
      <x:c r="N333" s="30" t="n">
        <x:f>F333*L333</x:f>
        <x:v>0</x:v>
      </x:c>
      <x:c r="O333" s="30" t="n">
        <x:f>G333*L333</x:f>
        <x:v>3028.5694723115807</x:v>
      </x:c>
    </x:row>
    <x:row r="334" ht="21" customHeight="1">
      <x:c r="A334" s="28" t="n">
        <x:v>328</x:v>
      </x:c>
      <x:c r="B334" s="29" t="n">
        <x:v>54779</x:v>
      </x:c>
      <x:c r="C334" s="28" t="n">
        <x:f>B334-B333</x:f>
        <x:v>30</x:v>
      </x:c>
      <x:c r="D334" s="30" t="n">
        <x:f>H333</x:f>
        <x:v>3646037.89</x:v>
      </x:c>
      <x:c r="E334" s="30" t="n">
        <x:f>ROUND(D334*I334,2)</x:f>
        <x:v>22475.58</x:v>
      </x:c>
      <x:c r="F334" s="30" t="n">
        <x:f>0</x:f>
        <x:v>0</x:v>
      </x:c>
      <x:c r="G334" s="30" t="n">
        <x:f>ROUND(E334+F334,2)</x:f>
        <x:v>22475.58</x:v>
      </x:c>
      <x:c r="H334" s="30" t="n">
        <x:f>ROUND(D334-F334,2)</x:f>
        <x:v>3646037.89</x:v>
      </x:c>
      <x:c r="I334" s="33" t="n">
        <x:f>IF(AND(ISNUMBER('Параметры'!$C$7),'Параметры'!$C$7&gt;=0),'Параметры'!$C$7*C334/365,NA())</x:f>
        <x:v>0.0061643835616438354</x:v>
      </x:c>
      <x:c r="J334" s="32" t="n">
        <x:f>J333/(1+I334)</x:f>
        <x:v>0.12960368967713046</x:v>
      </x:c>
      <x:c r="K334" s="33" t="n">
        <x:f>IF(AND(ISNUMBER('Параметры'!$C$8),'Параметры'!$C$8&gt;=0),'Параметры'!$C$8*C334/365,NA())</x:f>
        <x:v>0.0061643835616438354</x:v>
      </x:c>
      <x:c r="L334" s="32" t="n">
        <x:f>L333/(1+K334)</x:f>
        <x:v>0.12960368967713046</x:v>
      </x:c>
      <x:c r="M334" s="30" t="n">
        <x:f>E334*L334</x:f>
        <x:v>2912.91809563352</x:v>
      </x:c>
      <x:c r="N334" s="30" t="n">
        <x:f>F334*L334</x:f>
        <x:v>0</x:v>
      </x:c>
      <x:c r="O334" s="30" t="n">
        <x:f>G334*L334</x:f>
        <x:v>2912.91809563352</x:v>
      </x:c>
    </x:row>
    <x:row r="335" ht="21" customHeight="1">
      <x:c r="A335" s="28" t="n">
        <x:v>329</x:v>
      </x:c>
      <x:c r="B335" s="29" t="n">
        <x:v>54810</x:v>
      </x:c>
      <x:c r="C335" s="28" t="n">
        <x:f>B335-B334</x:f>
        <x:v>31</x:v>
      </x:c>
      <x:c r="D335" s="30" t="n">
        <x:f>H334</x:f>
        <x:v>3646037.89</x:v>
      </x:c>
      <x:c r="E335" s="30" t="n">
        <x:f>ROUND(D335*I335,2)</x:f>
        <x:v>23224.76</x:v>
      </x:c>
      <x:c r="F335" s="30" t="n">
        <x:f>0</x:f>
        <x:v>0</x:v>
      </x:c>
      <x:c r="G335" s="30" t="n">
        <x:f>ROUND(E335+F335,2)</x:f>
        <x:v>23224.76</x:v>
      </x:c>
      <x:c r="H335" s="30" t="n">
        <x:f>ROUND(D335-F335,2)</x:f>
        <x:v>3646037.89</x:v>
      </x:c>
      <x:c r="I335" s="33" t="n">
        <x:f>IF(AND(ISNUMBER('Параметры'!$C$7),'Параметры'!$C$7&gt;=0),'Параметры'!$C$7*C335/365,NA())</x:f>
        <x:v>0.00636986301369863</x:v>
      </x:c>
      <x:c r="J335" s="32" t="n">
        <x:f>J334/(1+I335)</x:f>
        <x:v>0.12878335733247837</x:v>
      </x:c>
      <x:c r="K335" s="33" t="n">
        <x:f>IF(AND(ISNUMBER('Параметры'!$C$8),'Параметры'!$C$8&gt;=0),'Параметры'!$C$8*C335/365,NA())</x:f>
        <x:v>0.00636986301369863</x:v>
      </x:c>
      <x:c r="L335" s="32" t="n">
        <x:f>L334/(1+K335)</x:f>
        <x:v>0.12878335733247837</x:v>
      </x:c>
      <x:c r="M335" s="30" t="n">
        <x:f>E335*L335</x:f>
        <x:v>2990.96256604105</x:v>
      </x:c>
      <x:c r="N335" s="30" t="n">
        <x:f>F335*L335</x:f>
        <x:v>0</x:v>
      </x:c>
      <x:c r="O335" s="30" t="n">
        <x:f>G335*L335</x:f>
        <x:v>2990.96256604105</x:v>
      </x:c>
    </x:row>
    <x:row r="336" ht="21" customHeight="1">
      <x:c r="A336" s="28" t="n">
        <x:v>330</x:v>
      </x:c>
      <x:c r="B336" s="29" t="n">
        <x:v>54841</x:v>
      </x:c>
      <x:c r="C336" s="28" t="n">
        <x:f>B336-B335</x:f>
        <x:v>31</x:v>
      </x:c>
      <x:c r="D336" s="30" t="n">
        <x:f>H335</x:f>
        <x:v>3646037.89</x:v>
      </x:c>
      <x:c r="E336" s="30" t="n">
        <x:f>ROUND(D336*I336,2)</x:f>
        <x:v>23224.76</x:v>
      </x:c>
      <x:c r="F336" s="30" t="n">
        <x:f>0</x:f>
        <x:v>0</x:v>
      </x:c>
      <x:c r="G336" s="30" t="n">
        <x:f>ROUND(E336+F336,2)</x:f>
        <x:v>23224.76</x:v>
      </x:c>
      <x:c r="H336" s="30" t="n">
        <x:f>ROUND(D336-F336,2)</x:f>
        <x:v>3646037.89</x:v>
      </x:c>
      <x:c r="I336" s="33" t="n">
        <x:f>IF(AND(ISNUMBER('Параметры'!$C$7),'Параметры'!$C$7&gt;=0),'Параметры'!$C$7*C336/365,NA())</x:f>
        <x:v>0.00636986301369863</x:v>
      </x:c>
      <x:c r="J336" s="32" t="n">
        <x:f>J335/(1+I336)</x:f>
        <x:v>0.12796821731805513</x:v>
      </x:c>
      <x:c r="K336" s="33" t="n">
        <x:f>IF(AND(ISNUMBER('Параметры'!$C$8),'Параметры'!$C$8&gt;=0),'Параметры'!$C$8*C336/365,NA())</x:f>
        <x:v>0.00636986301369863</x:v>
      </x:c>
      <x:c r="L336" s="32" t="n">
        <x:f>L335/(1+K336)</x:f>
        <x:v>0.12796821731805513</x:v>
      </x:c>
      <x:c r="M336" s="30" t="n">
        <x:f>E336*L336</x:f>
        <x:v>2972.031134839674</x:v>
      </x:c>
      <x:c r="N336" s="30" t="n">
        <x:f>F336*L336</x:f>
        <x:v>0</x:v>
      </x:c>
      <x:c r="O336" s="30" t="n">
        <x:f>G336*L336</x:f>
        <x:v>2972.031134839674</x:v>
      </x:c>
    </x:row>
    <x:row r="337" ht="21" customHeight="1">
      <x:c r="A337" s="28" t="n">
        <x:v>331</x:v>
      </x:c>
      <x:c r="B337" s="29" t="n">
        <x:v>54869</x:v>
      </x:c>
      <x:c r="C337" s="28" t="n">
        <x:f>B337-B336</x:f>
        <x:v>28</x:v>
      </x:c>
      <x:c r="D337" s="30" t="n">
        <x:f>H336</x:f>
        <x:v>3646037.89</x:v>
      </x:c>
      <x:c r="E337" s="30" t="n">
        <x:f>ROUND(D337*I337,2)</x:f>
        <x:v>20977.2</x:v>
      </x:c>
      <x:c r="F337" s="30" t="n">
        <x:f>0</x:f>
        <x:v>0</x:v>
      </x:c>
      <x:c r="G337" s="30" t="n">
        <x:f>ROUND(E337+F337,2)</x:f>
        <x:v>20977.2</x:v>
      </x:c>
      <x:c r="H337" s="30" t="n">
        <x:f>ROUND(D337-F337,2)</x:f>
        <x:v>3646037.89</x:v>
      </x:c>
      <x:c r="I337" s="33" t="n">
        <x:f>IF(AND(ISNUMBER('Параметры'!$C$7),'Параметры'!$C$7&gt;=0),'Параметры'!$C$7*C337/365,NA())</x:f>
        <x:v>0.005753424657534247</x:v>
      </x:c>
      <x:c r="J337" s="32" t="n">
        <x:f>J336/(1+I337)</x:f>
        <x:v>0.12723617357965167</x:v>
      </x:c>
      <x:c r="K337" s="33" t="n">
        <x:f>IF(AND(ISNUMBER('Параметры'!$C$8),'Параметры'!$C$8&gt;=0),'Параметры'!$C$8*C337/365,NA())</x:f>
        <x:v>0.005753424657534247</x:v>
      </x:c>
      <x:c r="L337" s="32" t="n">
        <x:f>L336/(1+K337)</x:f>
        <x:v>0.12723617357965167</x:v>
      </x:c>
      <x:c r="M337" s="30" t="n">
        <x:f>E337*L337</x:f>
        <x:v>2669.058660415069</x:v>
      </x:c>
      <x:c r="N337" s="30" t="n">
        <x:f>F337*L337</x:f>
        <x:v>0</x:v>
      </x:c>
      <x:c r="O337" s="30" t="n">
        <x:f>G337*L337</x:f>
        <x:v>2669.058660415069</x:v>
      </x:c>
    </x:row>
    <x:row r="338" ht="21" customHeight="1">
      <x:c r="A338" s="28" t="n">
        <x:v>332</x:v>
      </x:c>
      <x:c r="B338" s="29" t="n">
        <x:v>54900</x:v>
      </x:c>
      <x:c r="C338" s="28" t="n">
        <x:f>B338-B337</x:f>
        <x:v>31</x:v>
      </x:c>
      <x:c r="D338" s="30" t="n">
        <x:f>H337</x:f>
        <x:v>3646037.89</x:v>
      </x:c>
      <x:c r="E338" s="30" t="n">
        <x:f>ROUND(D338*I338,2)</x:f>
        <x:v>23224.76</x:v>
      </x:c>
      <x:c r="F338" s="30" t="n">
        <x:f>0</x:f>
        <x:v>0</x:v>
      </x:c>
      <x:c r="G338" s="30" t="n">
        <x:f>ROUND(E338+F338,2)</x:f>
        <x:v>23224.76</x:v>
      </x:c>
      <x:c r="H338" s="30" t="n">
        <x:f>ROUND(D338-F338,2)</x:f>
        <x:v>3646037.89</x:v>
      </x:c>
      <x:c r="I338" s="33" t="n">
        <x:f>IF(AND(ISNUMBER('Параметры'!$C$7),'Параметры'!$C$7&gt;=0),'Параметры'!$C$7*C338/365,NA())</x:f>
        <x:v>0.00636986301369863</x:v>
      </x:c>
      <x:c r="J338" s="32" t="n">
        <x:f>J337/(1+I338)</x:f>
        <x:v>0.1264308265339219</x:v>
      </x:c>
      <x:c r="K338" s="33" t="n">
        <x:f>IF(AND(ISNUMBER('Параметры'!$C$8),'Параметры'!$C$8&gt;=0),'Параметры'!$C$8*C338/365,NA())</x:f>
        <x:v>0.00636986301369863</x:v>
      </x:c>
      <x:c r="L338" s="32" t="n">
        <x:f>L337/(1+K338)</x:f>
        <x:v>0.1264308265339219</x:v>
      </x:c>
      <x:c r="M338" s="30" t="n">
        <x:f>E338*L338</x:f>
        <x:v>2936.3256028519677</x:v>
      </x:c>
      <x:c r="N338" s="30" t="n">
        <x:f>F338*L338</x:f>
        <x:v>0</x:v>
      </x:c>
      <x:c r="O338" s="30" t="n">
        <x:f>G338*L338</x:f>
        <x:v>2936.3256028519677</x:v>
      </x:c>
    </x:row>
    <x:row r="339" ht="21" customHeight="1">
      <x:c r="A339" s="28" t="n">
        <x:v>333</x:v>
      </x:c>
      <x:c r="B339" s="29" t="n">
        <x:v>54930</x:v>
      </x:c>
      <x:c r="C339" s="28" t="n">
        <x:f>B339-B338</x:f>
        <x:v>30</x:v>
      </x:c>
      <x:c r="D339" s="30" t="n">
        <x:f>H338</x:f>
        <x:v>3646037.89</x:v>
      </x:c>
      <x:c r="E339" s="30" t="n">
        <x:f>ROUND(D339*I339,2)</x:f>
        <x:v>22475.58</x:v>
      </x:c>
      <x:c r="F339" s="30" t="n">
        <x:f>0</x:f>
        <x:v>0</x:v>
      </x:c>
      <x:c r="G339" s="30" t="n">
        <x:f>ROUND(E339+F339,2)</x:f>
        <x:v>22475.58</x:v>
      </x:c>
      <x:c r="H339" s="30" t="n">
        <x:f>ROUND(D339-F339,2)</x:f>
        <x:v>3646037.89</x:v>
      </x:c>
      <x:c r="I339" s="33" t="n">
        <x:f>IF(AND(ISNUMBER('Параметры'!$C$7),'Параметры'!$C$7&gt;=0),'Параметры'!$C$7*C339/365,NA())</x:f>
        <x:v>0.0061643835616438354</x:v>
      </x:c>
      <x:c r="J339" s="32" t="n">
        <x:f>J338/(1+I339)</x:f>
        <x:v>0.1256562333148577</x:v>
      </x:c>
      <x:c r="K339" s="33" t="n">
        <x:f>IF(AND(ISNUMBER('Параметры'!$C$8),'Параметры'!$C$8&gt;=0),'Параметры'!$C$8*C339/365,NA())</x:f>
        <x:v>0.0061643835616438354</x:v>
      </x:c>
      <x:c r="L339" s="32" t="n">
        <x:f>L338/(1+K339)</x:f>
        <x:v>0.1256562333148577</x:v>
      </x:c>
      <x:c r="M339" s="30" t="n">
        <x:f>E339*L339</x:f>
        <x:v>2824.1967243667495</x:v>
      </x:c>
      <x:c r="N339" s="30" t="n">
        <x:f>F339*L339</x:f>
        <x:v>0</x:v>
      </x:c>
      <x:c r="O339" s="30" t="n">
        <x:f>G339*L339</x:f>
        <x:v>2824.1967243667495</x:v>
      </x:c>
    </x:row>
    <x:row r="340" ht="21" customHeight="1">
      <x:c r="A340" s="28" t="n">
        <x:v>334</x:v>
      </x:c>
      <x:c r="B340" s="29" t="n">
        <x:v>54954</x:v>
      </x:c>
      <x:c r="C340" s="28" t="n">
        <x:f>B340-B339</x:f>
        <x:v>24</x:v>
      </x:c>
      <x:c r="D340" s="37" t="n">
        <x:f>H339</x:f>
        <x:v>3646037.89</x:v>
      </x:c>
      <x:c r="E340" s="37" t="n">
        <x:f>ROUND(D340*I340,2)</x:f>
        <x:v>17980.46</x:v>
      </x:c>
      <x:c r="F340" s="37" t="n">
        <x:f>D340</x:f>
        <x:v>3646037.89</x:v>
      </x:c>
      <x:c r="G340" s="37" t="n">
        <x:f>ROUND(E340+F340,2)</x:f>
        <x:v>3664018.35</x:v>
      </x:c>
      <x:c r="H340" s="37" t="n">
        <x:f>ROUND(D340-F340,2)</x:f>
        <x:v>0</x:v>
      </x:c>
      <x:c r="I340" s="38" t="n">
        <x:f>IF(AND(ISNUMBER('Параметры'!$C$7),'Параметры'!$C$7&gt;=0),'Параметры'!$C$7*C340/365,NA())</x:f>
        <x:v>0.004931506849315068</x:v>
      </x:c>
      <x:c r="J340" s="39" t="n">
        <x:f>J339/(1+I340)</x:f>
        <x:v>0.1250395996726365</x:v>
      </x:c>
      <x:c r="K340" s="38" t="n">
        <x:f>IF(AND(ISNUMBER('Параметры'!$C$8),'Параметры'!$C$8&gt;=0),'Параметры'!$C$8*C340/365,NA())</x:f>
        <x:v>0.004931506849315068</x:v>
      </x:c>
      <x:c r="L340" s="39" t="n">
        <x:f>L339/(1+K340)</x:f>
        <x:v>0.1250395996726365</x:v>
      </x:c>
      <x:c r="M340" s="37" t="n">
        <x:f>E340*L340</x:f>
        <x:v>2248.2695203298535</x:v>
      </x:c>
      <x:c r="N340" s="37" t="n">
        <x:f>F340*L340</x:f>
        <x:v>455899.1181568643</x:v>
      </x:c>
      <x:c r="O340" s="37" t="n">
        <x:f>G340*L340</x:f>
        <x:v>458147.38767719414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7" hidden="0" customWidth="1"/>
    <x:col min="2" max="2" width="14" hidden="0" customWidth="1"/>
    <x:col min="3" max="3" width="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8" hidden="0" customWidth="1"/>
    <x:col min="14" max="14" width="18" hidden="0" customWidth="1"/>
    <x:col min="15" max="15" width="18" hidden="0" customWidth="1"/>
  </x:cols>
  <x:sheetData>
    <x:row r="1" ht="21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28" customHeight="1">
      <x:c r="A2" s="2"/>
      <x:c r="B2" s="4" t="str">
        <x:v>RGM — график и приведённая стоимость</x:v>
      </x:c>
      <x:c r="C2" s="5"/>
      <x:c r="D2" s="5"/>
      <x:c r="E2" s="5"/>
      <x:c r="F2" s="5"/>
      <x:c r="G2" s="5"/>
      <x:c r="H2" s="5"/>
      <x:c r="I2" s="5"/>
      <x:c r="J2" s="5"/>
      <x:c r="K2" s="5"/>
      <x:c r="L2" s="2"/>
      <x:c r="M2" s="2"/>
      <x:c r="N2" s="2"/>
      <x:c r="O2" s="2"/>
    </x:row>
    <x:row r="3" ht="21" customHeight="1">
      <x:c r="A3" s="2"/>
      <x:c r="B3" s="2" t="str">
        <x:v>Суммы в RUB; ACT/365F; деньги округлены до копеек.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ht="21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 ht="36" customHeight="1">
      <x:c r="A5" s="13" t="str">
        <x:v>№</x:v>
      </x:c>
      <x:c r="B5" s="25" t="str">
        <x:v>Дата</x:v>
      </x:c>
      <x:c r="C5" s="25" t="str">
        <x:v>Дней</x:v>
      </x:c>
      <x:c r="D5" s="25" t="str">
        <x:v>Долг до</x:v>
      </x:c>
      <x:c r="E5" s="25" t="str">
        <x:v>Проценты</x:v>
      </x:c>
      <x:c r="F5" s="25" t="str">
        <x:v>Тело</x:v>
      </x:c>
      <x:c r="G5" s="25" t="str">
        <x:v>Платёж</x:v>
      </x:c>
      <x:c r="H5" s="25" t="str">
        <x:v>Долг после</x:v>
      </x:c>
      <x:c r="I5" s="25" t="str">
        <x:v>Ставка кредита за период</x:v>
      </x:c>
      <x:c r="J5" s="25" t="str">
        <x:v>DF кредита</x:v>
      </x:c>
      <x:c r="K5" s="25" t="str">
        <x:v>Ставка дисконта за период</x:v>
      </x:c>
      <x:c r="L5" s="25" t="str">
        <x:v>DF дисконта</x:v>
      </x:c>
      <x:c r="M5" s="25" t="str">
        <x:v>PV процентов</x:v>
      </x:c>
      <x:c r="N5" s="25" t="str">
        <x:v>PV тела</x:v>
      </x:c>
      <x:c r="O5" s="14" t="str">
        <x:v>PV платежа</x:v>
      </x:c>
    </x:row>
    <x:row r="6" ht="21" customHeight="1">
      <x:c r="A6" s="28" t="n">
        <x:v>0</x:v>
      </x:c>
      <x:c r="B6" s="29" t="n">
        <x:v>44804</x:v>
      </x:c>
      <x:c r="C6" s="28" t="n">
        <x:v>0</x:v>
      </x:c>
      <x:c r="D6" s="30" t="n">
        <x:v>0</x:v>
      </x:c>
      <x:c r="E6" s="30" t="n">
        <x:v>0</x:v>
      </x:c>
      <x:c r="F6" s="30" t="n">
        <x:v>0</x:v>
      </x:c>
      <x:c r="G6" s="30" t="n">
        <x:v>0</x:v>
      </x:c>
      <x:c r="H6" s="31" t="n">
        <x:f>IF(AND(ISNUMBER('Параметры'!$C$6),'Параметры'!$C$6&gt;0,ROUND('Параметры'!$C$6,2)='Параметры'!$C$6),'Параметры'!$C$6,NA())</x:f>
        <x:v>3646037.89</x:v>
      </x:c>
      <x:c r="I6" s="32" t="n">
        <x:v>0</x:v>
      </x:c>
      <x:c r="J6" s="32" t="n">
        <x:v>1</x:v>
      </x:c>
      <x:c r="K6" s="32" t="n">
        <x:v>0</x:v>
      </x:c>
      <x:c r="L6" s="32" t="n">
        <x:v>1</x:v>
      </x:c>
      <x:c r="M6" s="30" t="n">
        <x:v>0</x:v>
      </x:c>
      <x:c r="N6" s="30" t="n">
        <x:v>0</x:v>
      </x:c>
      <x:c r="O6" s="30" t="n">
        <x:v>0</x:v>
      </x:c>
    </x:row>
    <x:row r="7" ht="21" customHeight="1">
      <x:c r="A7" s="28" t="n">
        <x:v>1</x:v>
      </x:c>
      <x:c r="B7" s="29" t="n">
        <x:v>44826</x:v>
      </x:c>
      <x:c r="C7" s="28" t="n">
        <x:f>B7-B6</x:f>
        <x:v>22</x:v>
      </x:c>
      <x:c r="D7" s="30" t="n">
        <x:f>H6</x:f>
        <x:v>3646037.89</x:v>
      </x:c>
      <x:c r="E7" s="30" t="n">
        <x:f>ROUND(D7*I7,2)</x:f>
        <x:v>16482.09</x:v>
      </x:c>
      <x:c r="F7" s="30" t="n">
        <x:f>MIN(D7,'Параметры'!$C$13)</x:f>
        <x:v>10916.28</x:v>
      </x:c>
      <x:c r="G7" s="30" t="n">
        <x:f>ROUND(E7+F7,2)</x:f>
        <x:v>27398.37</x:v>
      </x:c>
      <x:c r="H7" s="30" t="n">
        <x:f>ROUND(D7-F7,2)</x:f>
        <x:v>3635121.61</x:v>
      </x:c>
      <x:c r="I7" s="33" t="n">
        <x:f>IF(AND(ISNUMBER('Параметры'!$C$7),'Параметры'!$C$7&gt;=0),'Параметры'!$C$7*C7/365,NA())</x:f>
        <x:v>0.00452054794520548</x:v>
      </x:c>
      <x:c r="J7" s="32" t="n">
        <x:f>J6/(1+I7)</x:f>
        <x:v>0.9954997954452475</x:v>
      </x:c>
      <x:c r="K7" s="33" t="n">
        <x:f>IF(AND(ISNUMBER('Параметры'!$C$8),'Параметры'!$C$8&gt;=0),'Параметры'!$C$8*C7/365,NA())</x:f>
        <x:v>0.00452054794520548</x:v>
      </x:c>
      <x:c r="L7" s="32" t="n">
        <x:f>L6/(1+K7)</x:f>
        <x:v>0.9954997954452475</x:v>
      </x:c>
      <x:c r="M7" s="30" t="n">
        <x:f>E7*L7</x:f>
        <x:v>16407.917223510158</x:v>
      </x:c>
      <x:c r="N7" s="30" t="n">
        <x:f>F7*L7</x:f>
        <x:v>10867.154507023046</x:v>
      </x:c>
      <x:c r="O7" s="30" t="n">
        <x:f>G7*L7</x:f>
        <x:v>27275.071730533204</x:v>
      </x:c>
    </x:row>
    <x:row r="8" ht="21" customHeight="1">
      <x:c r="A8" s="28" t="n">
        <x:v>2</x:v>
      </x:c>
      <x:c r="B8" s="29" t="n">
        <x:v>44856</x:v>
      </x:c>
      <x:c r="C8" s="28" t="n">
        <x:f>B8-B7</x:f>
        <x:v>30</x:v>
      </x:c>
      <x:c r="D8" s="30" t="n">
        <x:f>H7</x:f>
        <x:v>3635121.61</x:v>
      </x:c>
      <x:c r="E8" s="30" t="n">
        <x:f>ROUND(D8*I8,2)</x:f>
        <x:v>22408.28</x:v>
      </x:c>
      <x:c r="F8" s="30" t="n">
        <x:f>MIN(D8,'Параметры'!$C$13)</x:f>
        <x:v>10916.28</x:v>
      </x:c>
      <x:c r="G8" s="30" t="n">
        <x:f>ROUND(E8+F8,2)</x:f>
        <x:v>33324.56</x:v>
      </x:c>
      <x:c r="H8" s="30" t="n">
        <x:f>ROUND(D8-F8,2)</x:f>
        <x:v>3624205.33</x:v>
      </x:c>
      <x:c r="I8" s="33" t="n">
        <x:f>IF(AND(ISNUMBER('Параметры'!$C$7),'Параметры'!$C$7&gt;=0),'Параметры'!$C$7*C8/365,NA())</x:f>
        <x:v>0.0061643835616438354</x:v>
      </x:c>
      <x:c r="J8" s="32" t="n">
        <x:f>J7/(1+I8)</x:f>
        <x:v>0.9894007497277476</x:v>
      </x:c>
      <x:c r="K8" s="33" t="n">
        <x:f>IF(AND(ISNUMBER('Параметры'!$C$8),'Параметры'!$C$8&gt;=0),'Параметры'!$C$8*C8/365,NA())</x:f>
        <x:v>0.0061643835616438354</x:v>
      </x:c>
      <x:c r="L8" s="32" t="n">
        <x:f>L7/(1+K8)</x:f>
        <x:v>0.9894007497277476</x:v>
      </x:c>
      <x:c r="M8" s="30" t="n">
        <x:f>E8*L8</x:f>
        <x:v>22170.769032109292</x:v>
      </x:c>
      <x:c r="N8" s="30" t="n">
        <x:f>F8*L8</x:f>
        <x:v>10800.575616238017</x:v>
      </x:c>
      <x:c r="O8" s="30" t="n">
        <x:f>G8*L8</x:f>
        <x:v>32971.34464834731</x:v>
      </x:c>
    </x:row>
    <x:row r="9" ht="21" customHeight="1">
      <x:c r="A9" s="28" t="n">
        <x:v>3</x:v>
      </x:c>
      <x:c r="B9" s="29" t="n">
        <x:v>44887</x:v>
      </x:c>
      <x:c r="C9" s="28" t="n">
        <x:f>B9-B8</x:f>
        <x:v>31</x:v>
      </x:c>
      <x:c r="D9" s="30" t="n">
        <x:f>H8</x:f>
        <x:v>3624205.33</x:v>
      </x:c>
      <x:c r="E9" s="30" t="n">
        <x:f>ROUND(D9*I9,2)</x:f>
        <x:v>23085.69</x:v>
      </x:c>
      <x:c r="F9" s="30" t="n">
        <x:f>MIN(D9,'Параметры'!$C$13)</x:f>
        <x:v>10916.28</x:v>
      </x:c>
      <x:c r="G9" s="30" t="n">
        <x:f>ROUND(E9+F9,2)</x:f>
        <x:v>34001.97</x:v>
      </x:c>
      <x:c r="H9" s="30" t="n">
        <x:f>ROUND(D9-F9,2)</x:f>
        <x:v>3613289.05</x:v>
      </x:c>
      <x:c r="I9" s="33" t="n">
        <x:f>IF(AND(ISNUMBER('Параметры'!$C$7),'Параметры'!$C$7&gt;=0),'Параметры'!$C$7*C9/365,NA())</x:f>
        <x:v>0.00636986301369863</x:v>
      </x:c>
      <x:c r="J9" s="32" t="n">
        <x:f>J8/(1+I9)</x:f>
        <x:v>0.9831382934747918</x:v>
      </x:c>
      <x:c r="K9" s="33" t="n">
        <x:f>IF(AND(ISNUMBER('Параметры'!$C$8),'Параметры'!$C$8&gt;=0),'Параметры'!$C$8*C9/365,NA())</x:f>
        <x:v>0.00636986301369863</x:v>
      </x:c>
      <x:c r="L9" s="32" t="n">
        <x:f>L8/(1+K9)</x:f>
        <x:v>0.9831382934747918</x:v>
      </x:c>
      <x:c r="M9" s="30" t="n">
        <x:f>E9*L9</x:f>
        <x:v>22696.425870288065</x:v>
      </x:c>
      <x:c r="N9" s="30" t="n">
        <x:f>F9*L9</x:f>
        <x:v>10732.212890293</x:v>
      </x:c>
      <x:c r="O9" s="30" t="n">
        <x:f>G9*L9</x:f>
        <x:v>33428.63876058107</x:v>
      </x:c>
    </x:row>
    <x:row r="10" ht="21" customHeight="1">
      <x:c r="A10" s="28" t="n">
        <x:v>4</x:v>
      </x:c>
      <x:c r="B10" s="29" t="n">
        <x:v>44917</x:v>
      </x:c>
      <x:c r="C10" s="28" t="n">
        <x:f>B10-B9</x:f>
        <x:v>30</x:v>
      </x:c>
      <x:c r="D10" s="30" t="n">
        <x:f>H9</x:f>
        <x:v>3613289.05</x:v>
      </x:c>
      <x:c r="E10" s="30" t="n">
        <x:f>ROUND(D10*I10,2)</x:f>
        <x:v>22273.7</x:v>
      </x:c>
      <x:c r="F10" s="30" t="n">
        <x:f>MIN(D10,'Параметры'!$C$13)</x:f>
        <x:v>10916.28</x:v>
      </x:c>
      <x:c r="G10" s="30" t="n">
        <x:f>ROUND(E10+F10,2)</x:f>
        <x:v>33189.98</x:v>
      </x:c>
      <x:c r="H10" s="30" t="n">
        <x:f>ROUND(D10-F10,2)</x:f>
        <x:v>3602372.77</x:v>
      </x:c>
      <x:c r="I10" s="33" t="n">
        <x:f>IF(AND(ISNUMBER('Параметры'!$C$7),'Параметры'!$C$7&gt;=0),'Параметры'!$C$7*C10/365,NA())</x:f>
        <x:v>0.0061643835616438354</x:v>
      </x:c>
      <x:c r="J10" s="32" t="n">
        <x:f>J9/(1+I10)</x:f>
        <x:v>0.9771149819422709</x:v>
      </x:c>
      <x:c r="K10" s="33" t="n">
        <x:f>IF(AND(ISNUMBER('Параметры'!$C$8),'Параметры'!$C$8&gt;=0),'Параметры'!$C$8*C10/365,NA())</x:f>
        <x:v>0.0061643835616438354</x:v>
      </x:c>
      <x:c r="L10" s="32" t="n">
        <x:f>L9/(1+K10)</x:f>
        <x:v>0.9771149819422709</x:v>
      </x:c>
      <x:c r="M10" s="30" t="n">
        <x:f>E10*L10</x:f>
        <x:v>21763.96597328756</x:v>
      </x:c>
      <x:c r="N10" s="30" t="n">
        <x:f>F10*L10</x:f>
        <x:v>10666.460735076773</x:v>
      </x:c>
      <x:c r="O10" s="30" t="n">
        <x:f>G10*L10</x:f>
        <x:v>32430.426708364335</x:v>
      </x:c>
    </x:row>
    <x:row r="11" ht="21" customHeight="1">
      <x:c r="A11" s="28" t="n">
        <x:v>5</x:v>
      </x:c>
      <x:c r="B11" s="29" t="n">
        <x:v>44948</x:v>
      </x:c>
      <x:c r="C11" s="28" t="n">
        <x:f>B11-B10</x:f>
        <x:v>31</x:v>
      </x:c>
      <x:c r="D11" s="30" t="n">
        <x:f>H10</x:f>
        <x:v>3602372.77</x:v>
      </x:c>
      <x:c r="E11" s="30" t="n">
        <x:f>ROUND(D11*I11,2)</x:f>
        <x:v>22946.62</x:v>
      </x:c>
      <x:c r="F11" s="30" t="n">
        <x:f>MIN(D11,'Параметры'!$C$13)</x:f>
        <x:v>10916.28</x:v>
      </x:c>
      <x:c r="G11" s="30" t="n">
        <x:f>ROUND(E11+F11,2)</x:f>
        <x:v>33862.9</x:v>
      </x:c>
      <x:c r="H11" s="30" t="n">
        <x:f>ROUND(D11-F11,2)</x:f>
        <x:v>3591456.49</x:v>
      </x:c>
      <x:c r="I11" s="33" t="n">
        <x:f>IF(AND(ISNUMBER('Параметры'!$C$7),'Параметры'!$C$7&gt;=0),'Параметры'!$C$7*C11/365,NA())</x:f>
        <x:v>0.00636986301369863</x:v>
      </x:c>
      <x:c r="J11" s="32" t="n">
        <x:f>J10/(1+I11)</x:f>
        <x:v>0.9709302890054553</x:v>
      </x:c>
      <x:c r="K11" s="33" t="n">
        <x:f>IF(AND(ISNUMBER('Параметры'!$C$8),'Параметры'!$C$8&gt;=0),'Параметры'!$C$8*C11/365,NA())</x:f>
        <x:v>0.00636986301369863</x:v>
      </x:c>
      <x:c r="L11" s="32" t="n">
        <x:f>L10/(1+K11)</x:f>
        <x:v>0.9709302890054553</x:v>
      </x:c>
      <x:c r="M11" s="30" t="n">
        <x:f>E11*L11</x:f>
        <x:v>22279.56838829836</x:v>
      </x:c>
      <x:c r="N11" s="30" t="n">
        <x:f>F11*L11</x:f>
        <x:v>10598.946895264473</x:v>
      </x:c>
      <x:c r="O11" s="30" t="n">
        <x:f>G11*L11</x:f>
        <x:v>32878.51528356283</x:v>
      </x:c>
    </x:row>
    <x:row r="12" ht="21" customHeight="1">
      <x:c r="A12" s="28" t="n">
        <x:v>6</x:v>
      </x:c>
      <x:c r="B12" s="29" t="n">
        <x:v>44979</x:v>
      </x:c>
      <x:c r="C12" s="28" t="n">
        <x:f>B12-B11</x:f>
        <x:v>31</x:v>
      </x:c>
      <x:c r="D12" s="30" t="n">
        <x:f>H11</x:f>
        <x:v>3591456.49</x:v>
      </x:c>
      <x:c r="E12" s="30" t="n">
        <x:f>ROUND(D12*I12,2)</x:f>
        <x:v>22877.09</x:v>
      </x:c>
      <x:c r="F12" s="30" t="n">
        <x:f>MIN(D12,'Параметры'!$C$13)</x:f>
        <x:v>10916.28</x:v>
      </x:c>
      <x:c r="G12" s="30" t="n">
        <x:f>ROUND(E12+F12,2)</x:f>
        <x:v>33793.37</x:v>
      </x:c>
      <x:c r="H12" s="30" t="n">
        <x:f>ROUND(D12-F12,2)</x:f>
        <x:v>3580540.21</x:v>
      </x:c>
      <x:c r="I12" s="33" t="n">
        <x:f>IF(AND(ISNUMBER('Параметры'!$C$7),'Параметры'!$C$7&gt;=0),'Параметры'!$C$7*C12/365,NA())</x:f>
        <x:v>0.00636986301369863</x:v>
      </x:c>
      <x:c r="J12" s="32" t="n">
        <x:f>J11/(1+I12)</x:f>
        <x:v>0.9647847423589225</x:v>
      </x:c>
      <x:c r="K12" s="33" t="n">
        <x:f>IF(AND(ISNUMBER('Параметры'!$C$8),'Параметры'!$C$8&gt;=0),'Параметры'!$C$8*C12/365,NA())</x:f>
        <x:v>0.00636986301369863</x:v>
      </x:c>
      <x:c r="L12" s="32" t="n">
        <x:f>L11/(1+K12)</x:f>
        <x:v>0.9647847423589225</x:v>
      </x:c>
      <x:c r="M12" s="30" t="n">
        <x:f>E12*L12</x:f>
        <x:v>22071.46738157188</x:v>
      </x:c>
      <x:c r="N12" s="30" t="n">
        <x:f>F12*L12</x:f>
        <x:v>10531.86038731786</x:v>
      </x:c>
      <x:c r="O12" s="30" t="n">
        <x:f>G12*L12</x:f>
        <x:v>32603.327768889743</x:v>
      </x:c>
    </x:row>
    <x:row r="13" ht="21" customHeight="1">
      <x:c r="A13" s="28" t="n">
        <x:v>7</x:v>
      </x:c>
      <x:c r="B13" s="29" t="n">
        <x:v>45007</x:v>
      </x:c>
      <x:c r="C13" s="28" t="n">
        <x:f>B13-B12</x:f>
        <x:v>28</x:v>
      </x:c>
      <x:c r="D13" s="30" t="n">
        <x:f>H12</x:f>
        <x:v>3580540.21</x:v>
      </x:c>
      <x:c r="E13" s="30" t="n">
        <x:f>ROUND(D13*I13,2)</x:f>
        <x:v>20600.37</x:v>
      </x:c>
      <x:c r="F13" s="30" t="n">
        <x:f>MIN(D13,'Параметры'!$C$13)</x:f>
        <x:v>10916.28</x:v>
      </x:c>
      <x:c r="G13" s="30" t="n">
        <x:f>ROUND(E13+F13,2)</x:f>
        <x:v>31516.65</x:v>
      </x:c>
      <x:c r="H13" s="30" t="n">
        <x:f>ROUND(D13-F13,2)</x:f>
        <x:v>3569623.93</x:v>
      </x:c>
      <x:c r="I13" s="33" t="n">
        <x:f>IF(AND(ISNUMBER('Параметры'!$C$7),'Параметры'!$C$7&gt;=0),'Параметры'!$C$7*C13/365,NA())</x:f>
        <x:v>0.005753424657534247</x:v>
      </x:c>
      <x:c r="J13" s="32" t="n">
        <x:f>J12/(1+I13)</x:f>
        <x:v>0.9592656795451014</x:v>
      </x:c>
      <x:c r="K13" s="33" t="n">
        <x:f>IF(AND(ISNUMBER('Параметры'!$C$8),'Параметры'!$C$8&gt;=0),'Параметры'!$C$8*C13/365,NA())</x:f>
        <x:v>0.005753424657534247</x:v>
      </x:c>
      <x:c r="L13" s="32" t="n">
        <x:f>L12/(1+K13)</x:f>
        <x:v>0.9592656795451014</x:v>
      </x:c>
      <x:c r="M13" s="30" t="n">
        <x:f>E13*L13</x:f>
        <x:v>19761.22792693052</x:v>
      </x:c>
      <x:c r="N13" s="30" t="n">
        <x:f>F13*L13</x:f>
        <x:v>10471.6127523046</x:v>
      </x:c>
      <x:c r="O13" s="30" t="n">
        <x:f>G13*L13</x:f>
        <x:v>30232.840679235123</x:v>
      </x:c>
    </x:row>
    <x:row r="14" ht="21" customHeight="1">
      <x:c r="A14" s="28" t="n">
        <x:v>8</x:v>
      </x:c>
      <x:c r="B14" s="29" t="n">
        <x:v>45038</x:v>
      </x:c>
      <x:c r="C14" s="28" t="n">
        <x:f>B14-B13</x:f>
        <x:v>31</x:v>
      </x:c>
      <x:c r="D14" s="30" t="n">
        <x:f>H13</x:f>
        <x:v>3569623.93</x:v>
      </x:c>
      <x:c r="E14" s="30" t="n">
        <x:f>ROUND(D14*I14,2)</x:f>
        <x:v>22738.02</x:v>
      </x:c>
      <x:c r="F14" s="30" t="n">
        <x:f>MIN(D14,'Параметры'!$C$13)</x:f>
        <x:v>10916.28</x:v>
      </x:c>
      <x:c r="G14" s="30" t="n">
        <x:f>ROUND(E14+F14,2)</x:f>
        <x:v>33654.3</x:v>
      </x:c>
      <x:c r="H14" s="30" t="n">
        <x:f>ROUND(D14-F14,2)</x:f>
        <x:v>3558707.65</x:v>
      </x:c>
      <x:c r="I14" s="33" t="n">
        <x:f>IF(AND(ISNUMBER('Параметры'!$C$7),'Параметры'!$C$7&gt;=0),'Параметры'!$C$7*C14/365,NA())</x:f>
        <x:v>0.00636986301369863</x:v>
      </x:c>
      <x:c r="J14" s="32" t="n">
        <x:f>J13/(1+I14)</x:f>
        <x:v>0.953193964565336</x:v>
      </x:c>
      <x:c r="K14" s="33" t="n">
        <x:f>IF(AND(ISNUMBER('Параметры'!$C$8),'Параметры'!$C$8&gt;=0),'Параметры'!$C$8*C14/365,NA())</x:f>
        <x:v>0.00636986301369863</x:v>
      </x:c>
      <x:c r="L14" s="32" t="n">
        <x:f>L13/(1+K14)</x:f>
        <x:v>0.953193964565336</x:v>
      </x:c>
      <x:c r="M14" s="30" t="n">
        <x:f>E14*L14</x:f>
        <x:v>21673.7434301659</x:v>
      </x:c>
      <x:c r="N14" s="30" t="n">
        <x:f>F14*L14</x:f>
        <x:v>10405.332211505287</x:v>
      </x:c>
      <x:c r="O14" s="30" t="n">
        <x:f>G14*L14</x:f>
        <x:v>32079.075641671192</x:v>
      </x:c>
    </x:row>
    <x:row r="15" ht="21" customHeight="1">
      <x:c r="A15" s="28" t="n">
        <x:v>9</x:v>
      </x:c>
      <x:c r="B15" s="29" t="n">
        <x:v>45068</x:v>
      </x:c>
      <x:c r="C15" s="28" t="n">
        <x:f>B15-B14</x:f>
        <x:v>30</x:v>
      </x:c>
      <x:c r="D15" s="30" t="n">
        <x:f>H14</x:f>
        <x:v>3558707.65</x:v>
      </x:c>
      <x:c r="E15" s="30" t="n">
        <x:f>ROUND(D15*I15,2)</x:f>
        <x:v>21937.24</x:v>
      </x:c>
      <x:c r="F15" s="30" t="n">
        <x:f>MIN(D15,'Параметры'!$C$13)</x:f>
        <x:v>10916.28</x:v>
      </x:c>
      <x:c r="G15" s="30" t="n">
        <x:f>ROUND(E15+F15,2)</x:f>
        <x:v>32853.52</x:v>
      </x:c>
      <x:c r="H15" s="30" t="n">
        <x:f>ROUND(D15-F15,2)</x:f>
        <x:v>3547791.37</x:v>
      </x:c>
      <x:c r="I15" s="33" t="n">
        <x:f>IF(AND(ISNUMBER('Параметры'!$C$7),'Параметры'!$C$7&gt;=0),'Параметры'!$C$7*C15/365,NA())</x:f>
        <x:v>0.0061643835616438354</x:v>
      </x:c>
      <x:c r="J15" s="32" t="n">
        <x:f>J14/(1+I15)</x:f>
        <x:v>0.9473541104597621</x:v>
      </x:c>
      <x:c r="K15" s="33" t="n">
        <x:f>IF(AND(ISNUMBER('Параметры'!$C$8),'Параметры'!$C$8&gt;=0),'Параметры'!$C$8*C15/365,NA())</x:f>
        <x:v>0.0061643835616438354</x:v>
      </x:c>
      <x:c r="L15" s="32" t="n">
        <x:f>L14/(1+K15)</x:f>
        <x:v>0.9473541104597621</x:v>
      </x:c>
      <x:c r="M15" s="30" t="n">
        <x:f>E15*L15</x:f>
        <x:v>20782.334486142314</x:v>
      </x:c>
      <x:c r="N15" s="30" t="n">
        <x:f>F15*L15</x:f>
        <x:v>10341.582728929692</x:v>
      </x:c>
      <x:c r="O15" s="30" t="n">
        <x:f>G15*L15</x:f>
        <x:v>31123.917215072</x:v>
      </x:c>
    </x:row>
    <x:row r="16" ht="21" customHeight="1">
      <x:c r="A16" s="28" t="n">
        <x:v>10</x:v>
      </x:c>
      <x:c r="B16" s="29" t="n">
        <x:v>45099</x:v>
      </x:c>
      <x:c r="C16" s="28" t="n">
        <x:f>B16-B15</x:f>
        <x:v>31</x:v>
      </x:c>
      <x:c r="D16" s="30" t="n">
        <x:f>H15</x:f>
        <x:v>3547791.37</x:v>
      </x:c>
      <x:c r="E16" s="30" t="n">
        <x:f>ROUND(D16*I16,2)</x:f>
        <x:v>22598.95</x:v>
      </x:c>
      <x:c r="F16" s="30" t="n">
        <x:f>MIN(D16,'Параметры'!$C$13)</x:f>
        <x:v>10916.28</x:v>
      </x:c>
      <x:c r="G16" s="30" t="n">
        <x:f>ROUND(E16+F16,2)</x:f>
        <x:v>33515.23</x:v>
      </x:c>
      <x:c r="H16" s="30" t="n">
        <x:f>ROUND(D16-F16,2)</x:f>
        <x:v>3536875.09</x:v>
      </x:c>
      <x:c r="I16" s="33" t="n">
        <x:f>IF(AND(ISNUMBER('Параметры'!$C$7),'Параметры'!$C$7&gt;=0),'Параметры'!$C$7*C16/365,NA())</x:f>
        <x:v>0.00636986301369863</x:v>
      </x:c>
      <x:c r="J16" s="32" t="n">
        <x:f>J15/(1+I16)</x:f>
        <x:v>0.9413577902887449</x:v>
      </x:c>
      <x:c r="K16" s="33" t="n">
        <x:f>IF(AND(ISNUMBER('Параметры'!$C$8),'Параметры'!$C$8&gt;=0),'Параметры'!$C$8*C16/365,NA())</x:f>
        <x:v>0.00636986301369863</x:v>
      </x:c>
      <x:c r="L16" s="32" t="n">
        <x:f>L15/(1+K16)</x:f>
        <x:v>0.9413577902887449</x:v>
      </x:c>
      <x:c r="M16" s="30" t="n">
        <x:f>E16*L16</x:f>
        <x:v>21273.69763484583</x:v>
      </x:c>
      <x:c r="N16" s="30" t="n">
        <x:f>F16*L16</x:f>
        <x:v>10276.12521897322</x:v>
      </x:c>
      <x:c r="O16" s="30" t="n">
        <x:f>G16*L16</x:f>
        <x:v>31549.822853819056</x:v>
      </x:c>
    </x:row>
    <x:row r="17" ht="21" customHeight="1">
      <x:c r="A17" s="28" t="n">
        <x:v>11</x:v>
      </x:c>
      <x:c r="B17" s="29" t="n">
        <x:v>45129</x:v>
      </x:c>
      <x:c r="C17" s="28" t="n">
        <x:f>B17-B16</x:f>
        <x:v>30</x:v>
      </x:c>
      <x:c r="D17" s="30" t="n">
        <x:f>H16</x:f>
        <x:v>3536875.09</x:v>
      </x:c>
      <x:c r="E17" s="30" t="n">
        <x:f>ROUND(D17*I17,2)</x:f>
        <x:v>21802.65</x:v>
      </x:c>
      <x:c r="F17" s="30" t="n">
        <x:f>MIN(D17,'Параметры'!$C$13)</x:f>
        <x:v>10916.28</x:v>
      </x:c>
      <x:c r="G17" s="30" t="n">
        <x:f>ROUND(E17+F17,2)</x:f>
        <x:v>32718.93</x:v>
      </x:c>
      <x:c r="H17" s="30" t="n">
        <x:f>ROUND(D17-F17,2)</x:f>
        <x:v>3525958.81</x:v>
      </x:c>
      <x:c r="I17" s="33" t="n">
        <x:f>IF(AND(ISNUMBER('Параметры'!$C$7),'Параметры'!$C$7&gt;=0),'Параметры'!$C$7*C17/365,NA())</x:f>
        <x:v>0.0061643835616438354</x:v>
      </x:c>
      <x:c r="J17" s="32" t="n">
        <x:f>J16/(1+I17)</x:f>
        <x:v>0.9355904518867035</x:v>
      </x:c>
      <x:c r="K17" s="33" t="n">
        <x:f>IF(AND(ISNUMBER('Параметры'!$C$8),'Параметры'!$C$8&gt;=0),'Параметры'!$C$8*C17/365,NA())</x:f>
        <x:v>0.0061643835616438354</x:v>
      </x:c>
      <x:c r="L17" s="32" t="n">
        <x:f>L16/(1+K17)</x:f>
        <x:v>0.9355904518867035</x:v>
      </x:c>
      <x:c r="M17" s="30" t="n">
        <x:f>E17*L17</x:f>
        <x:v>20398.351165827637</x:v>
      </x:c>
      <x:c r="N17" s="30" t="n">
        <x:f>F17*L17</x:f>
        <x:v>10213.167338121784</x:v>
      </x:c>
      <x:c r="O17" s="30" t="n">
        <x:f>G17*L17</x:f>
        <x:v>30611.51850394942</x:v>
      </x:c>
    </x:row>
    <x:row r="18" ht="21" customHeight="1">
      <x:c r="A18" s="28" t="n">
        <x:v>12</x:v>
      </x:c>
      <x:c r="B18" s="29" t="n">
        <x:v>45160</x:v>
      </x:c>
      <x:c r="C18" s="28" t="n">
        <x:f>B18-B17</x:f>
        <x:v>31</x:v>
      </x:c>
      <x:c r="D18" s="30" t="n">
        <x:f>H17</x:f>
        <x:v>3525958.81</x:v>
      </x:c>
      <x:c r="E18" s="30" t="n">
        <x:f>ROUND(D18*I18,2)</x:f>
        <x:v>22459.87</x:v>
      </x:c>
      <x:c r="F18" s="30" t="n">
        <x:f>MIN(D18,'Параметры'!$C$13)</x:f>
        <x:v>10916.28</x:v>
      </x:c>
      <x:c r="G18" s="30" t="n">
        <x:f>ROUND(E18+F18,2)</x:f>
        <x:v>33376.15</x:v>
      </x:c>
      <x:c r="H18" s="30" t="n">
        <x:f>ROUND(D18-F18,2)</x:f>
        <x:v>3515042.53</x:v>
      </x:c>
      <x:c r="I18" s="33" t="n">
        <x:f>IF(AND(ISNUMBER('Параметры'!$C$7),'Параметры'!$C$7&gt;=0),'Параметры'!$C$7*C18/365,NA())</x:f>
        <x:v>0.00636986301369863</x:v>
      </x:c>
      <x:c r="J18" s="32" t="n">
        <x:f>J17/(1+I18)</x:f>
        <x:v>0.9296685903182381</x:v>
      </x:c>
      <x:c r="K18" s="33" t="n">
        <x:f>IF(AND(ISNUMBER('Параметры'!$C$8),'Параметры'!$C$8&gt;=0),'Параметры'!$C$8*C18/365,NA())</x:f>
        <x:v>0.00636986301369863</x:v>
      </x:c>
      <x:c r="L18" s="32" t="n">
        <x:f>L17/(1+K18)</x:f>
        <x:v>0.9296685903182381</x:v>
      </x:c>
      <x:c r="M18" s="30" t="n">
        <x:f>E18*L18</x:f>
        <x:v>20880.235681630886</x:v>
      </x:c>
      <x:c r="N18" s="30" t="n">
        <x:f>F18*L18</x:f>
        <x:v>10148.522639119177</x:v>
      </x:c>
      <x:c r="O18" s="30" t="n">
        <x:f>G18*L18</x:f>
        <x:v>31028.758320750065</x:v>
      </x:c>
    </x:row>
    <x:row r="19" ht="21" customHeight="1">
      <x:c r="A19" s="28" t="n">
        <x:v>13</x:v>
      </x:c>
      <x:c r="B19" s="29" t="n">
        <x:v>45191</x:v>
      </x:c>
      <x:c r="C19" s="28" t="n">
        <x:f>B19-B18</x:f>
        <x:v>31</x:v>
      </x:c>
      <x:c r="D19" s="30" t="n">
        <x:f>H18</x:f>
        <x:v>3515042.53</x:v>
      </x:c>
      <x:c r="E19" s="30" t="n">
        <x:f>ROUND(D19*I19,2)</x:f>
        <x:v>22390.34</x:v>
      </x:c>
      <x:c r="F19" s="30" t="n">
        <x:f>MIN(D19,'Параметры'!$C$13)</x:f>
        <x:v>10916.28</x:v>
      </x:c>
      <x:c r="G19" s="30" t="n">
        <x:f>ROUND(E19+F19,2)</x:f>
        <x:v>33306.62</x:v>
      </x:c>
      <x:c r="H19" s="30" t="n">
        <x:f>ROUND(D19-F19,2)</x:f>
        <x:v>3504126.25</x:v>
      </x:c>
      <x:c r="I19" s="33" t="n">
        <x:f>IF(AND(ISNUMBER('Параметры'!$C$7),'Параметры'!$C$7&gt;=0),'Параметры'!$C$7*C19/365,NA())</x:f>
        <x:v>0.00636986301369863</x:v>
      </x:c>
      <x:c r="J19" s="32" t="n">
        <x:f>J18/(1+I19)</x:f>
        <x:v>0.9237842114371658</x:v>
      </x:c>
      <x:c r="K19" s="33" t="n">
        <x:f>IF(AND(ISNUMBER('Параметры'!$C$8),'Параметры'!$C$8&gt;=0),'Параметры'!$C$8*C19/365,NA())</x:f>
        <x:v>0.00636986301369863</x:v>
      </x:c>
      <x:c r="L19" s="32" t="n">
        <x:f>L18/(1+K19)</x:f>
        <x:v>0.9237842114371658</x:v>
      </x:c>
      <x:c r="M19" s="30" t="n">
        <x:f>E19*L19</x:f>
        <x:v>20683.842580710032</x:v>
      </x:c>
      <x:c r="N19" s="30" t="n">
        <x:f>F19*L19</x:f>
        <x:v>10084.287111627305</x:v>
      </x:c>
      <x:c r="O19" s="30" t="n">
        <x:f>G19*L19</x:f>
        <x:v>30768.129692337337</x:v>
      </x:c>
    </x:row>
    <x:row r="20" ht="21" customHeight="1">
      <x:c r="A20" s="28" t="n">
        <x:v>14</x:v>
      </x:c>
      <x:c r="B20" s="29" t="n">
        <x:v>45221</x:v>
      </x:c>
      <x:c r="C20" s="28" t="n">
        <x:f>B20-B19</x:f>
        <x:v>30</x:v>
      </x:c>
      <x:c r="D20" s="30" t="n">
        <x:f>H19</x:f>
        <x:v>3504126.25</x:v>
      </x:c>
      <x:c r="E20" s="30" t="n">
        <x:f>ROUND(D20*I20,2)</x:f>
        <x:v>21600.78</x:v>
      </x:c>
      <x:c r="F20" s="30" t="n">
        <x:f>MIN(D20,'Параметры'!$C$13)</x:f>
        <x:v>10916.28</x:v>
      </x:c>
      <x:c r="G20" s="30" t="n">
        <x:f>ROUND(E20+F20,2)</x:f>
        <x:v>32517.06</x:v>
      </x:c>
      <x:c r="H20" s="30" t="n">
        <x:f>ROUND(D20-F20,2)</x:f>
        <x:v>3493209.97</x:v>
      </x:c>
      <x:c r="I20" s="33" t="n">
        <x:f>IF(AND(ISNUMBER('Параметры'!$C$7),'Параметры'!$C$7&gt;=0),'Параметры'!$C$7*C20/365,NA())</x:f>
        <x:v>0.0061643835616438354</x:v>
      </x:c>
      <x:c r="J20" s="32" t="n">
        <x:f>J19/(1+I20)</x:f>
        <x:v>0.9181245396176052</x:v>
      </x:c>
      <x:c r="K20" s="33" t="n">
        <x:f>IF(AND(ISNUMBER('Параметры'!$C$8),'Параметры'!$C$8&gt;=0),'Параметры'!$C$8*C20/365,NA())</x:f>
        <x:v>0.0061643835616438354</x:v>
      </x:c>
      <x:c r="L20" s="32" t="n">
        <x:f>L19/(1+K20)</x:f>
        <x:v>0.9181245396176052</x:v>
      </x:c>
      <x:c r="M20" s="30" t="n">
        <x:f>E20*L20</x:f>
        <x:v>19832.206192881175</x:v>
      </x:c>
      <x:c r="N20" s="30" t="n">
        <x:f>F20*L20</x:f>
        <x:v>10022.504549336873</x:v>
      </x:c>
      <x:c r="O20" s="30" t="n">
        <x:f>G20*L20</x:f>
        <x:v>29854.710742218045</x:v>
      </x:c>
    </x:row>
    <x:row r="21" ht="21" customHeight="1">
      <x:c r="A21" s="28" t="n">
        <x:v>15</x:v>
      </x:c>
      <x:c r="B21" s="29" t="n">
        <x:v>45252</x:v>
      </x:c>
      <x:c r="C21" s="28" t="n">
        <x:f>B21-B20</x:f>
        <x:v>31</x:v>
      </x:c>
      <x:c r="D21" s="30" t="n">
        <x:f>H20</x:f>
        <x:v>3493209.97</x:v>
      </x:c>
      <x:c r="E21" s="30" t="n">
        <x:f>ROUND(D21*I21,2)</x:f>
        <x:v>22251.27</x:v>
      </x:c>
      <x:c r="F21" s="30" t="n">
        <x:f>MIN(D21,'Параметры'!$C$13)</x:f>
        <x:v>10916.28</x:v>
      </x:c>
      <x:c r="G21" s="30" t="n">
        <x:f>ROUND(E21+F21,2)</x:f>
        <x:v>33167.55</x:v>
      </x:c>
      <x:c r="H21" s="30" t="n">
        <x:f>ROUND(D21-F21,2)</x:f>
        <x:v>3482293.69</x:v>
      </x:c>
      <x:c r="I21" s="33" t="n">
        <x:f>IF(AND(ISNUMBER('Параметры'!$C$7),'Параметры'!$C$7&gt;=0),'Параметры'!$C$7*C21/365,NA())</x:f>
        <x:v>0.00636986301369863</x:v>
      </x:c>
      <x:c r="J21" s="32" t="n">
        <x:f>J20/(1+I21)</x:f>
        <x:v>0.9123132293212439</x:v>
      </x:c>
      <x:c r="K21" s="33" t="n">
        <x:f>IF(AND(ISNUMBER('Параметры'!$C$8),'Параметры'!$C$8&gt;=0),'Параметры'!$C$8*C21/365,NA())</x:f>
        <x:v>0.00636986301369863</x:v>
      </x:c>
      <x:c r="L21" s="32" t="n">
        <x:f>L20/(1+K21)</x:f>
        <x:v>0.9123132293212439</x:v>
      </x:c>
      <x:c r="M21" s="30" t="n">
        <x:f>E21*L21</x:f>
        <x:v>20300.127990198915</x:v>
      </x:c>
      <x:c r="N21" s="30" t="n">
        <x:f>F21*L21</x:f>
        <x:v>9959.066658974909</x:v>
      </x:c>
      <x:c r="O21" s="30" t="n">
        <x:f>G21*L21</x:f>
        <x:v>30259.194649173827</x:v>
      </x:c>
    </x:row>
    <x:row r="22" ht="21" customHeight="1">
      <x:c r="A22" s="28" t="n">
        <x:v>16</x:v>
      </x:c>
      <x:c r="B22" s="29" t="n">
        <x:v>45282</x:v>
      </x:c>
      <x:c r="C22" s="28" t="n">
        <x:f>B22-B21</x:f>
        <x:v>30</x:v>
      </x:c>
      <x:c r="D22" s="30" t="n">
        <x:f>H21</x:f>
        <x:v>3482293.69</x:v>
      </x:c>
      <x:c r="E22" s="30" t="n">
        <x:f>ROUND(D22*I22,2)</x:f>
        <x:v>21466.19</x:v>
      </x:c>
      <x:c r="F22" s="30" t="n">
        <x:f>MIN(D22,'Параметры'!$C$13)</x:f>
        <x:v>10916.28</x:v>
      </x:c>
      <x:c r="G22" s="30" t="n">
        <x:f>ROUND(E22+F22,2)</x:f>
        <x:v>32382.47</x:v>
      </x:c>
      <x:c r="H22" s="30" t="n">
        <x:f>ROUND(D22-F22,2)</x:f>
        <x:v>3471377.41</x:v>
      </x:c>
      <x:c r="I22" s="33" t="n">
        <x:f>IF(AND(ISNUMBER('Параметры'!$C$7),'Параметры'!$C$7&gt;=0),'Параметры'!$C$7*C22/365,NA())</x:f>
        <x:v>0.0061643835616438354</x:v>
      </x:c>
      <x:c r="J22" s="32" t="n">
        <x:f>J21/(1+I22)</x:f>
        <x:v>0.9067238358128088</x:v>
      </x:c>
      <x:c r="K22" s="33" t="n">
        <x:f>IF(AND(ISNUMBER('Параметры'!$C$8),'Параметры'!$C$8&gt;=0),'Параметры'!$C$8*C22/365,NA())</x:f>
        <x:v>0.0061643835616438354</x:v>
      </x:c>
      <x:c r="L22" s="32" t="n">
        <x:f>L21/(1+K22)</x:f>
        <x:v>0.9067238358128088</x:v>
      </x:c>
      <x:c r="M22" s="30" t="n">
        <x:f>E22*L22</x:f>
        <x:v>19463.906137086557</x:v>
      </x:c>
      <x:c r="N22" s="30" t="n">
        <x:f>F22*L22</x:f>
        <x:v>9898.05127440665</x:v>
      </x:c>
      <x:c r="O22" s="30" t="n">
        <x:f>G22*L22</x:f>
        <x:v>29361.957411493207</x:v>
      </x:c>
    </x:row>
    <x:row r="23" ht="21" customHeight="1">
      <x:c r="A23" s="28" t="n">
        <x:v>17</x:v>
      </x:c>
      <x:c r="B23" s="29" t="n">
        <x:v>45313</x:v>
      </x:c>
      <x:c r="C23" s="28" t="n">
        <x:f>B23-B22</x:f>
        <x:v>31</x:v>
      </x:c>
      <x:c r="D23" s="30" t="n">
        <x:f>H22</x:f>
        <x:v>3471377.41</x:v>
      </x:c>
      <x:c r="E23" s="30" t="n">
        <x:f>ROUND(D23*I23,2)</x:f>
        <x:v>22112.2</x:v>
      </x:c>
      <x:c r="F23" s="30" t="n">
        <x:f>MIN(D23,'Параметры'!$C$13)</x:f>
        <x:v>10916.28</x:v>
      </x:c>
      <x:c r="G23" s="30" t="n">
        <x:f>ROUND(E23+F23,2)</x:f>
        <x:v>33028.48</x:v>
      </x:c>
      <x:c r="H23" s="30" t="n">
        <x:f>ROUND(D23-F23,2)</x:f>
        <x:v>3460461.13</x:v>
      </x:c>
      <x:c r="I23" s="33" t="n">
        <x:f>IF(AND(ISNUMBER('Параметры'!$C$7),'Параметры'!$C$7&gt;=0),'Параметры'!$C$7*C23/365,NA())</x:f>
        <x:v>0.00636986301369863</x:v>
      </x:c>
      <x:c r="J23" s="32" t="n">
        <x:f>J22/(1+I23)</x:f>
        <x:v>0.9009846867805764</x:v>
      </x:c>
      <x:c r="K23" s="33" t="n">
        <x:f>IF(AND(ISNUMBER('Параметры'!$C$8),'Параметры'!$C$8&gt;=0),'Параметры'!$C$8*C23/365,NA())</x:f>
        <x:v>0.00636986301369863</x:v>
      </x:c>
      <x:c r="L23" s="32" t="n">
        <x:f>L22/(1+K23)</x:f>
        <x:v>0.9009846867805764</x:v>
      </x:c>
      <x:c r="M23" s="30" t="n">
        <x:f>E23*L23</x:f>
        <x:v>19922.75359102946</x:v>
      </x:c>
      <x:c r="N23" s="30" t="n">
        <x:f>F23*L23</x:f>
        <x:v>9835.401116609071</x:v>
      </x:c>
      <x:c r="O23" s="30" t="n">
        <x:f>G23*L23</x:f>
        <x:v>29758.154707638536</x:v>
      </x:c>
    </x:row>
    <x:row r="24" ht="21" customHeight="1">
      <x:c r="A24" s="28" t="n">
        <x:v>18</x:v>
      </x:c>
      <x:c r="B24" s="29" t="n">
        <x:v>45344</x:v>
      </x:c>
      <x:c r="C24" s="28" t="n">
        <x:f>B24-B23</x:f>
        <x:v>31</x:v>
      </x:c>
      <x:c r="D24" s="30" t="n">
        <x:f>H23</x:f>
        <x:v>3460461.13</x:v>
      </x:c>
      <x:c r="E24" s="30" t="n">
        <x:f>ROUND(D24*I24,2)</x:f>
        <x:v>22042.66</x:v>
      </x:c>
      <x:c r="F24" s="30" t="n">
        <x:f>MIN(D24,'Параметры'!$C$13)</x:f>
        <x:v>10916.28</x:v>
      </x:c>
      <x:c r="G24" s="30" t="n">
        <x:f>ROUND(E24+F24,2)</x:f>
        <x:v>32958.94</x:v>
      </x:c>
      <x:c r="H24" s="30" t="n">
        <x:f>ROUND(D24-F24,2)</x:f>
        <x:v>3449544.85</x:v>
      </x:c>
      <x:c r="I24" s="33" t="n">
        <x:f>IF(AND(ISNUMBER('Параметры'!$C$7),'Параметры'!$C$7&gt;=0),'Параметры'!$C$7*C24/365,NA())</x:f>
        <x:v>0.00636986301369863</x:v>
      </x:c>
      <x:c r="J24" s="32" t="n">
        <x:f>J23/(1+I24)</x:f>
        <x:v>0.8952818639485752</x:v>
      </x:c>
      <x:c r="K24" s="33" t="n">
        <x:f>IF(AND(ISNUMBER('Параметры'!$C$8),'Параметры'!$C$8&gt;=0),'Параметры'!$C$8*C24/365,NA())</x:f>
        <x:v>0.00636986301369863</x:v>
      </x:c>
      <x:c r="L24" s="32" t="n">
        <x:f>L23/(1+K24)</x:f>
        <x:v>0.8952818639485752</x:v>
      </x:c>
      <x:c r="M24" s="30" t="n">
        <x:f>E24*L24</x:f>
        <x:v>19734.3937311847</x:v>
      </x:c>
      <x:c r="N24" s="30" t="n">
        <x:f>F24*L24</x:f>
        <x:v>9773.147505784553</x:v>
      </x:c>
      <x:c r="O24" s="30" t="n">
        <x:f>G24*L24</x:f>
        <x:v>29507.541236969257</x:v>
      </x:c>
    </x:row>
    <x:row r="25" ht="21" customHeight="1">
      <x:c r="A25" s="28" t="n">
        <x:v>19</x:v>
      </x:c>
      <x:c r="B25" s="29" t="n">
        <x:v>45373</x:v>
      </x:c>
      <x:c r="C25" s="28" t="n">
        <x:f>B25-B24</x:f>
        <x:v>29</x:v>
      </x:c>
      <x:c r="D25" s="30" t="n">
        <x:f>H24</x:f>
        <x:v>3449544.85</x:v>
      </x:c>
      <x:c r="E25" s="30" t="n">
        <x:f>ROUND(D25*I25,2)</x:f>
        <x:v>20555.51</x:v>
      </x:c>
      <x:c r="F25" s="30" t="n">
        <x:f>MIN(D25,'Параметры'!$C$13)</x:f>
        <x:v>10916.28</x:v>
      </x:c>
      <x:c r="G25" s="30" t="n">
        <x:f>ROUND(E25+F25,2)</x:f>
        <x:v>31471.79</x:v>
      </x:c>
      <x:c r="H25" s="30" t="n">
        <x:f>ROUND(D25-F25,2)</x:f>
        <x:v>3438628.57</x:v>
      </x:c>
      <x:c r="I25" s="33" t="n">
        <x:f>IF(AND(ISNUMBER('Параметры'!$C$7),'Параметры'!$C$7&gt;=0),'Параметры'!$C$7*C25/365,NA())</x:f>
        <x:v>0.00595890410958904</x:v>
      </x:c>
      <x:c r="J25" s="32" t="n">
        <x:f>J24/(1+I25)</x:f>
        <x:v>0.8899785670081839</x:v>
      </x:c>
      <x:c r="K25" s="33" t="n">
        <x:f>IF(AND(ISNUMBER('Параметры'!$C$8),'Параметры'!$C$8&gt;=0),'Параметры'!$C$8*C25/365,NA())</x:f>
        <x:v>0.00595890410958904</x:v>
      </x:c>
      <x:c r="L25" s="32" t="n">
        <x:f>L24/(1+K25)</x:f>
        <x:v>0.8899785670081839</x:v>
      </x:c>
      <x:c r="M25" s="30" t="n">
        <x:f>E25*L25</x:f>
        <x:v>18293.96333392239</x:v>
      </x:c>
      <x:c r="N25" s="30" t="n">
        <x:f>F25*L25</x:f>
        <x:v>9715.255231460098</x:v>
      </x:c>
      <x:c r="O25" s="30" t="n">
        <x:f>G25*L25</x:f>
        <x:v>28009.218565382493</x:v>
      </x:c>
    </x:row>
    <x:row r="26" ht="21" customHeight="1">
      <x:c r="A26" s="28" t="n">
        <x:v>20</x:v>
      </x:c>
      <x:c r="B26" s="29" t="n">
        <x:v>45404</x:v>
      </x:c>
      <x:c r="C26" s="28" t="n">
        <x:f>B26-B25</x:f>
        <x:v>31</x:v>
      </x:c>
      <x:c r="D26" s="30" t="n">
        <x:f>H25</x:f>
        <x:v>3438628.57</x:v>
      </x:c>
      <x:c r="E26" s="30" t="n">
        <x:f>ROUND(D26*I26,2)</x:f>
        <x:v>21903.59</x:v>
      </x:c>
      <x:c r="F26" s="30" t="n">
        <x:f>MIN(D26,'Параметры'!$C$13)</x:f>
        <x:v>10916.28</x:v>
      </x:c>
      <x:c r="G26" s="30" t="n">
        <x:f>ROUND(E26+F26,2)</x:f>
        <x:v>32819.87</x:v>
      </x:c>
      <x:c r="H26" s="30" t="n">
        <x:f>ROUND(D26-F26,2)</x:f>
        <x:v>3427712.29</x:v>
      </x:c>
      <x:c r="I26" s="33" t="n">
        <x:f>IF(AND(ISNUMBER('Параметры'!$C$7),'Параметры'!$C$7&gt;=0),'Параметры'!$C$7*C26/365,NA())</x:f>
        <x:v>0.00636986301369863</x:v>
      </x:c>
      <x:c r="J26" s="32" t="n">
        <x:f>J25/(1+I26)</x:f>
        <x:v>0.884345407903048</x:v>
      </x:c>
      <x:c r="K26" s="33" t="n">
        <x:f>IF(AND(ISNUMBER('Параметры'!$C$8),'Параметры'!$C$8&gt;=0),'Параметры'!$C$8*C26/365,NA())</x:f>
        <x:v>0.00636986301369863</x:v>
      </x:c>
      <x:c r="L26" s="32" t="n">
        <x:f>L25/(1+K26)</x:f>
        <x:v>0.884345407903048</x:v>
      </x:c>
      <x:c r="M26" s="30" t="n">
        <x:f>E26*L26</x:f>
        <x:v>19370.339233091123</x:v>
      </x:c>
      <x:c r="N26" s="30" t="n">
        <x:f>F26*L26</x:f>
        <x:v>9653.762089383887</x:v>
      </x:c>
      <x:c r="O26" s="30" t="n">
        <x:f>G26*L26</x:f>
        <x:v>29024.101322475013</x:v>
      </x:c>
    </x:row>
    <x:row r="27" ht="21" customHeight="1">
      <x:c r="A27" s="28" t="n">
        <x:v>21</x:v>
      </x:c>
      <x:c r="B27" s="29" t="n">
        <x:v>45434</x:v>
      </x:c>
      <x:c r="C27" s="28" t="n">
        <x:f>B27-B26</x:f>
        <x:v>30</x:v>
      </x:c>
      <x:c r="D27" s="30" t="n">
        <x:f>H26</x:f>
        <x:v>3427712.29</x:v>
      </x:c>
      <x:c r="E27" s="30" t="n">
        <x:f>ROUND(D27*I27,2)</x:f>
        <x:v>21129.73</x:v>
      </x:c>
      <x:c r="F27" s="30" t="n">
        <x:f>MIN(D27,'Параметры'!$C$13)</x:f>
        <x:v>10916.28</x:v>
      </x:c>
      <x:c r="G27" s="30" t="n">
        <x:f>ROUND(E27+F27,2)</x:f>
        <x:v>32046.01</x:v>
      </x:c>
      <x:c r="H27" s="30" t="n">
        <x:f>ROUND(D27-F27,2)</x:f>
        <x:v>3416796.01</x:v>
      </x:c>
      <x:c r="I27" s="33" t="n">
        <x:f>IF(AND(ISNUMBER('Параметры'!$C$7),'Параметры'!$C$7&gt;=0),'Параметры'!$C$7*C27/365,NA())</x:f>
        <x:v>0.0061643835616438354</x:v>
      </x:c>
      <x:c r="J27" s="32" t="n">
        <x:f>J26/(1+I27)</x:f>
        <x:v>0.8789273625176652</x:v>
      </x:c>
      <x:c r="K27" s="33" t="n">
        <x:f>IF(AND(ISNUMBER('Параметры'!$C$8),'Параметры'!$C$8&gt;=0),'Параметры'!$C$8*C27/365,NA())</x:f>
        <x:v>0.0061643835616438354</x:v>
      </x:c>
      <x:c r="L27" s="32" t="n">
        <x:f>L26/(1+K27)</x:f>
        <x:v>0.8789273625176652</x:v>
      </x:c>
      <x:c r="M27" s="30" t="n">
        <x:f>E27*L27</x:f>
        <x:v>18571.497859610387</x:v>
      </x:c>
      <x:c r="N27" s="30" t="n">
        <x:f>F27*L27</x:f>
        <x:v>9594.61718890434</x:v>
      </x:c>
      <x:c r="O27" s="30" t="n">
        <x:f>G27*L27</x:f>
        <x:v>28166.115048514723</x:v>
      </x:c>
    </x:row>
    <x:row r="28" ht="21" customHeight="1">
      <x:c r="A28" s="28" t="n">
        <x:v>22</x:v>
      </x:c>
      <x:c r="B28" s="29" t="n">
        <x:v>45465</x:v>
      </x:c>
      <x:c r="C28" s="28" t="n">
        <x:f>B28-B27</x:f>
        <x:v>31</x:v>
      </x:c>
      <x:c r="D28" s="30" t="n">
        <x:f>H27</x:f>
        <x:v>3416796.01</x:v>
      </x:c>
      <x:c r="E28" s="30" t="n">
        <x:f>ROUND(D28*I28,2)</x:f>
        <x:v>21764.52</x:v>
      </x:c>
      <x:c r="F28" s="30" t="n">
        <x:f>MIN(D28,'Параметры'!$C$13)</x:f>
        <x:v>10916.28</x:v>
      </x:c>
      <x:c r="G28" s="30" t="n">
        <x:f>ROUND(E28+F28,2)</x:f>
        <x:v>32680.8</x:v>
      </x:c>
      <x:c r="H28" s="30" t="n">
        <x:f>ROUND(D28-F28,2)</x:f>
        <x:v>3405879.73</x:v>
      </x:c>
      <x:c r="I28" s="33" t="n">
        <x:f>IF(AND(ISNUMBER('Параметры'!$C$7),'Параметры'!$C$7&gt;=0),'Параметры'!$C$7*C28/365,NA())</x:f>
        <x:v>0.00636986301369863</x:v>
      </x:c>
      <x:c r="J28" s="32" t="n">
        <x:f>J27/(1+I28)</x:f>
        <x:v>0.8733641525051326</x:v>
      </x:c>
      <x:c r="K28" s="33" t="n">
        <x:f>IF(AND(ISNUMBER('Параметры'!$C$8),'Параметры'!$C$8&gt;=0),'Параметры'!$C$8*C28/365,NA())</x:f>
        <x:v>0.00636986301369863</x:v>
      </x:c>
      <x:c r="L28" s="32" t="n">
        <x:f>L27/(1+K28)</x:f>
        <x:v>0.8733641525051326</x:v>
      </x:c>
      <x:c r="M28" s="30" t="n">
        <x:f>E28*L28</x:f>
        <x:v>19008.351564481007</x:v>
      </x:c>
      <x:c r="N28" s="30" t="n">
        <x:f>F28*L28</x:f>
        <x:v>9533.887630708728</x:v>
      </x:c>
      <x:c r="O28" s="30" t="n">
        <x:f>G28*L28</x:f>
        <x:v>28542.239195189737</x:v>
      </x:c>
    </x:row>
    <x:row r="29" ht="21" customHeight="1">
      <x:c r="A29" s="28" t="n">
        <x:v>23</x:v>
      </x:c>
      <x:c r="B29" s="29" t="n">
        <x:v>45495</x:v>
      </x:c>
      <x:c r="C29" s="28" t="n">
        <x:f>B29-B28</x:f>
        <x:v>30</x:v>
      </x:c>
      <x:c r="D29" s="30" t="n">
        <x:f>H28</x:f>
        <x:v>3405879.73</x:v>
      </x:c>
      <x:c r="E29" s="30" t="n">
        <x:f>ROUND(D29*I29,2)</x:f>
        <x:v>20995.15</x:v>
      </x:c>
      <x:c r="F29" s="30" t="n">
        <x:f>MIN(D29,'Параметры'!$C$13)</x:f>
        <x:v>10916.28</x:v>
      </x:c>
      <x:c r="G29" s="30" t="n">
        <x:f>ROUND(E29+F29,2)</x:f>
        <x:v>31911.43</x:v>
      </x:c>
      <x:c r="H29" s="30" t="n">
        <x:f>ROUND(D29-F29,2)</x:f>
        <x:v>3394963.45</x:v>
      </x:c>
      <x:c r="I29" s="33" t="n">
        <x:f>IF(AND(ISNUMBER('Параметры'!$C$7),'Параметры'!$C$7&gt;=0),'Параметры'!$C$7*C29/365,NA())</x:f>
        <x:v>0.0061643835616438354</x:v>
      </x:c>
      <x:c r="J29" s="32" t="n">
        <x:f>J28/(1+I29)</x:f>
        <x:v>0.8680133850629635</x:v>
      </x:c>
      <x:c r="K29" s="33" t="n">
        <x:f>IF(AND(ISNUMBER('Параметры'!$C$8),'Параметры'!$C$8&gt;=0),'Параметры'!$C$8*C29/365,NA())</x:f>
        <x:v>0.0061643835616438354</x:v>
      </x:c>
      <x:c r="L29" s="32" t="n">
        <x:f>L28/(1+K29)</x:f>
        <x:v>0.8680133850629635</x:v>
      </x:c>
      <x:c r="M29" s="30" t="n">
        <x:f>E29*L29</x:f>
        <x:v>18224.07122140468</x:v>
      </x:c>
      <x:c r="N29" s="30" t="n">
        <x:f>F29*L29</x:f>
        <x:v>9475.477155095128</x:v>
      </x:c>
      <x:c r="O29" s="30" t="n">
        <x:f>G29*L29</x:f>
        <x:v>27699.548376499806</x:v>
      </x:c>
    </x:row>
    <x:row r="30" ht="21" customHeight="1">
      <x:c r="A30" s="28" t="n">
        <x:v>24</x:v>
      </x:c>
      <x:c r="B30" s="29" t="n">
        <x:v>45526</x:v>
      </x:c>
      <x:c r="C30" s="28" t="n">
        <x:f>B30-B29</x:f>
        <x:v>31</x:v>
      </x:c>
      <x:c r="D30" s="30" t="n">
        <x:f>H29</x:f>
        <x:v>3394963.45</x:v>
      </x:c>
      <x:c r="E30" s="30" t="n">
        <x:f>ROUND(D30*I30,2)</x:f>
        <x:v>21625.45</x:v>
      </x:c>
      <x:c r="F30" s="30" t="n">
        <x:f>MIN(D30,'Параметры'!$C$13)</x:f>
        <x:v>10916.28</x:v>
      </x:c>
      <x:c r="G30" s="30" t="n">
        <x:f>ROUND(E30+F30,2)</x:f>
        <x:v>32541.73</x:v>
      </x:c>
      <x:c r="H30" s="30" t="n">
        <x:f>ROUND(D30-F30,2)</x:f>
        <x:v>3384047.17</x:v>
      </x:c>
      <x:c r="I30" s="33" t="n">
        <x:f>IF(AND(ISNUMBER('Параметры'!$C$7),'Параметры'!$C$7&gt;=0),'Параметры'!$C$7*C30/365,NA())</x:f>
        <x:v>0.00636986301369863</x:v>
      </x:c>
      <x:c r="J30" s="32" t="n">
        <x:f>J29/(1+I30)</x:f>
        <x:v>0.8625192555583794</x:v>
      </x:c>
      <x:c r="K30" s="33" t="n">
        <x:f>IF(AND(ISNUMBER('Параметры'!$C$8),'Параметры'!$C$8&gt;=0),'Параметры'!$C$8*C30/365,NA())</x:f>
        <x:v>0.00636986301369863</x:v>
      </x:c>
      <x:c r="L30" s="32" t="n">
        <x:f>L29/(1+K30)</x:f>
        <x:v>0.8625192555583794</x:v>
      </x:c>
      <x:c r="M30" s="30" t="n">
        <x:f>E30*L30</x:f>
        <x:v>18652.367035114956</x:v>
      </x:c>
      <x:c r="N30" s="30" t="n">
        <x:f>F30*L30</x:f>
        <x:v>9415.501699066826</x:v>
      </x:c>
      <x:c r="O30" s="30" t="n">
        <x:f>G30*L30</x:f>
        <x:v>28067.868734181782</x:v>
      </x:c>
    </x:row>
    <x:row r="31" ht="21" customHeight="1">
      <x:c r="A31" s="28" t="n">
        <x:v>25</x:v>
      </x:c>
      <x:c r="B31" s="29" t="n">
        <x:v>45557</x:v>
      </x:c>
      <x:c r="C31" s="28" t="n">
        <x:f>B31-B30</x:f>
        <x:v>31</x:v>
      </x:c>
      <x:c r="D31" s="30" t="n">
        <x:f>H30</x:f>
        <x:v>3384047.17</x:v>
      </x:c>
      <x:c r="E31" s="30" t="n">
        <x:f>ROUND(D31*I31,2)</x:f>
        <x:v>21555.92</x:v>
      </x:c>
      <x:c r="F31" s="30" t="n">
        <x:f>MIN(D31,'Параметры'!$C$13)</x:f>
        <x:v>10916.28</x:v>
      </x:c>
      <x:c r="G31" s="30" t="n">
        <x:f>ROUND(E31+F31,2)</x:f>
        <x:v>32472.2</x:v>
      </x:c>
      <x:c r="H31" s="30" t="n">
        <x:f>ROUND(D31-F31,2)</x:f>
        <x:v>3373130.89</x:v>
      </x:c>
      <x:c r="I31" s="33" t="n">
        <x:f>IF(AND(ISNUMBER('Параметры'!$C$7),'Параметры'!$C$7&gt;=0),'Параметры'!$C$7*C31/365,NA())</x:f>
        <x:v>0.00636986301369863</x:v>
      </x:c>
      <x:c r="J31" s="32" t="n">
        <x:f>J30/(1+I31)</x:f>
        <x:v>0.8570599013919785</x:v>
      </x:c>
      <x:c r="K31" s="33" t="n">
        <x:f>IF(AND(ISNUMBER('Параметры'!$C$8),'Параметры'!$C$8&gt;=0),'Параметры'!$C$8*C31/365,NA())</x:f>
        <x:v>0.00636986301369863</x:v>
      </x:c>
      <x:c r="L31" s="32" t="n">
        <x:f>L30/(1+K31)</x:f>
        <x:v>0.8570599013919785</x:v>
      </x:c>
      <x:c r="M31" s="30" t="n">
        <x:f>E31*L31</x:f>
        <x:v>18474.714669613375</x:v>
      </x:c>
      <x:c r="N31" s="30" t="n">
        <x:f>F31*L31</x:f>
        <x:v>9355.905860367227</x:v>
      </x:c>
      <x:c r="O31" s="30" t="n">
        <x:f>G31*L31</x:f>
        <x:v>27830.620529980606</x:v>
      </x:c>
    </x:row>
    <x:row r="32" ht="21" customHeight="1">
      <x:c r="A32" s="28" t="n">
        <x:v>26</x:v>
      </x:c>
      <x:c r="B32" s="29" t="n">
        <x:v>45587</x:v>
      </x:c>
      <x:c r="C32" s="28" t="n">
        <x:f>B32-B31</x:f>
        <x:v>30</x:v>
      </x:c>
      <x:c r="D32" s="30" t="n">
        <x:f>H31</x:f>
        <x:v>3373130.89</x:v>
      </x:c>
      <x:c r="E32" s="30" t="n">
        <x:f>ROUND(D32*I32,2)</x:f>
        <x:v>20793.27</x:v>
      </x:c>
      <x:c r="F32" s="30" t="n">
        <x:f>MIN(D32,'Параметры'!$C$13)</x:f>
        <x:v>10916.28</x:v>
      </x:c>
      <x:c r="G32" s="30" t="n">
        <x:f>ROUND(E32+F32,2)</x:f>
        <x:v>31709.55</x:v>
      </x:c>
      <x:c r="H32" s="30" t="n">
        <x:f>ROUND(D32-F32,2)</x:f>
        <x:v>3362214.61</x:v>
      </x:c>
      <x:c r="I32" s="33" t="n">
        <x:f>IF(AND(ISNUMBER('Параметры'!$C$7),'Параметры'!$C$7&gt;=0),'Параметры'!$C$7*C32/365,NA())</x:f>
        <x:v>0.0061643835616438354</x:v>
      </x:c>
      <x:c r="J32" s="32" t="n">
        <x:f>J31/(1+I32)</x:f>
        <x:v>0.8518090238477118</x:v>
      </x:c>
      <x:c r="K32" s="33" t="n">
        <x:f>IF(AND(ISNUMBER('Параметры'!$C$8),'Параметры'!$C$8&gt;=0),'Параметры'!$C$8*C32/365,NA())</x:f>
        <x:v>0.0061643835616438354</x:v>
      </x:c>
      <x:c r="L32" s="32" t="n">
        <x:f>L31/(1+K32)</x:f>
        <x:v>0.8518090238477118</x:v>
      </x:c>
      <x:c r="M32" s="30" t="n">
        <x:f>E32*L32</x:f>
        <x:v>17711.895021301912</x:v>
      </x:c>
      <x:c r="N32" s="30" t="n">
        <x:f>F32*L32</x:f>
        <x:v>9298.5858108483</x:v>
      </x:c>
      <x:c r="O32" s="30" t="n">
        <x:f>G32*L32</x:f>
        <x:v>27010.48083215021</x:v>
      </x:c>
    </x:row>
    <x:row r="33" ht="21" customHeight="1">
      <x:c r="A33" s="28" t="n">
        <x:v>27</x:v>
      </x:c>
      <x:c r="B33" s="29" t="n">
        <x:v>45618</x:v>
      </x:c>
      <x:c r="C33" s="28" t="n">
        <x:f>B33-B32</x:f>
        <x:v>31</x:v>
      </x:c>
      <x:c r="D33" s="30" t="n">
        <x:f>H32</x:f>
        <x:v>3362214.61</x:v>
      </x:c>
      <x:c r="E33" s="30" t="n">
        <x:f>ROUND(D33*I33,2)</x:f>
        <x:v>21416.85</x:v>
      </x:c>
      <x:c r="F33" s="30" t="n">
        <x:f>MIN(D33,'Параметры'!$C$13)</x:f>
        <x:v>10916.28</x:v>
      </x:c>
      <x:c r="G33" s="30" t="n">
        <x:f>ROUND(E33+F33,2)</x:f>
        <x:v>32333.13</x:v>
      </x:c>
      <x:c r="H33" s="30" t="n">
        <x:f>ROUND(D33-F33,2)</x:f>
        <x:v>3351298.33</x:v>
      </x:c>
      <x:c r="I33" s="33" t="n">
        <x:f>IF(AND(ISNUMBER('Параметры'!$C$7),'Параметры'!$C$7&gt;=0),'Параметры'!$C$7*C33/365,NA())</x:f>
        <x:v>0.00636986301369863</x:v>
      </x:c>
      <x:c r="J33" s="32" t="n">
        <x:f>J32/(1+I33)</x:f>
        <x:v>0.8464174605714689</x:v>
      </x:c>
      <x:c r="K33" s="33" t="n">
        <x:f>IF(AND(ISNUMBER('Параметры'!$C$8),'Параметры'!$C$8&gt;=0),'Параметры'!$C$8*C33/365,NA())</x:f>
        <x:v>0.00636986301369863</x:v>
      </x:c>
      <x:c r="L33" s="32" t="n">
        <x:f>L32/(1+K33)</x:f>
        <x:v>0.8464174605714689</x:v>
      </x:c>
      <x:c r="M33" s="30" t="n">
        <x:f>E33*L33</x:f>
        <x:v>18127.595790440064</x:v>
      </x:c>
      <x:c r="N33" s="30" t="n">
        <x:f>F33*L33</x:f>
        <x:v>9239.729996487116</x:v>
      </x:c>
      <x:c r="O33" s="30" t="n">
        <x:f>G33*L33</x:f>
        <x:v>27367.32578692718</x:v>
      </x:c>
    </x:row>
    <x:row r="34" ht="21" customHeight="1">
      <x:c r="A34" s="28" t="n">
        <x:v>28</x:v>
      </x:c>
      <x:c r="B34" s="29" t="n">
        <x:v>45648</x:v>
      </x:c>
      <x:c r="C34" s="28" t="n">
        <x:f>B34-B33</x:f>
        <x:v>30</x:v>
      </x:c>
      <x:c r="D34" s="30" t="n">
        <x:f>H33</x:f>
        <x:v>3351298.33</x:v>
      </x:c>
      <x:c r="E34" s="30" t="n">
        <x:f>ROUND(D34*I34,2)</x:f>
        <x:v>20658.69</x:v>
      </x:c>
      <x:c r="F34" s="30" t="n">
        <x:f>MIN(D34,'Параметры'!$C$13)</x:f>
        <x:v>10916.28</x:v>
      </x:c>
      <x:c r="G34" s="30" t="n">
        <x:f>ROUND(E34+F34,2)</x:f>
        <x:v>31574.97</x:v>
      </x:c>
      <x:c r="H34" s="30" t="n">
        <x:f>ROUND(D34-F34,2)</x:f>
        <x:v>3340382.05</x:v>
      </x:c>
      <x:c r="I34" s="33" t="n">
        <x:f>IF(AND(ISNUMBER('Параметры'!$C$7),'Параметры'!$C$7&gt;=0),'Параметры'!$C$7*C34/365,NA())</x:f>
        <x:v>0.0061643835616438354</x:v>
      </x:c>
      <x:c r="J34" s="32" t="n">
        <x:f>J33/(1+I34)</x:f>
        <x:v>0.8412317851833524</x:v>
      </x:c>
      <x:c r="K34" s="33" t="n">
        <x:f>IF(AND(ISNUMBER('Параметры'!$C$8),'Параметры'!$C$8&gt;=0),'Параметры'!$C$8*C34/365,NA())</x:f>
        <x:v>0.0061643835616438354</x:v>
      </x:c>
      <x:c r="L34" s="32" t="n">
        <x:f>L33/(1+K34)</x:f>
        <x:v>0.8412317851833524</x:v>
      </x:c>
      <x:c r="M34" s="30" t="n">
        <x:f>E34*L34</x:f>
        <x:v>17378.74666824947</x:v>
      </x:c>
      <x:c r="N34" s="30" t="n">
        <x:f>F34*L34</x:f>
        <x:v>9183.121711961327</x:v>
      </x:c>
      <x:c r="O34" s="30" t="n">
        <x:f>G34*L34</x:f>
        <x:v>26561.8683802108</x:v>
      </x:c>
    </x:row>
    <x:row r="35" ht="21" customHeight="1">
      <x:c r="A35" s="28" t="n">
        <x:v>29</x:v>
      </x:c>
      <x:c r="B35" s="29" t="n">
        <x:v>45679</x:v>
      </x:c>
      <x:c r="C35" s="28" t="n">
        <x:f>B35-B34</x:f>
        <x:v>31</x:v>
      </x:c>
      <x:c r="D35" s="30" t="n">
        <x:f>H34</x:f>
        <x:v>3340382.05</x:v>
      </x:c>
      <x:c r="E35" s="30" t="n">
        <x:f>ROUND(D35*I35,2)</x:f>
        <x:v>21277.78</x:v>
      </x:c>
      <x:c r="F35" s="30" t="n">
        <x:f>MIN(D35,'Параметры'!$C$13)</x:f>
        <x:v>10916.28</x:v>
      </x:c>
      <x:c r="G35" s="30" t="n">
        <x:f>ROUND(E35+F35,2)</x:f>
        <x:v>32194.06</x:v>
      </x:c>
      <x:c r="H35" s="30" t="n">
        <x:f>ROUND(D35-F35,2)</x:f>
        <x:v>3329465.77</x:v>
      </x:c>
      <x:c r="I35" s="33" t="n">
        <x:f>IF(AND(ISNUMBER('Параметры'!$C$7),'Параметры'!$C$7&gt;=0),'Параметры'!$C$7*C35/365,NA())</x:f>
        <x:v>0.00636986301369863</x:v>
      </x:c>
      <x:c r="J35" s="32" t="n">
        <x:f>J34/(1+I35)</x:f>
        <x:v>0.8359071710118386</x:v>
      </x:c>
      <x:c r="K35" s="33" t="n">
        <x:f>IF(AND(ISNUMBER('Параметры'!$C$8),'Параметры'!$C$8&gt;=0),'Параметры'!$C$8*C35/365,NA())</x:f>
        <x:v>0.00636986301369863</x:v>
      </x:c>
      <x:c r="L35" s="32" t="n">
        <x:f>L34/(1+K35)</x:f>
        <x:v>0.8359071710118386</x:v>
      </x:c>
      <x:c r="M35" s="30" t="n">
        <x:f>E35*L35</x:f>
        <x:v>17786.24888521228</x:v>
      </x:c>
      <x:c r="N35" s="30" t="n">
        <x:f>F35*L35</x:f>
        <x:v>9124.996732773114</x:v>
      </x:c>
      <x:c r="O35" s="30" t="n">
        <x:f>G35*L35</x:f>
        <x:v>26911.245617985394</x:v>
      </x:c>
    </x:row>
    <x:row r="36" ht="21" customHeight="1">
      <x:c r="A36" s="28" t="n">
        <x:v>30</x:v>
      </x:c>
      <x:c r="B36" s="29" t="n">
        <x:v>45710</x:v>
      </x:c>
      <x:c r="C36" s="28" t="n">
        <x:f>B36-B35</x:f>
        <x:v>31</x:v>
      </x:c>
      <x:c r="D36" s="30" t="n">
        <x:f>H35</x:f>
        <x:v>3329465.77</x:v>
      </x:c>
      <x:c r="E36" s="30" t="n">
        <x:f>ROUND(D36*I36,2)</x:f>
        <x:v>21208.24</x:v>
      </x:c>
      <x:c r="F36" s="30" t="n">
        <x:f>MIN(D36,'Параметры'!$C$13)</x:f>
        <x:v>10916.28</x:v>
      </x:c>
      <x:c r="G36" s="30" t="n">
        <x:f>ROUND(E36+F36,2)</x:f>
        <x:v>32124.52</x:v>
      </x:c>
      <x:c r="H36" s="30" t="n">
        <x:f>ROUND(D36-F36,2)</x:f>
        <x:v>3318549.49</x:v>
      </x:c>
      <x:c r="I36" s="33" t="n">
        <x:f>IF(AND(ISNUMBER('Параметры'!$C$7),'Параметры'!$C$7&gt;=0),'Параметры'!$C$7*C36/365,NA())</x:f>
        <x:v>0.00636986301369863</x:v>
      </x:c>
      <x:c r="J36" s="32" t="n">
        <x:f>J35/(1+I36)</x:f>
        <x:v>0.8306162592236334</x:v>
      </x:c>
      <x:c r="K36" s="33" t="n">
        <x:f>IF(AND(ISNUMBER('Параметры'!$C$8),'Параметры'!$C$8&gt;=0),'Параметры'!$C$8*C36/365,NA())</x:f>
        <x:v>0.00636986301369863</x:v>
      </x:c>
      <x:c r="L36" s="32" t="n">
        <x:f>L35/(1+K36)</x:f>
        <x:v>0.8306162592236334</x:v>
      </x:c>
      <x:c r="M36" s="30" t="n">
        <x:f>E36*L36</x:f>
        <x:v>17615.90897351703</x:v>
      </x:c>
      <x:c r="N36" s="30" t="n">
        <x:f>F36*L36</x:f>
        <x:v>9067.239658237764</x:v>
      </x:c>
      <x:c r="O36" s="30" t="n">
        <x:f>G36*L36</x:f>
        <x:v>26683.148631754793</x:v>
      </x:c>
    </x:row>
    <x:row r="37" ht="21" customHeight="1">
      <x:c r="A37" s="28" t="n">
        <x:v>31</x:v>
      </x:c>
      <x:c r="B37" s="29" t="n">
        <x:v>45738</x:v>
      </x:c>
      <x:c r="C37" s="28" t="n">
        <x:f>B37-B36</x:f>
        <x:v>28</x:v>
      </x:c>
      <x:c r="D37" s="30" t="n">
        <x:f>H36</x:f>
        <x:v>3318549.49</x:v>
      </x:c>
      <x:c r="E37" s="30" t="n">
        <x:f>ROUND(D37*I37,2)</x:f>
        <x:v>19093.02</x:v>
      </x:c>
      <x:c r="F37" s="30" t="n">
        <x:f>MIN(D37,'Параметры'!$C$13)</x:f>
        <x:v>10916.28</x:v>
      </x:c>
      <x:c r="G37" s="30" t="n">
        <x:f>ROUND(E37+F37,2)</x:f>
        <x:v>30009.3</x:v>
      </x:c>
      <x:c r="H37" s="30" t="n">
        <x:f>ROUND(D37-F37,2)</x:f>
        <x:v>3307633.21</x:v>
      </x:c>
      <x:c r="I37" s="33" t="n">
        <x:f>IF(AND(ISNUMBER('Параметры'!$C$7),'Параметры'!$C$7&gt;=0),'Параметры'!$C$7*C37/365,NA())</x:f>
        <x:v>0.005753424657534247</x:v>
      </x:c>
      <x:c r="J37" s="32" t="n">
        <x:f>J36/(1+I37)</x:f>
        <x:v>0.8258647088439831</x:v>
      </x:c>
      <x:c r="K37" s="33" t="n">
        <x:f>IF(AND(ISNUMBER('Параметры'!$C$8),'Параметры'!$C$8&gt;=0),'Параметры'!$C$8*C37/365,NA())</x:f>
        <x:v>0.005753424657534247</x:v>
      </x:c>
      <x:c r="L37" s="32" t="n">
        <x:f>L36/(1+K37)</x:f>
        <x:v>0.8258647088439831</x:v>
      </x:c>
      <x:c r="M37" s="30" t="n">
        <x:f>E37*L37</x:f>
        <x:v>15768.251403252347</x:v>
      </x:c>
      <x:c r="N37" s="30" t="n">
        <x:f>F37*L37</x:f>
        <x:v>9015.370403859397</x:v>
      </x:c>
      <x:c r="O37" s="30" t="n">
        <x:f>G37*L37</x:f>
        <x:v>24783.62180711174</x:v>
      </x:c>
    </x:row>
    <x:row r="38" ht="21" customHeight="1">
      <x:c r="A38" s="28" t="n">
        <x:v>32</x:v>
      </x:c>
      <x:c r="B38" s="29" t="n">
        <x:v>45769</x:v>
      </x:c>
      <x:c r="C38" s="28" t="n">
        <x:f>B38-B37</x:f>
        <x:v>31</x:v>
      </x:c>
      <x:c r="D38" s="30" t="n">
        <x:f>H37</x:f>
        <x:v>3307633.21</x:v>
      </x:c>
      <x:c r="E38" s="30" t="n">
        <x:f>ROUND(D38*I38,2)</x:f>
        <x:v>21069.17</x:v>
      </x:c>
      <x:c r="F38" s="30" t="n">
        <x:f>MIN(D38,'Параметры'!$C$13)</x:f>
        <x:v>10916.28</x:v>
      </x:c>
      <x:c r="G38" s="30" t="n">
        <x:f>ROUND(E38+F38,2)</x:f>
        <x:v>31985.45</x:v>
      </x:c>
      <x:c r="H38" s="30" t="n">
        <x:f>ROUND(D38-F38,2)</x:f>
        <x:v>3296716.93</x:v>
      </x:c>
      <x:c r="I38" s="33" t="n">
        <x:f>IF(AND(ISNUMBER('Параметры'!$C$7),'Параметры'!$C$7&gt;=0),'Параметры'!$C$7*C38/365,NA())</x:f>
        <x:v>0.00636986301369863</x:v>
      </x:c>
      <x:c r="J38" s="32" t="n">
        <x:f>J37/(1+I38)</x:f>
        <x:v>0.820637361268778</x:v>
      </x:c>
      <x:c r="K38" s="33" t="n">
        <x:f>IF(AND(ISNUMBER('Параметры'!$C$8),'Параметры'!$C$8&gt;=0),'Параметры'!$C$8*C38/365,NA())</x:f>
        <x:v>0.00636986301369863</x:v>
      </x:c>
      <x:c r="L38" s="32" t="n">
        <x:f>L37/(1+K38)</x:f>
        <x:v>0.820637361268778</x:v>
      </x:c>
      <x:c r="M38" s="30" t="n">
        <x:f>E38*L38</x:f>
        <x:v>17290.148072923297</x:v>
      </x:c>
      <x:c r="N38" s="30" t="n">
        <x:f>F38*L38</x:f>
        <x:v>8958.307214071136</x:v>
      </x:c>
      <x:c r="O38" s="30" t="n">
        <x:f>G38*L38</x:f>
        <x:v>26248.455286994435</x:v>
      </x:c>
    </x:row>
    <x:row r="39" ht="21" customHeight="1">
      <x:c r="A39" s="28" t="n">
        <x:v>33</x:v>
      </x:c>
      <x:c r="B39" s="29" t="n">
        <x:v>45799</x:v>
      </x:c>
      <x:c r="C39" s="28" t="n">
        <x:f>B39-B38</x:f>
        <x:v>30</x:v>
      </x:c>
      <x:c r="D39" s="30" t="n">
        <x:f>H38</x:f>
        <x:v>3296716.93</x:v>
      </x:c>
      <x:c r="E39" s="30" t="n">
        <x:f>ROUND(D39*I39,2)</x:f>
        <x:v>20322.23</x:v>
      </x:c>
      <x:c r="F39" s="30" t="n">
        <x:f>MIN(D39,'Параметры'!$C$13)</x:f>
        <x:v>10916.28</x:v>
      </x:c>
      <x:c r="G39" s="30" t="n">
        <x:f>ROUND(E39+F39,2)</x:f>
        <x:v>31238.51</x:v>
      </x:c>
      <x:c r="H39" s="30" t="n">
        <x:f>ROUND(D39-F39,2)</x:f>
        <x:v>3285800.65</x:v>
      </x:c>
      <x:c r="I39" s="33" t="n">
        <x:f>IF(AND(ISNUMBER('Параметры'!$C$7),'Параметры'!$C$7&gt;=0),'Параметры'!$C$7*C39/365,NA())</x:f>
        <x:v>0.0061643835616438354</x:v>
      </x:c>
      <x:c r="J39" s="32" t="n">
        <x:f>J38/(1+I39)</x:f>
        <x:v>0.815609630668765</x:v>
      </x:c>
      <x:c r="K39" s="33" t="n">
        <x:f>IF(AND(ISNUMBER('Параметры'!$C$8),'Параметры'!$C$8&gt;=0),'Параметры'!$C$8*C39/365,NA())</x:f>
        <x:v>0.0061643835616438354</x:v>
      </x:c>
      <x:c r="L39" s="32" t="n">
        <x:f>L38/(1+K39)</x:f>
        <x:v>0.815609630668765</x:v>
      </x:c>
      <x:c r="M39" s="30" t="n">
        <x:f>E39*L39</x:f>
        <x:v>16575.006504665696</x:v>
      </x:c>
      <x:c r="N39" s="30" t="n">
        <x:f>F39*L39</x:f>
        <x:v>8903.423099076826</x:v>
      </x:c>
      <x:c r="O39" s="30" t="n">
        <x:f>G39*L39</x:f>
        <x:v>25478.429603742523</x:v>
      </x:c>
    </x:row>
    <x:row r="40" ht="21" customHeight="1">
      <x:c r="A40" s="28" t="n">
        <x:v>34</x:v>
      </x:c>
      <x:c r="B40" s="29" t="n">
        <x:v>45830</x:v>
      </x:c>
      <x:c r="C40" s="28" t="n">
        <x:f>B40-B39</x:f>
        <x:v>31</x:v>
      </x:c>
      <x:c r="D40" s="30" t="n">
        <x:f>H39</x:f>
        <x:v>3285800.65</x:v>
      </x:c>
      <x:c r="E40" s="30" t="n">
        <x:f>ROUND(D40*I40,2)</x:f>
        <x:v>20930.1</x:v>
      </x:c>
      <x:c r="F40" s="30" t="n">
        <x:f>MIN(D40,'Параметры'!$C$13)</x:f>
        <x:v>10916.28</x:v>
      </x:c>
      <x:c r="G40" s="30" t="n">
        <x:f>ROUND(E40+F40,2)</x:f>
        <x:v>31846.38</x:v>
      </x:c>
      <x:c r="H40" s="30" t="n">
        <x:f>ROUND(D40-F40,2)</x:f>
        <x:v>3274884.37</x:v>
      </x:c>
      <x:c r="I40" s="33" t="n">
        <x:f>IF(AND(ISNUMBER('Параметры'!$C$7),'Параметры'!$C$7&gt;=0),'Параметры'!$C$7*C40/365,NA())</x:f>
        <x:v>0.00636986301369863</x:v>
      </x:c>
      <x:c r="J40" s="32" t="n">
        <x:f>J39/(1+I40)</x:f>
        <x:v>0.8104471930690784</x:v>
      </x:c>
      <x:c r="K40" s="33" t="n">
        <x:f>IF(AND(ISNUMBER('Параметры'!$C$8),'Параметры'!$C$8&gt;=0),'Параметры'!$C$8*C40/365,NA())</x:f>
        <x:v>0.00636986301369863</x:v>
      </x:c>
      <x:c r="L40" s="32" t="n">
        <x:f>L39/(1+K40)</x:f>
        <x:v>0.8104471930690784</x:v>
      </x:c>
      <x:c r="M40" s="30" t="n">
        <x:f>E40*L40</x:f>
        <x:v>16962.740795655118</x:v>
      </x:c>
      <x:c r="N40" s="30" t="n">
        <x:f>F40*L40</x:f>
        <x:v>8847.06848475612</x:v>
      </x:c>
      <x:c r="O40" s="30" t="n">
        <x:f>G40*L40</x:f>
        <x:v>25809.80928041124</x:v>
      </x:c>
    </x:row>
    <x:row r="41" ht="21" customHeight="1">
      <x:c r="A41" s="28" t="n">
        <x:v>35</x:v>
      </x:c>
      <x:c r="B41" s="29" t="n">
        <x:v>45860</x:v>
      </x:c>
      <x:c r="C41" s="28" t="n">
        <x:f>B41-B40</x:f>
        <x:v>30</x:v>
      </x:c>
      <x:c r="D41" s="30" t="n">
        <x:f>H40</x:f>
        <x:v>3274884.37</x:v>
      </x:c>
      <x:c r="E41" s="30" t="n">
        <x:f>ROUND(D41*I41,2)</x:f>
        <x:v>20187.64</x:v>
      </x:c>
      <x:c r="F41" s="30" t="n">
        <x:f>MIN(D41,'Параметры'!$C$13)</x:f>
        <x:v>10916.28</x:v>
      </x:c>
      <x:c r="G41" s="30" t="n">
        <x:f>ROUND(E41+F41,2)</x:f>
        <x:v>31103.92</x:v>
      </x:c>
      <x:c r="H41" s="30" t="n">
        <x:f>ROUND(D41-F41,2)</x:f>
        <x:v>3263968.09</x:v>
      </x:c>
      <x:c r="I41" s="33" t="n">
        <x:f>IF(AND(ISNUMBER('Параметры'!$C$7),'Параметры'!$C$7&gt;=0),'Параметры'!$C$7*C41/365,NA())</x:f>
        <x:v>0.0061643835616438354</x:v>
      </x:c>
      <x:c r="J41" s="32" t="n">
        <x:f>J40/(1+I41)</x:f>
        <x:v>0.8054818937242032</x:v>
      </x:c>
      <x:c r="K41" s="33" t="n">
        <x:f>IF(AND(ISNUMBER('Параметры'!$C$8),'Параметры'!$C$8&gt;=0),'Параметры'!$C$8*C41/365,NA())</x:f>
        <x:v>0.0061643835616438354</x:v>
      </x:c>
      <x:c r="L41" s="32" t="n">
        <x:f>L40/(1+K41)</x:f>
        <x:v>0.8054818937242032</x:v>
      </x:c>
      <x:c r="M41" s="30" t="n">
        <x:f>E41*L41</x:f>
        <x:v>16260.778497022473</x:v>
      </x:c>
      <x:c r="N41" s="30" t="n">
        <x:f>F41*L41</x:f>
        <x:v>8792.865886823645</x:v>
      </x:c>
      <x:c r="O41" s="30" t="n">
        <x:f>G41*L41</x:f>
        <x:v>25053.644383846116</x:v>
      </x:c>
    </x:row>
    <x:row r="42" ht="21" customHeight="1">
      <x:c r="A42" s="28" t="n">
        <x:v>36</x:v>
      </x:c>
      <x:c r="B42" s="29" t="n">
        <x:v>45891</x:v>
      </x:c>
      <x:c r="C42" s="28" t="n">
        <x:f>B42-B41</x:f>
        <x:v>31</x:v>
      </x:c>
      <x:c r="D42" s="30" t="n">
        <x:f>H41</x:f>
        <x:v>3263968.09</x:v>
      </x:c>
      <x:c r="E42" s="30" t="n">
        <x:f>ROUND(D42*I42,2)</x:f>
        <x:v>20791.03</x:v>
      </x:c>
      <x:c r="F42" s="30" t="n">
        <x:f>MIN(D42,'Параметры'!$C$13)</x:f>
        <x:v>10916.28</x:v>
      </x:c>
      <x:c r="G42" s="30" t="n">
        <x:f>ROUND(E42+F42,2)</x:f>
        <x:v>31707.31</x:v>
      </x:c>
      <x:c r="H42" s="30" t="n">
        <x:f>ROUND(D42-F42,2)</x:f>
        <x:v>3253051.81</x:v>
      </x:c>
      <x:c r="I42" s="33" t="n">
        <x:f>IF(AND(ISNUMBER('Параметры'!$C$7),'Параметры'!$C$7&gt;=0),'Параметры'!$C$7*C42/365,NA())</x:f>
        <x:v>0.00636986301369863</x:v>
      </x:c>
      <x:c r="J42" s="32" t="n">
        <x:f>J41/(1+I42)</x:f>
        <x:v>0.8003835600880261</x:v>
      </x:c>
      <x:c r="K42" s="33" t="n">
        <x:f>IF(AND(ISNUMBER('Параметры'!$C$8),'Параметры'!$C$8&gt;=0),'Параметры'!$C$8*C42/365,NA())</x:f>
        <x:v>0.00636986301369863</x:v>
      </x:c>
      <x:c r="L42" s="32" t="n">
        <x:f>L41/(1+K42)</x:f>
        <x:v>0.8003835600880261</x:v>
      </x:c>
      <x:c r="M42" s="30" t="n">
        <x:f>E42*L42</x:f>
        <x:v>16640.79860929695</x:v>
      </x:c>
      <x:c r="N42" s="30" t="n">
        <x:f>F42*L42</x:f>
        <x:v>8737.211049317719</x:v>
      </x:c>
      <x:c r="O42" s="30" t="n">
        <x:f>G42*L42</x:f>
        <x:v>25378.009658614672</x:v>
      </x:c>
    </x:row>
    <x:row r="43" ht="21" customHeight="1">
      <x:c r="A43" s="28" t="n">
        <x:v>37</x:v>
      </x:c>
      <x:c r="B43" s="29" t="n">
        <x:v>45922</x:v>
      </x:c>
      <x:c r="C43" s="28" t="n">
        <x:f>B43-B42</x:f>
        <x:v>31</x:v>
      </x:c>
      <x:c r="D43" s="30" t="n">
        <x:f>H42</x:f>
        <x:v>3253051.81</x:v>
      </x:c>
      <x:c r="E43" s="30" t="n">
        <x:f>ROUND(D43*I43,2)</x:f>
        <x:v>20721.49</x:v>
      </x:c>
      <x:c r="F43" s="30" t="n">
        <x:f>MIN(D43,'Параметры'!$C$13)</x:f>
        <x:v>10916.28</x:v>
      </x:c>
      <x:c r="G43" s="30" t="n">
        <x:f>ROUND(E43+F43,2)</x:f>
        <x:v>31637.77</x:v>
      </x:c>
      <x:c r="H43" s="30" t="n">
        <x:f>ROUND(D43-F43,2)</x:f>
        <x:v>3242135.53</x:v>
      </x:c>
      <x:c r="I43" s="33" t="n">
        <x:f>IF(AND(ISNUMBER('Параметры'!$C$7),'Параметры'!$C$7&gt;=0),'Параметры'!$C$7*C43/365,NA())</x:f>
        <x:v>0.00636986301369863</x:v>
      </x:c>
      <x:c r="J43" s="32" t="n">
        <x:f>J42/(1+I43)</x:f>
        <x:v>0.7953174965823986</x:v>
      </x:c>
      <x:c r="K43" s="33" t="n">
        <x:f>IF(AND(ISNUMBER('Параметры'!$C$8),'Параметры'!$C$8&gt;=0),'Параметры'!$C$8*C43/365,NA())</x:f>
        <x:v>0.00636986301369863</x:v>
      </x:c>
      <x:c r="L43" s="32" t="n">
        <x:f>L42/(1+K43)</x:f>
        <x:v>0.7953174965823986</x:v>
      </x:c>
      <x:c r="M43" s="30" t="n">
        <x:f>E43*L43</x:f>
        <x:v>16480.163552257207</x:v>
      </x:c>
      <x:c r="N43" s="30" t="n">
        <x:f>F43*L43</x:f>
        <x:v>8681.908481592507</x:v>
      </x:c>
      <x:c r="O43" s="30" t="n">
        <x:f>G43*L43</x:f>
        <x:v>25162.072033849712</x:v>
      </x:c>
    </x:row>
    <x:row r="44" ht="21" customHeight="1">
      <x:c r="A44" s="28" t="n">
        <x:v>38</x:v>
      </x:c>
      <x:c r="B44" s="29" t="n">
        <x:v>45952</x:v>
      </x:c>
      <x:c r="C44" s="28" t="n">
        <x:f>B44-B43</x:f>
        <x:v>30</x:v>
      </x:c>
      <x:c r="D44" s="30" t="n">
        <x:f>H43</x:f>
        <x:v>3242135.53</x:v>
      </x:c>
      <x:c r="E44" s="30" t="n">
        <x:f>ROUND(D44*I44,2)</x:f>
        <x:v>19985.77</x:v>
      </x:c>
      <x:c r="F44" s="30" t="n">
        <x:f>MIN(D44,'Параметры'!$C$13)</x:f>
        <x:v>10916.28</x:v>
      </x:c>
      <x:c r="G44" s="30" t="n">
        <x:f>ROUND(E44+F44,2)</x:f>
        <x:v>30902.05</x:v>
      </x:c>
      <x:c r="H44" s="30" t="n">
        <x:f>ROUND(D44-F44,2)</x:f>
        <x:v>3231219.25</x:v>
      </x:c>
      <x:c r="I44" s="33" t="n">
        <x:f>IF(AND(ISNUMBER('Параметры'!$C$7),'Параметры'!$C$7&gt;=0),'Параметры'!$C$7*C44/365,NA())</x:f>
        <x:v>0.0061643835616438354</x:v>
      </x:c>
      <x:c r="J44" s="32" t="n">
        <x:f>J43/(1+I44)</x:f>
        <x:v>0.7904448910893819</x:v>
      </x:c>
      <x:c r="K44" s="33" t="n">
        <x:f>IF(AND(ISNUMBER('Параметры'!$C$8),'Параметры'!$C$8&gt;=0),'Параметры'!$C$8*C44/365,NA())</x:f>
        <x:v>0.0061643835616438354</x:v>
      </x:c>
      <x:c r="L44" s="32" t="n">
        <x:f>L43/(1+K44)</x:f>
        <x:v>0.7904448910893819</x:v>
      </x:c>
      <x:c r="M44" s="30" t="n">
        <x:f>E44*L44</x:f>
        <x:v>15797.649790987436</x:v>
      </x:c>
      <x:c r="N44" s="30" t="n">
        <x:f>F44*L44</x:f>
        <x:v>8628.717755701198</x:v>
      </x:c>
      <x:c r="O44" s="30" t="n">
        <x:f>G44*L44</x:f>
        <x:v>24426.367546688634</x:v>
      </x:c>
    </x:row>
    <x:row r="45" ht="21" customHeight="1">
      <x:c r="A45" s="28" t="n">
        <x:v>39</x:v>
      </x:c>
      <x:c r="B45" s="29" t="n">
        <x:v>45983</x:v>
      </x:c>
      <x:c r="C45" s="28" t="n">
        <x:f>B45-B44</x:f>
        <x:v>31</x:v>
      </x:c>
      <x:c r="D45" s="30" t="n">
        <x:f>H44</x:f>
        <x:v>3231219.25</x:v>
      </x:c>
      <x:c r="E45" s="30" t="n">
        <x:f>ROUND(D45*I45,2)</x:f>
        <x:v>20582.42</x:v>
      </x:c>
      <x:c r="F45" s="30" t="n">
        <x:f>MIN(D45,'Параметры'!$C$13)</x:f>
        <x:v>10916.28</x:v>
      </x:c>
      <x:c r="G45" s="30" t="n">
        <x:f>ROUND(E45+F45,2)</x:f>
        <x:v>31498.7</x:v>
      </x:c>
      <x:c r="H45" s="30" t="n">
        <x:f>ROUND(D45-F45,2)</x:f>
        <x:v>3220302.97</x:v>
      </x:c>
      <x:c r="I45" s="33" t="n">
        <x:f>IF(AND(ISNUMBER('Параметры'!$C$7),'Параметры'!$C$7&gt;=0),'Параметры'!$C$7*C45/365,NA())</x:f>
        <x:v>0.00636986301369863</x:v>
      </x:c>
      <x:c r="J45" s="32" t="n">
        <x:f>J44/(1+I45)</x:f>
        <x:v>0.7854417348332523</x:v>
      </x:c>
      <x:c r="K45" s="33" t="n">
        <x:f>IF(AND(ISNUMBER('Параметры'!$C$8),'Параметры'!$C$8&gt;=0),'Параметры'!$C$8*C45/365,NA())</x:f>
        <x:v>0.00636986301369863</x:v>
      </x:c>
      <x:c r="L45" s="32" t="n">
        <x:f>L44/(1+K45)</x:f>
        <x:v>0.7854417348332523</x:v>
      </x:c>
      <x:c r="M45" s="30" t="n">
        <x:f>E45*L45</x:f>
        <x:v>16166.291671866627</x:v>
      </x:c>
      <x:c r="N45" s="30" t="n">
        <x:f>F45*L45</x:f>
        <x:v>8574.101901125536</x:v>
      </x:c>
      <x:c r="O45" s="30" t="n">
        <x:f>G45*L45</x:f>
        <x:v>24740.393572992165</x:v>
      </x:c>
    </x:row>
    <x:row r="46" ht="21" customHeight="1">
      <x:c r="A46" s="28" t="n">
        <x:v>40</x:v>
      </x:c>
      <x:c r="B46" s="29" t="n">
        <x:v>46013</x:v>
      </x:c>
      <x:c r="C46" s="28" t="n">
        <x:f>B46-B45</x:f>
        <x:v>30</x:v>
      </x:c>
      <x:c r="D46" s="30" t="n">
        <x:f>H45</x:f>
        <x:v>3220302.97</x:v>
      </x:c>
      <x:c r="E46" s="30" t="n">
        <x:f>ROUND(D46*I46,2)</x:f>
        <x:v>19851.18</x:v>
      </x:c>
      <x:c r="F46" s="30" t="n">
        <x:f>MIN(D46,'Параметры'!$C$13)</x:f>
        <x:v>10916.28</x:v>
      </x:c>
      <x:c r="G46" s="30" t="n">
        <x:f>ROUND(E46+F46,2)</x:f>
        <x:v>30767.46</x:v>
      </x:c>
      <x:c r="H46" s="30" t="n">
        <x:f>ROUND(D46-F46,2)</x:f>
        <x:v>3209386.69</x:v>
      </x:c>
      <x:c r="I46" s="33" t="n">
        <x:f>IF(AND(ISNUMBER('Параметры'!$C$7),'Параметры'!$C$7&gt;=0),'Параметры'!$C$7*C46/365,NA())</x:f>
        <x:v>0.0061643835616438354</x:v>
      </x:c>
      <x:c r="J46" s="32" t="n">
        <x:f>J45/(1+I46)</x:f>
        <x:v>0.7806296343475483</x:v>
      </x:c>
      <x:c r="K46" s="33" t="n">
        <x:f>IF(AND(ISNUMBER('Параметры'!$C$8),'Параметры'!$C$8&gt;=0),'Параметры'!$C$8*C46/365,NA())</x:f>
        <x:v>0.0061643835616438354</x:v>
      </x:c>
      <x:c r="L46" s="32" t="n">
        <x:f>L45/(1+K46)</x:f>
        <x:v>0.7806296343475483</x:v>
      </x:c>
      <x:c r="M46" s="30" t="n">
        <x:f>E46*L46</x:f>
        <x:v>15496.419384767363</x:v>
      </x:c>
      <x:c r="N46" s="30" t="n">
        <x:f>F46*L46</x:f>
        <x:v>8521.571664835456</x:v>
      </x:c>
      <x:c r="O46" s="30" t="n">
        <x:f>G46*L46</x:f>
        <x:v>24017.991049602817</x:v>
      </x:c>
    </x:row>
    <x:row r="47" ht="21" customHeight="1">
      <x:c r="A47" s="28" t="n">
        <x:v>41</x:v>
      </x:c>
      <x:c r="B47" s="29" t="n">
        <x:v>46044</x:v>
      </x:c>
      <x:c r="C47" s="28" t="n">
        <x:f>B47-B46</x:f>
        <x:v>31</x:v>
      </x:c>
      <x:c r="D47" s="30" t="n">
        <x:f>H46</x:f>
        <x:v>3209386.69</x:v>
      </x:c>
      <x:c r="E47" s="30" t="n">
        <x:f>ROUND(D47*I47,2)</x:f>
        <x:v>20443.35</x:v>
      </x:c>
      <x:c r="F47" s="30" t="n">
        <x:f>MIN(D47,'Параметры'!$C$13)</x:f>
        <x:v>10916.28</x:v>
      </x:c>
      <x:c r="G47" s="30" t="n">
        <x:f>ROUND(E47+F47,2)</x:f>
        <x:v>31359.63</x:v>
      </x:c>
      <x:c r="H47" s="30" t="n">
        <x:f>ROUND(D47-F47,2)</x:f>
        <x:v>3198470.41</x:v>
      </x:c>
      <x:c r="I47" s="33" t="n">
        <x:f>IF(AND(ISNUMBER('Параметры'!$C$7),'Параметры'!$C$7&gt;=0),'Параметры'!$C$7*C47/365,NA())</x:f>
        <x:v>0.00636986301369863</x:v>
      </x:c>
      <x:c r="J47" s="32" t="n">
        <x:f>J46/(1+I47)</x:f>
        <x:v>0.7756886041975231</x:v>
      </x:c>
      <x:c r="K47" s="33" t="n">
        <x:f>IF(AND(ISNUMBER('Параметры'!$C$8),'Параметры'!$C$8&gt;=0),'Параметры'!$C$8*C47/365,NA())</x:f>
        <x:v>0.00636986301369863</x:v>
      </x:c>
      <x:c r="L47" s="32" t="n">
        <x:f>L46/(1+K47)</x:f>
        <x:v>0.7756886041975231</x:v>
      </x:c>
      <x:c r="M47" s="30" t="n">
        <x:f>E47*L47</x:f>
        <x:v>15857.673626621432</x:v>
      </x:c>
      <x:c r="N47" s="30" t="n">
        <x:f>F47*L47</x:f>
        <x:v>8467.633996229337</x:v>
      </x:c>
      <x:c r="O47" s="30" t="n">
        <x:f>G47*L47</x:f>
        <x:v>24325.30762285077</x:v>
      </x:c>
    </x:row>
    <x:row r="48" ht="21" customHeight="1">
      <x:c r="A48" s="28" t="n">
        <x:v>42</x:v>
      </x:c>
      <x:c r="B48" s="29" t="n">
        <x:v>46075</x:v>
      </x:c>
      <x:c r="C48" s="28" t="n">
        <x:f>B48-B47</x:f>
        <x:v>31</x:v>
      </x:c>
      <x:c r="D48" s="30" t="n">
        <x:f>H47</x:f>
        <x:v>3198470.41</x:v>
      </x:c>
      <x:c r="E48" s="30" t="n">
        <x:f>ROUND(D48*I48,2)</x:f>
        <x:v>20373.82</x:v>
      </x:c>
      <x:c r="F48" s="30" t="n">
        <x:f>MIN(D48,'Параметры'!$C$13)</x:f>
        <x:v>10916.28</x:v>
      </x:c>
      <x:c r="G48" s="30" t="n">
        <x:f>ROUND(E48+F48,2)</x:f>
        <x:v>31290.1</x:v>
      </x:c>
      <x:c r="H48" s="30" t="n">
        <x:f>ROUND(D48-F48,2)</x:f>
        <x:v>3187554.13</x:v>
      </x:c>
      <x:c r="I48" s="33" t="n">
        <x:f>IF(AND(ISNUMBER('Параметры'!$C$7),'Параметры'!$C$7&gt;=0),'Параметры'!$C$7*C48/365,NA())</x:f>
        <x:v>0.00636986301369863</x:v>
      </x:c>
      <x:c r="J48" s="32" t="n">
        <x:f>J47/(1+I48)</x:f>
        <x:v>0.7707788485186032</x:v>
      </x:c>
      <x:c r="K48" s="33" t="n">
        <x:f>IF(AND(ISNUMBER('Параметры'!$C$8),'Параметры'!$C$8&gt;=0),'Параметры'!$C$8*C48/365,NA())</x:f>
        <x:v>0.00636986301369863</x:v>
      </x:c>
      <x:c r="L48" s="32" t="n">
        <x:f>L47/(1+K48)</x:f>
        <x:v>0.7707788485186032</x:v>
      </x:c>
      <x:c r="M48" s="30" t="n">
        <x:f>E48*L48</x:f>
        <x:v>15703.70951952529</x:v>
      </x:c>
      <x:c r="N48" s="30" t="n">
        <x:f>F48*L48</x:f>
        <x:v>8414.037728506659</x:v>
      </x:c>
      <x:c r="O48" s="30" t="n">
        <x:f>G48*L48</x:f>
        <x:v>24117.747248031945</x:v>
      </x:c>
    </x:row>
    <x:row r="49" ht="21" customHeight="1">
      <x:c r="A49" s="28" t="n">
        <x:v>43</x:v>
      </x:c>
      <x:c r="B49" s="29" t="n">
        <x:v>46103</x:v>
      </x:c>
      <x:c r="C49" s="28" t="n">
        <x:f>B49-B48</x:f>
        <x:v>28</x:v>
      </x:c>
      <x:c r="D49" s="30" t="n">
        <x:f>H48</x:f>
        <x:v>3187554.13</x:v>
      </x:c>
      <x:c r="E49" s="30" t="n">
        <x:f>ROUND(D49*I49,2)</x:f>
        <x:v>18339.35</x:v>
      </x:c>
      <x:c r="F49" s="30" t="n">
        <x:f>MIN(D49,'Параметры'!$C$13)</x:f>
        <x:v>10916.28</x:v>
      </x:c>
      <x:c r="G49" s="30" t="n">
        <x:f>ROUND(E49+F49,2)</x:f>
        <x:v>29255.63</x:v>
      </x:c>
      <x:c r="H49" s="30" t="n">
        <x:f>ROUND(D49-F49,2)</x:f>
        <x:v>3176637.85</x:v>
      </x:c>
      <x:c r="I49" s="33" t="n">
        <x:f>IF(AND(ISNUMBER('Параметры'!$C$7),'Параметры'!$C$7&gt;=0),'Параметры'!$C$7*C49/365,NA())</x:f>
        <x:v>0.005753424657534247</x:v>
      </x:c>
      <x:c r="J49" s="32" t="n">
        <x:f>J48/(1+I49)</x:f>
        <x:v>0.7663695987722424</x:v>
      </x:c>
      <x:c r="K49" s="33" t="n">
        <x:f>IF(AND(ISNUMBER('Параметры'!$C$8),'Параметры'!$C$8&gt;=0),'Параметры'!$C$8*C49/365,NA())</x:f>
        <x:v>0.005753424657534247</x:v>
      </x:c>
      <x:c r="L49" s="32" t="n">
        <x:f>L48/(1+K49)</x:f>
        <x:v>0.7663695987722424</x:v>
      </x:c>
      <x:c r="M49" s="30" t="n">
        <x:f>E49*L49</x:f>
        <x:v>14054.720301243722</x:v>
      </x:c>
      <x:c r="N49" s="30" t="n">
        <x:f>F49*L49</x:f>
        <x:v>8365.905123685456</x:v>
      </x:c>
      <x:c r="O49" s="30" t="n">
        <x:f>G49*L49</x:f>
        <x:v>22420.625424929178</x:v>
      </x:c>
    </x:row>
    <x:row r="50" ht="21" customHeight="1">
      <x:c r="A50" s="28" t="n">
        <x:v>44</x:v>
      </x:c>
      <x:c r="B50" s="29" t="n">
        <x:v>46134</x:v>
      </x:c>
      <x:c r="C50" s="28" t="n">
        <x:f>B50-B49</x:f>
        <x:v>31</x:v>
      </x:c>
      <x:c r="D50" s="30" t="n">
        <x:f>H49</x:f>
        <x:v>3176637.85</x:v>
      </x:c>
      <x:c r="E50" s="30" t="n">
        <x:f>ROUND(D50*I50,2)</x:f>
        <x:v>20234.75</x:v>
      </x:c>
      <x:c r="F50" s="30" t="n">
        <x:f>MIN(D50,'Параметры'!$C$13)</x:f>
        <x:v>10916.28</x:v>
      </x:c>
      <x:c r="G50" s="30" t="n">
        <x:f>ROUND(E50+F50,2)</x:f>
        <x:v>31151.03</x:v>
      </x:c>
      <x:c r="H50" s="30" t="n">
        <x:f>ROUND(D50-F50,2)</x:f>
        <x:v>3165721.57</x:v>
      </x:c>
      <x:c r="I50" s="33" t="n">
        <x:f>IF(AND(ISNUMBER('Параметры'!$C$7),'Параметры'!$C$7&gt;=0),'Параметры'!$C$7*C50/365,NA())</x:f>
        <x:v>0.00636986301369863</x:v>
      </x:c>
      <x:c r="J50" s="32" t="n">
        <x:f>J49/(1+I50)</x:f>
        <x:v>0.7615188281545457</x:v>
      </x:c>
      <x:c r="K50" s="33" t="n">
        <x:f>IF(AND(ISNUMBER('Параметры'!$C$8),'Параметры'!$C$8&gt;=0),'Параметры'!$C$8*C50/365,NA())</x:f>
        <x:v>0.00636986301369863</x:v>
      </x:c>
      <x:c r="L50" s="32" t="n">
        <x:f>L49/(1+K50)</x:f>
        <x:v>0.7615188281545457</x:v>
      </x:c>
      <x:c r="M50" s="30" t="n">
        <x:f>E50*L50</x:f>
        <x:v>15409.143108000195</x:v>
      </x:c>
      <x:c r="N50" s="30" t="n">
        <x:f>F50*L50</x:f>
        <x:v>8312.952753406906</x:v>
      </x:c>
      <x:c r="O50" s="30" t="n">
        <x:f>G50*L50</x:f>
        <x:v>23722.0958614071</x:v>
      </x:c>
    </x:row>
    <x:row r="51" ht="21" customHeight="1">
      <x:c r="A51" s="28" t="n">
        <x:v>45</x:v>
      </x:c>
      <x:c r="B51" s="29" t="n">
        <x:v>46164</x:v>
      </x:c>
      <x:c r="C51" s="28" t="n">
        <x:f>B51-B50</x:f>
        <x:v>30</x:v>
      </x:c>
      <x:c r="D51" s="30" t="n">
        <x:f>H50</x:f>
        <x:v>3165721.57</x:v>
      </x:c>
      <x:c r="E51" s="30" t="n">
        <x:f>ROUND(D51*I51,2)</x:f>
        <x:v>19514.72</x:v>
      </x:c>
      <x:c r="F51" s="30" t="n">
        <x:f>MIN(D51,'Параметры'!$C$13)</x:f>
        <x:v>10916.28</x:v>
      </x:c>
      <x:c r="G51" s="30" t="n">
        <x:f>ROUND(E51+F51,2)</x:f>
        <x:v>30431</x:v>
      </x:c>
      <x:c r="H51" s="30" t="n">
        <x:f>ROUND(D51-F51,2)</x:f>
        <x:v>3154805.29</x:v>
      </x:c>
      <x:c r="I51" s="33" t="n">
        <x:f>IF(AND(ISNUMBER('Параметры'!$C$7),'Параметры'!$C$7&gt;=0),'Параметры'!$C$7*C51/365,NA())</x:f>
        <x:v>0.0061643835616438354</x:v>
      </x:c>
      <x:c r="J51" s="32" t="n">
        <x:f>J50/(1+I51)</x:f>
        <x:v>0.7568532941495145</x:v>
      </x:c>
      <x:c r="K51" s="33" t="n">
        <x:f>IF(AND(ISNUMBER('Параметры'!$C$8),'Параметры'!$C$8&gt;=0),'Параметры'!$C$8*C51/365,NA())</x:f>
        <x:v>0.0061643835616438354</x:v>
      </x:c>
      <x:c r="L51" s="32" t="n">
        <x:f>L50/(1+K51)</x:f>
        <x:v>0.7568532941495145</x:v>
      </x:c>
      <x:c r="M51" s="30" t="n">
        <x:f>E51*L51</x:f>
        <x:v>14769.780116405414</x:v>
      </x:c>
      <x:c r="N51" s="30" t="n">
        <x:f>F51*L51</x:f>
        <x:v>8262.022477858463</x:v>
      </x:c>
      <x:c r="O51" s="30" t="n">
        <x:f>G51*L51</x:f>
        <x:v>23031.802594263878</x:v>
      </x:c>
    </x:row>
    <x:row r="52" ht="21" customHeight="1">
      <x:c r="A52" s="28" t="n">
        <x:v>46</x:v>
      </x:c>
      <x:c r="B52" s="29" t="n">
        <x:v>46195</x:v>
      </x:c>
      <x:c r="C52" s="28" t="n">
        <x:f>B52-B51</x:f>
        <x:v>31</x:v>
      </x:c>
      <x:c r="D52" s="30" t="n">
        <x:f>H51</x:f>
        <x:v>3154805.29</x:v>
      </x:c>
      <x:c r="E52" s="30" t="n">
        <x:f>ROUND(D52*I52,2)</x:f>
        <x:v>20095.68</x:v>
      </x:c>
      <x:c r="F52" s="30" t="n">
        <x:f>MIN(D52,'Параметры'!$C$13)</x:f>
        <x:v>10916.28</x:v>
      </x:c>
      <x:c r="G52" s="30" t="n">
        <x:f>ROUND(E52+F52,2)</x:f>
        <x:v>31011.96</x:v>
      </x:c>
      <x:c r="H52" s="30" t="n">
        <x:f>ROUND(D52-F52,2)</x:f>
        <x:v>3143889.01</x:v>
      </x:c>
      <x:c r="I52" s="33" t="n">
        <x:f>IF(AND(ISNUMBER('Параметры'!$C$7),'Параметры'!$C$7&gt;=0),'Параметры'!$C$7*C52/365,NA())</x:f>
        <x:v>0.00636986301369863</x:v>
      </x:c>
      <x:c r="J52" s="32" t="n">
        <x:f>J51/(1+I52)</x:f>
        <x:v>0.7520627574071267</x:v>
      </x:c>
      <x:c r="K52" s="33" t="n">
        <x:f>IF(AND(ISNUMBER('Параметры'!$C$8),'Параметры'!$C$8&gt;=0),'Параметры'!$C$8*C52/365,NA())</x:f>
        <x:v>0.00636986301369863</x:v>
      </x:c>
      <x:c r="L52" s="32" t="n">
        <x:f>L51/(1+K52)</x:f>
        <x:v>0.7520627574071267</x:v>
      </x:c>
      <x:c r="M52" s="30" t="n">
        <x:f>E52*L52</x:f>
        <x:v>15113.212512771248</x:v>
      </x:c>
      <x:c r="N52" s="30" t="n">
        <x:f>F52*L52</x:f>
        <x:v>8209.72763742827</x:v>
      </x:c>
      <x:c r="O52" s="30" t="n">
        <x:f>G52*L52</x:f>
        <x:v>23322.940150199516</x:v>
      </x:c>
    </x:row>
    <x:row r="53" ht="21" customHeight="1">
      <x:c r="A53" s="28" t="n">
        <x:v>47</x:v>
      </x:c>
      <x:c r="B53" s="29" t="n">
        <x:v>46225</x:v>
      </x:c>
      <x:c r="C53" s="28" t="n">
        <x:f>B53-B52</x:f>
        <x:v>30</x:v>
      </x:c>
      <x:c r="D53" s="30" t="n">
        <x:f>H52</x:f>
        <x:v>3143889.01</x:v>
      </x:c>
      <x:c r="E53" s="30" t="n">
        <x:f>ROUND(D53*I53,2)</x:f>
        <x:v>19380.14</x:v>
      </x:c>
      <x:c r="F53" s="30" t="n">
        <x:f>MIN(D53,'Параметры'!$C$13)</x:f>
        <x:v>10916.28</x:v>
      </x:c>
      <x:c r="G53" s="30" t="n">
        <x:f>ROUND(E53+F53,2)</x:f>
        <x:v>30296.42</x:v>
      </x:c>
      <x:c r="H53" s="30" t="n">
        <x:f>ROUND(D53-F53,2)</x:f>
        <x:v>3132972.73</x:v>
      </x:c>
      <x:c r="I53" s="33" t="n">
        <x:f>IF(AND(ISNUMBER('Параметры'!$C$7),'Параметры'!$C$7&gt;=0),'Параметры'!$C$7*C53/365,NA())</x:f>
        <x:v>0.0061643835616438354</x:v>
      </x:c>
      <x:c r="J53" s="32" t="n">
        <x:f>J52/(1+I53)</x:f>
        <x:v>0.7474551571234888</x:v>
      </x:c>
      <x:c r="K53" s="33" t="n">
        <x:f>IF(AND(ISNUMBER('Параметры'!$C$8),'Параметры'!$C$8&gt;=0),'Параметры'!$C$8*C53/365,NA())</x:f>
        <x:v>0.0061643835616438354</x:v>
      </x:c>
      <x:c r="L53" s="32" t="n">
        <x:f>L52/(1+K53)</x:f>
        <x:v>0.7474551571234888</x:v>
      </x:c>
      <x:c r="M53" s="30" t="n">
        <x:f>E53*L53</x:f>
        <x:v>14485.785588775208</x:v>
      </x:c>
      <x:c r="N53" s="30" t="n">
        <x:f>F53*L53</x:f>
        <x:v>8159.429782603998</x:v>
      </x:c>
      <x:c r="O53" s="30" t="n">
        <x:f>G53*L53</x:f>
        <x:v>22645.215371379207</x:v>
      </x:c>
    </x:row>
    <x:row r="54" ht="21" customHeight="1">
      <x:c r="A54" s="28" t="n">
        <x:v>48</x:v>
      </x:c>
      <x:c r="B54" s="29" t="n">
        <x:v>46256</x:v>
      </x:c>
      <x:c r="C54" s="28" t="n">
        <x:f>B54-B53</x:f>
        <x:v>31</x:v>
      </x:c>
      <x:c r="D54" s="30" t="n">
        <x:f>H53</x:f>
        <x:v>3132972.73</x:v>
      </x:c>
      <x:c r="E54" s="30" t="n">
        <x:f>ROUND(D54*I54,2)</x:f>
        <x:v>19956.61</x:v>
      </x:c>
      <x:c r="F54" s="30" t="n">
        <x:f>MIN(D54,'Параметры'!$C$13)</x:f>
        <x:v>10916.28</x:v>
      </x:c>
      <x:c r="G54" s="30" t="n">
        <x:f>ROUND(E54+F54,2)</x:f>
        <x:v>30872.89</x:v>
      </x:c>
      <x:c r="H54" s="30" t="n">
        <x:f>ROUND(D54-F54,2)</x:f>
        <x:v>3122056.45</x:v>
      </x:c>
      <x:c r="I54" s="33" t="n">
        <x:f>IF(AND(ISNUMBER('Параметры'!$C$7),'Параметры'!$C$7&gt;=0),'Параметры'!$C$7*C54/365,NA())</x:f>
        <x:v>0.00636986301369863</x:v>
      </x:c>
      <x:c r="J54" s="32" t="n">
        <x:f>J53/(1+I54)</x:f>
        <x:v>0.7427241063093266</x:v>
      </x:c>
      <x:c r="K54" s="33" t="n">
        <x:f>IF(AND(ISNUMBER('Параметры'!$C$8),'Параметры'!$C$8&gt;=0),'Параметры'!$C$8*C54/365,NA())</x:f>
        <x:v>0.00636986301369863</x:v>
      </x:c>
      <x:c r="L54" s="32" t="n">
        <x:f>L53/(1+K54)</x:f>
        <x:v>0.7427241063093266</x:v>
      </x:c>
      <x:c r="M54" s="30" t="n">
        <x:f>E54*L54</x:f>
        <x:v>14822.25532721377</x:v>
      </x:c>
      <x:c r="N54" s="30" t="n">
        <x:f>F54*L54</x:f>
        <x:v>8107.784307222377</x:v>
      </x:c>
      <x:c r="O54" s="30" t="n">
        <x:f>G54*L54</x:f>
        <x:v>22930.039634436147</x:v>
      </x:c>
    </x:row>
    <x:row r="55" ht="21" customHeight="1">
      <x:c r="A55" s="28" t="n">
        <x:v>49</x:v>
      </x:c>
      <x:c r="B55" s="29" t="n">
        <x:v>46287</x:v>
      </x:c>
      <x:c r="C55" s="28" t="n">
        <x:f>B55-B54</x:f>
        <x:v>31</x:v>
      </x:c>
      <x:c r="D55" s="30" t="n">
        <x:f>H54</x:f>
        <x:v>3122056.45</x:v>
      </x:c>
      <x:c r="E55" s="30" t="n">
        <x:f>ROUND(D55*I55,2)</x:f>
        <x:v>19887.07</x:v>
      </x:c>
      <x:c r="F55" s="30" t="n">
        <x:f>MIN(D55,'Параметры'!$C$13)</x:f>
        <x:v>10916.28</x:v>
      </x:c>
      <x:c r="G55" s="30" t="n">
        <x:f>ROUND(E55+F55,2)</x:f>
        <x:v>30803.35</x:v>
      </x:c>
      <x:c r="H55" s="30" t="n">
        <x:f>ROUND(D55-F55,2)</x:f>
        <x:v>3111140.17</x:v>
      </x:c>
      <x:c r="I55" s="33" t="n">
        <x:f>IF(AND(ISNUMBER('Параметры'!$C$7),'Параметры'!$C$7&gt;=0),'Параметры'!$C$7*C55/365,NA())</x:f>
        <x:v>0.00636986301369863</x:v>
      </x:c>
      <x:c r="J55" s="32" t="n">
        <x:f>J54/(1+I55)</x:f>
        <x:v>0.7380230008926815</x:v>
      </x:c>
      <x:c r="K55" s="33" t="n">
        <x:f>IF(AND(ISNUMBER('Параметры'!$C$8),'Параметры'!$C$8&gt;=0),'Параметры'!$C$8*C55/365,NA())</x:f>
        <x:v>0.00636986301369863</x:v>
      </x:c>
      <x:c r="L55" s="32" t="n">
        <x:f>L54/(1+K55)</x:f>
        <x:v>0.7380230008926815</x:v>
      </x:c>
      <x:c r="M55" s="30" t="n">
        <x:f>E55*L55</x:f>
        <x:v>14677.115080362819</x:v>
      </x:c>
      <x:c r="N55" s="30" t="n">
        <x:f>F55*L55</x:f>
        <x:v>8056.465724184762</x:v>
      </x:c>
      <x:c r="O55" s="30" t="n">
        <x:f>G55*L55</x:f>
        <x:v>22733.58080454758</x:v>
      </x:c>
    </x:row>
    <x:row r="56" ht="21" customHeight="1">
      <x:c r="A56" s="28" t="n">
        <x:v>50</x:v>
      </x:c>
      <x:c r="B56" s="29" t="n">
        <x:v>46317</x:v>
      </x:c>
      <x:c r="C56" s="28" t="n">
        <x:f>B56-B55</x:f>
        <x:v>30</x:v>
      </x:c>
      <x:c r="D56" s="30" t="n">
        <x:f>H55</x:f>
        <x:v>3111140.17</x:v>
      </x:c>
      <x:c r="E56" s="30" t="n">
        <x:f>ROUND(D56*I56,2)</x:f>
        <x:v>19178.26</x:v>
      </x:c>
      <x:c r="F56" s="30" t="n">
        <x:f>MIN(D56,'Параметры'!$C$13)</x:f>
        <x:v>10916.28</x:v>
      </x:c>
      <x:c r="G56" s="30" t="n">
        <x:f>ROUND(E56+F56,2)</x:f>
        <x:v>30094.54</x:v>
      </x:c>
      <x:c r="H56" s="30" t="n">
        <x:f>ROUND(D56-F56,2)</x:f>
        <x:v>3100223.89</x:v>
      </x:c>
      <x:c r="I56" s="33" t="n">
        <x:f>IF(AND(ISNUMBER('Параметры'!$C$7),'Параметры'!$C$7&gt;=0),'Параметры'!$C$7*C56/365,NA())</x:f>
        <x:v>0.0061643835616438354</x:v>
      </x:c>
      <x:c r="J56" s="32" t="n">
        <x:f>J55/(1+I56)</x:f>
        <x:v>0.7335014168164159</x:v>
      </x:c>
      <x:c r="K56" s="33" t="n">
        <x:f>IF(AND(ISNUMBER('Параметры'!$C$8),'Параметры'!$C$8&gt;=0),'Параметры'!$C$8*C56/365,NA())</x:f>
        <x:v>0.0061643835616438354</x:v>
      </x:c>
      <x:c r="L56" s="32" t="n">
        <x:f>L55/(1+K56)</x:f>
        <x:v>0.7335014168164159</x:v>
      </x:c>
      <x:c r="M56" s="30" t="n">
        <x:f>E56*L56</x:f>
        <x:v>14067.280882073595</x:v>
      </x:c>
      <x:c r="N56" s="30" t="n">
        <x:f>F56*L56</x:f>
        <x:v>8007.106846364705</x:v>
      </x:c>
      <x:c r="O56" s="30" t="n">
        <x:f>G56*L56</x:f>
        <x:v>22074.3877284383</x:v>
      </x:c>
    </x:row>
    <x:row r="57" ht="21" customHeight="1">
      <x:c r="A57" s="28" t="n">
        <x:v>51</x:v>
      </x:c>
      <x:c r="B57" s="29" t="n">
        <x:v>46348</x:v>
      </x:c>
      <x:c r="C57" s="28" t="n">
        <x:f>B57-B56</x:f>
        <x:v>31</x:v>
      </x:c>
      <x:c r="D57" s="30" t="n">
        <x:f>H56</x:f>
        <x:v>3100223.89</x:v>
      </x:c>
      <x:c r="E57" s="30" t="n">
        <x:f>ROUND(D57*I57,2)</x:f>
        <x:v>19748</x:v>
      </x:c>
      <x:c r="F57" s="30" t="n">
        <x:f>MIN(D57,'Параметры'!$C$13)</x:f>
        <x:v>10916.28</x:v>
      </x:c>
      <x:c r="G57" s="30" t="n">
        <x:f>ROUND(E57+F57,2)</x:f>
        <x:v>30664.28</x:v>
      </x:c>
      <x:c r="H57" s="30" t="n">
        <x:f>ROUND(D57-F57,2)</x:f>
        <x:v>3089307.61</x:v>
      </x:c>
      <x:c r="I57" s="33" t="n">
        <x:f>IF(AND(ISNUMBER('Параметры'!$C$7),'Параметры'!$C$7&gt;=0),'Параметры'!$C$7*C57/365,NA())</x:f>
        <x:v>0.00636986301369863</x:v>
      </x:c>
      <x:c r="J57" s="32" t="n">
        <x:f>J56/(1+I57)</x:f>
        <x:v>0.7288586868249964</x:v>
      </x:c>
      <x:c r="K57" s="33" t="n">
        <x:f>IF(AND(ISNUMBER('Параметры'!$C$8),'Параметры'!$C$8&gt;=0),'Параметры'!$C$8*C57/365,NA())</x:f>
        <x:v>0.00636986301369863</x:v>
      </x:c>
      <x:c r="L57" s="32" t="n">
        <x:f>L56/(1+K57)</x:f>
        <x:v>0.7288586868249964</x:v>
      </x:c>
      <x:c r="M57" s="30" t="n">
        <x:f>E57*L57</x:f>
        <x:v>14393.50134742003</x:v>
      </x:c>
      <x:c r="N57" s="30" t="n">
        <x:f>F57*L57</x:f>
        <x:v>7956.425505813972</x:v>
      </x:c>
      <x:c r="O57" s="30" t="n">
        <x:f>G57*L57</x:f>
        <x:v>22349.926853234</x:v>
      </x:c>
    </x:row>
    <x:row r="58" ht="21" customHeight="1">
      <x:c r="A58" s="28" t="n">
        <x:v>52</x:v>
      </x:c>
      <x:c r="B58" s="29" t="n">
        <x:v>46378</x:v>
      </x:c>
      <x:c r="C58" s="28" t="n">
        <x:f>B58-B57</x:f>
        <x:v>30</x:v>
      </x:c>
      <x:c r="D58" s="30" t="n">
        <x:f>H57</x:f>
        <x:v>3089307.61</x:v>
      </x:c>
      <x:c r="E58" s="30" t="n">
        <x:f>ROUND(D58*I58,2)</x:f>
        <x:v>19043.68</x:v>
      </x:c>
      <x:c r="F58" s="30" t="n">
        <x:f>MIN(D58,'Параметры'!$C$13)</x:f>
        <x:v>10916.28</x:v>
      </x:c>
      <x:c r="G58" s="30" t="n">
        <x:f>ROUND(E58+F58,2)</x:f>
        <x:v>29959.96</x:v>
      </x:c>
      <x:c r="H58" s="30" t="n">
        <x:f>ROUND(D58-F58,2)</x:f>
        <x:v>3078391.33</x:v>
      </x:c>
      <x:c r="I58" s="33" t="n">
        <x:f>IF(AND(ISNUMBER('Параметры'!$C$7),'Параметры'!$C$7&gt;=0),'Параметры'!$C$7*C58/365,NA())</x:f>
        <x:v>0.0061643835616438354</x:v>
      </x:c>
      <x:c r="J58" s="32" t="n">
        <x:f>J57/(1+I58)</x:f>
        <x:v>0.7243932489887643</x:v>
      </x:c>
      <x:c r="K58" s="33" t="n">
        <x:f>IF(AND(ISNUMBER('Параметры'!$C$8),'Параметры'!$C$8&gt;=0),'Параметры'!$C$8*C58/365,NA())</x:f>
        <x:v>0.0061643835616438354</x:v>
      </x:c>
      <x:c r="L58" s="32" t="n">
        <x:f>L57/(1+K58)</x:f>
        <x:v>0.7243932489887643</x:v>
      </x:c>
      <x:c r="M58" s="30" t="n">
        <x:f>E58*L58</x:f>
        <x:v>13795.113227902351</x:v>
      </x:c>
      <x:c r="N58" s="30" t="n">
        <x:f>F58*L58</x:f>
        <x:v>7907.6795360710685</x:v>
      </x:c>
      <x:c r="O58" s="30" t="n">
        <x:f>G58*L58</x:f>
        <x:v>21702.79276397342</x:v>
      </x:c>
    </x:row>
    <x:row r="59" ht="21" customHeight="1">
      <x:c r="A59" s="28" t="n">
        <x:v>53</x:v>
      </x:c>
      <x:c r="B59" s="29" t="n">
        <x:v>46409</x:v>
      </x:c>
      <x:c r="C59" s="28" t="n">
        <x:f>B59-B58</x:f>
        <x:v>31</x:v>
      </x:c>
      <x:c r="D59" s="30" t="n">
        <x:f>H58</x:f>
        <x:v>3078391.33</x:v>
      </x:c>
      <x:c r="E59" s="30" t="n">
        <x:f>ROUND(D59*I59,2)</x:f>
        <x:v>19608.93</x:v>
      </x:c>
      <x:c r="F59" s="30" t="n">
        <x:f>MIN(D59,'Параметры'!$C$13)</x:f>
        <x:v>10916.28</x:v>
      </x:c>
      <x:c r="G59" s="30" t="n">
        <x:f>ROUND(E59+F59,2)</x:f>
        <x:v>30525.21</x:v>
      </x:c>
      <x:c r="H59" s="30" t="n">
        <x:f>ROUND(D59-F59,2)</x:f>
        <x:v>3067475.05</x:v>
      </x:c>
      <x:c r="I59" s="33" t="n">
        <x:f>IF(AND(ISNUMBER('Параметры'!$C$7),'Параметры'!$C$7&gt;=0),'Параметры'!$C$7*C59/365,NA())</x:f>
        <x:v>0.00636986301369863</x:v>
      </x:c>
      <x:c r="J59" s="32" t="n">
        <x:f>J58/(1+I59)</x:f>
        <x:v>0.7198081695525733</x:v>
      </x:c>
      <x:c r="K59" s="33" t="n">
        <x:f>IF(AND(ISNUMBER('Параметры'!$C$8),'Параметры'!$C$8&gt;=0),'Параметры'!$C$8*C59/365,NA())</x:f>
        <x:v>0.00636986301369863</x:v>
      </x:c>
      <x:c r="L59" s="32" t="n">
        <x:f>L58/(1+K59)</x:f>
        <x:v>0.7198081695525733</x:v>
      </x:c>
      <x:c r="M59" s="30" t="n">
        <x:f>E59*L59</x:f>
        <x:v>14114.668010184541</x:v>
      </x:c>
      <x:c r="N59" s="30" t="n">
        <x:f>F59*L59</x:f>
        <x:v>7857.627525123366</x:v>
      </x:c>
      <x:c r="O59" s="30" t="n">
        <x:f>G59*L59</x:f>
        <x:v>21972.295535307905</x:v>
      </x:c>
    </x:row>
    <x:row r="60" ht="21" customHeight="1">
      <x:c r="A60" s="28" t="n">
        <x:v>54</x:v>
      </x:c>
      <x:c r="B60" s="29" t="n">
        <x:v>46440</x:v>
      </x:c>
      <x:c r="C60" s="28" t="n">
        <x:f>B60-B59</x:f>
        <x:v>31</x:v>
      </x:c>
      <x:c r="D60" s="30" t="n">
        <x:f>H59</x:f>
        <x:v>3067475.05</x:v>
      </x:c>
      <x:c r="E60" s="30" t="n">
        <x:f>ROUND(D60*I60,2)</x:f>
        <x:v>19539.4</x:v>
      </x:c>
      <x:c r="F60" s="30" t="n">
        <x:f>MIN(D60,'Параметры'!$C$13)</x:f>
        <x:v>10916.28</x:v>
      </x:c>
      <x:c r="G60" s="30" t="n">
        <x:f>ROUND(E60+F60,2)</x:f>
        <x:v>30455.68</x:v>
      </x:c>
      <x:c r="H60" s="30" t="n">
        <x:f>ROUND(D60-F60,2)</x:f>
        <x:v>3056558.77</x:v>
      </x:c>
      <x:c r="I60" s="33" t="n">
        <x:f>IF(AND(ISNUMBER('Параметры'!$C$7),'Параметры'!$C$7&gt;=0),'Параметры'!$C$7*C60/365,NA())</x:f>
        <x:v>0.00636986301369863</x:v>
      </x:c>
      <x:c r="J60" s="32" t="n">
        <x:f>J59/(1+I60)</x:f>
        <x:v>0.7152521115815402</x:v>
      </x:c>
      <x:c r="K60" s="33" t="n">
        <x:f>IF(AND(ISNUMBER('Параметры'!$C$8),'Параметры'!$C$8&gt;=0),'Параметры'!$C$8*C60/365,NA())</x:f>
        <x:v>0.00636986301369863</x:v>
      </x:c>
      <x:c r="L60" s="32" t="n">
        <x:f>L59/(1+K60)</x:f>
        <x:v>0.7152521115815402</x:v>
      </x:c>
      <x:c r="M60" s="30" t="n">
        <x:f>E60*L60</x:f>
        <x:v>13975.597109036347</x:v>
      </x:c>
      <x:c r="N60" s="30" t="n">
        <x:f>F60*L60</x:f>
        <x:v>7807.892320615337</x:v>
      </x:c>
      <x:c r="O60" s="30" t="n">
        <x:f>G60*L60</x:f>
        <x:v>21783.489429651683</x:v>
      </x:c>
    </x:row>
    <x:row r="61" ht="21" customHeight="1">
      <x:c r="A61" s="28" t="n">
        <x:v>55</x:v>
      </x:c>
      <x:c r="B61" s="29" t="n">
        <x:v>46468</x:v>
      </x:c>
      <x:c r="C61" s="28" t="n">
        <x:f>B61-B60</x:f>
        <x:v>28</x:v>
      </x:c>
      <x:c r="D61" s="30" t="n">
        <x:f>H60</x:f>
        <x:v>3056558.77</x:v>
      </x:c>
      <x:c r="E61" s="30" t="n">
        <x:f>ROUND(D61*I61,2)</x:f>
        <x:v>17585.68</x:v>
      </x:c>
      <x:c r="F61" s="30" t="n">
        <x:f>MIN(D61,'Параметры'!$C$13)</x:f>
        <x:v>10916.28</x:v>
      </x:c>
      <x:c r="G61" s="30" t="n">
        <x:f>ROUND(E61+F61,2)</x:f>
        <x:v>28501.96</x:v>
      </x:c>
      <x:c r="H61" s="30" t="n">
        <x:f>ROUND(D61-F61,2)</x:f>
        <x:v>3045642.49</x:v>
      </x:c>
      <x:c r="I61" s="33" t="n">
        <x:f>IF(AND(ISNUMBER('Параметры'!$C$7),'Параметры'!$C$7&gt;=0),'Параметры'!$C$7*C61/365,NA())</x:f>
        <x:v>0.005753424657534247</x:v>
      </x:c>
      <x:c r="J61" s="32" t="n">
        <x:f>J60/(1+I61)</x:f>
        <x:v>0.7111605032069251</x:v>
      </x:c>
      <x:c r="K61" s="33" t="n">
        <x:f>IF(AND(ISNUMBER('Параметры'!$C$8),'Параметры'!$C$8&gt;=0),'Параметры'!$C$8*C61/365,NA())</x:f>
        <x:v>0.005753424657534247</x:v>
      </x:c>
      <x:c r="L61" s="32" t="n">
        <x:f>L60/(1+K61)</x:f>
        <x:v>0.7111605032069251</x:v>
      </x:c>
      <x:c r="M61" s="30" t="n">
        <x:f>E61*L61</x:f>
        <x:v>12506.24103803596</x:v>
      </x:c>
      <x:c r="N61" s="30" t="n">
        <x:f>F61*L61</x:f>
        <x:v>7763.227177947693</x:v>
      </x:c>
      <x:c r="O61" s="30" t="n">
        <x:f>G61*L61</x:f>
        <x:v>20269.468215983652</x:v>
      </x:c>
    </x:row>
    <x:row r="62" ht="21" customHeight="1">
      <x:c r="A62" s="28" t="n">
        <x:v>56</x:v>
      </x:c>
      <x:c r="B62" s="29" t="n">
        <x:v>46499</x:v>
      </x:c>
      <x:c r="C62" s="28" t="n">
        <x:f>B62-B61</x:f>
        <x:v>31</x:v>
      </x:c>
      <x:c r="D62" s="30" t="n">
        <x:f>H61</x:f>
        <x:v>3045642.49</x:v>
      </x:c>
      <x:c r="E62" s="30" t="n">
        <x:f>ROUND(D62*I62,2)</x:f>
        <x:v>19400.33</x:v>
      </x:c>
      <x:c r="F62" s="30" t="n">
        <x:f>MIN(D62,'Параметры'!$C$13)</x:f>
        <x:v>10916.28</x:v>
      </x:c>
      <x:c r="G62" s="30" t="n">
        <x:f>ROUND(E62+F62,2)</x:f>
        <x:v>30316.61</x:v>
      </x:c>
      <x:c r="H62" s="30" t="n">
        <x:f>ROUND(D62-F62,2)</x:f>
        <x:v>3034726.21</x:v>
      </x:c>
      <x:c r="I62" s="33" t="n">
        <x:f>IF(AND(ISNUMBER('Параметры'!$C$7),'Параметры'!$C$7&gt;=0),'Параметры'!$C$7*C62/365,NA())</x:f>
        <x:v>0.00636986301369863</x:v>
      </x:c>
      <x:c r="J62" s="32" t="n">
        <x:f>J61/(1+I62)</x:f>
        <x:v>0.7066591810264145</x:v>
      </x:c>
      <x:c r="K62" s="33" t="n">
        <x:f>IF(AND(ISNUMBER('Параметры'!$C$8),'Параметры'!$C$8&gt;=0),'Параметры'!$C$8*C62/365,NA())</x:f>
        <x:v>0.00636986301369863</x:v>
      </x:c>
      <x:c r="L62" s="32" t="n">
        <x:f>L61/(1+K62)</x:f>
        <x:v>0.7066591810264145</x:v>
      </x:c>
      <x:c r="M62" s="30" t="n">
        <x:f>E62*L62</x:f>
        <x:v>13709.421309442181</x:v>
      </x:c>
      <x:c r="N62" s="30" t="n">
        <x:f>F62*L62</x:f>
        <x:v>7714.089484655028</x:v>
      </x:c>
      <x:c r="O62" s="30" t="n">
        <x:f>G62*L62</x:f>
        <x:v>21423.51079409721</x:v>
      </x:c>
    </x:row>
    <x:row r="63" ht="21" customHeight="1">
      <x:c r="A63" s="28" t="n">
        <x:v>57</x:v>
      </x:c>
      <x:c r="B63" s="29" t="n">
        <x:v>46529</x:v>
      </x:c>
      <x:c r="C63" s="28" t="n">
        <x:f>B63-B62</x:f>
        <x:v>30</x:v>
      </x:c>
      <x:c r="D63" s="30" t="n">
        <x:f>H62</x:f>
        <x:v>3034726.21</x:v>
      </x:c>
      <x:c r="E63" s="30" t="n">
        <x:f>ROUND(D63*I63,2)</x:f>
        <x:v>18707.22</x:v>
      </x:c>
      <x:c r="F63" s="30" t="n">
        <x:f>MIN(D63,'Параметры'!$C$13)</x:f>
        <x:v>10916.28</x:v>
      </x:c>
      <x:c r="G63" s="30" t="n">
        <x:f>ROUND(E63+F63,2)</x:f>
        <x:v>29623.5</x:v>
      </x:c>
      <x:c r="H63" s="30" t="n">
        <x:f>ROUND(D63-F63,2)</x:f>
        <x:v>3023809.93</x:v>
      </x:c>
      <x:c r="I63" s="33" t="n">
        <x:f>IF(AND(ISNUMBER('Параметры'!$C$7),'Параметры'!$C$7&gt;=0),'Параметры'!$C$7*C63/365,NA())</x:f>
        <x:v>0.0061643835616438354</x:v>
      </x:c>
      <x:c r="J63" s="32" t="n">
        <x:f>J62/(1+I63)</x:f>
        <x:v>0.7023297510541627</x:v>
      </x:c>
      <x:c r="K63" s="33" t="n">
        <x:f>IF(AND(ISNUMBER('Параметры'!$C$8),'Параметры'!$C$8&gt;=0),'Параметры'!$C$8*C63/365,NA())</x:f>
        <x:v>0.0061643835616438354</x:v>
      </x:c>
      <x:c r="L63" s="32" t="n">
        <x:f>L62/(1+K63)</x:f>
        <x:v>0.7023297510541627</x:v>
      </x:c>
      <x:c r="M63" s="30" t="n">
        <x:f>E63*L63</x:f>
        <x:v>13138.637165515454</x:v>
      </x:c>
      <x:c r="N63" s="30" t="n">
        <x:f>F63*L63</x:f>
        <x:v>7666.828214837536</x:v>
      </x:c>
      <x:c r="O63" s="30" t="n">
        <x:f>G63*L63</x:f>
        <x:v>20805.46538035299</x:v>
      </x:c>
    </x:row>
    <x:row r="64" ht="21" customHeight="1">
      <x:c r="A64" s="28" t="n">
        <x:v>58</x:v>
      </x:c>
      <x:c r="B64" s="29" t="n">
        <x:v>46560</x:v>
      </x:c>
      <x:c r="C64" s="28" t="n">
        <x:f>B64-B63</x:f>
        <x:v>31</x:v>
      </x:c>
      <x:c r="D64" s="30" t="n">
        <x:f>H63</x:f>
        <x:v>3023809.93</x:v>
      </x:c>
      <x:c r="E64" s="30" t="n">
        <x:f>ROUND(D64*I64,2)</x:f>
        <x:v>19261.26</x:v>
      </x:c>
      <x:c r="F64" s="30" t="n">
        <x:f>MIN(D64,'Параметры'!$C$13)</x:f>
        <x:v>10916.28</x:v>
      </x:c>
      <x:c r="G64" s="30" t="n">
        <x:f>ROUND(E64+F64,2)</x:f>
        <x:v>30177.54</x:v>
      </x:c>
      <x:c r="H64" s="30" t="n">
        <x:f>ROUND(D64-F64,2)</x:f>
        <x:v>3012893.65</x:v>
      </x:c>
      <x:c r="I64" s="33" t="n">
        <x:f>IF(AND(ISNUMBER('Параметры'!$C$7),'Параметры'!$C$7&gt;=0),'Параметры'!$C$7*C64/365,NA())</x:f>
        <x:v>0.00636986301369863</x:v>
      </x:c>
      <x:c r="J64" s="32" t="n">
        <x:f>J63/(1+I64)</x:f>
        <x:v>0.697884323513971</x:v>
      </x:c>
      <x:c r="K64" s="33" t="n">
        <x:f>IF(AND(ISNUMBER('Параметры'!$C$8),'Параметры'!$C$8&gt;=0),'Параметры'!$C$8*C64/365,NA())</x:f>
        <x:v>0.00636986301369863</x:v>
      </x:c>
      <x:c r="L64" s="32" t="n">
        <x:f>L63/(1+K64)</x:f>
        <x:v>0.697884323513971</x:v>
      </x:c>
      <x:c r="M64" s="30" t="n">
        <x:f>E64*L64</x:f>
        <x:v>13442.131405126707</x:v>
      </x:c>
      <x:c r="N64" s="30" t="n">
        <x:f>F64*L64</x:f>
        <x:v>7618.300683089092</x:v>
      </x:c>
      <x:c r="O64" s="30" t="n">
        <x:f>G64*L64</x:f>
        <x:v>21060.432088215803</x:v>
      </x:c>
    </x:row>
    <x:row r="65" ht="21" customHeight="1">
      <x:c r="A65" s="28" t="n">
        <x:v>59</x:v>
      </x:c>
      <x:c r="B65" s="29" t="n">
        <x:v>46590</x:v>
      </x:c>
      <x:c r="C65" s="28" t="n">
        <x:f>B65-B64</x:f>
        <x:v>30</x:v>
      </x:c>
      <x:c r="D65" s="30" t="n">
        <x:f>H64</x:f>
        <x:v>3012893.65</x:v>
      </x:c>
      <x:c r="E65" s="30" t="n">
        <x:f>ROUND(D65*I65,2)</x:f>
        <x:v>18572.63</x:v>
      </x:c>
      <x:c r="F65" s="30" t="n">
        <x:f>MIN(D65,'Параметры'!$C$13)</x:f>
        <x:v>10916.28</x:v>
      </x:c>
      <x:c r="G65" s="30" t="n">
        <x:f>ROUND(E65+F65,2)</x:f>
        <x:v>29488.91</x:v>
      </x:c>
      <x:c r="H65" s="30" t="n">
        <x:f>ROUND(D65-F65,2)</x:f>
        <x:v>3001977.37</x:v>
      </x:c>
      <x:c r="I65" s="33" t="n">
        <x:f>IF(AND(ISNUMBER('Параметры'!$C$7),'Параметры'!$C$7&gt;=0),'Параметры'!$C$7*C65/365,NA())</x:f>
        <x:v>0.0061643835616438354</x:v>
      </x:c>
      <x:c r="J65" s="32" t="n">
        <x:f>J64/(1+I65)</x:f>
        <x:v>0.6936086537306996</x:v>
      </x:c>
      <x:c r="K65" s="33" t="n">
        <x:f>IF(AND(ISNUMBER('Параметры'!$C$8),'Параметры'!$C$8&gt;=0),'Параметры'!$C$8*C65/365,NA())</x:f>
        <x:v>0.0061643835616438354</x:v>
      </x:c>
      <x:c r="L65" s="32" t="n">
        <x:f>L64/(1+K65)</x:f>
        <x:v>0.6936086537306996</x:v>
      </x:c>
      <x:c r="M65" s="30" t="n">
        <x:f>E65*L65</x:f>
        <x:v>12882.136890538404</x:v>
      </x:c>
      <x:c r="N65" s="30" t="n">
        <x:f>F65*L65</x:f>
        <x:v>7571.626274547361</x:v>
      </x:c>
      <x:c r="O65" s="30" t="n">
        <x:f>G65*L65</x:f>
        <x:v>20453.763165085766</x:v>
      </x:c>
    </x:row>
    <x:row r="66" ht="21" customHeight="1">
      <x:c r="A66" s="28" t="n">
        <x:v>60</x:v>
      </x:c>
      <x:c r="B66" s="29" t="n">
        <x:v>46621</x:v>
      </x:c>
      <x:c r="C66" s="28" t="n">
        <x:f>B66-B65</x:f>
        <x:v>31</x:v>
      </x:c>
      <x:c r="D66" s="30" t="n">
        <x:f>H65</x:f>
        <x:v>3001977.37</x:v>
      </x:c>
      <x:c r="E66" s="30" t="n">
        <x:f>ROUND(D66*I66,2)</x:f>
        <x:v>19122.18</x:v>
      </x:c>
      <x:c r="F66" s="30" t="n">
        <x:f>MIN(D66,'Параметры'!$C$13)</x:f>
        <x:v>10916.28</x:v>
      </x:c>
      <x:c r="G66" s="30" t="n">
        <x:f>ROUND(E66+F66,2)</x:f>
        <x:v>30038.46</x:v>
      </x:c>
      <x:c r="H66" s="30" t="n">
        <x:f>ROUND(D66-F66,2)</x:f>
        <x:v>2991061.09</x:v>
      </x:c>
      <x:c r="I66" s="33" t="n">
        <x:f>IF(AND(ISNUMBER('Параметры'!$C$7),'Параметры'!$C$7&gt;=0),'Параметры'!$C$7*C66/365,NA())</x:f>
        <x:v>0.00636986301369863</x:v>
      </x:c>
      <x:c r="J66" s="32" t="n">
        <x:f>J65/(1+I66)</x:f>
        <x:v>0.6892184267656853</x:v>
      </x:c>
      <x:c r="K66" s="33" t="n">
        <x:f>IF(AND(ISNUMBER('Параметры'!$C$8),'Параметры'!$C$8&gt;=0),'Параметры'!$C$8*C66/365,NA())</x:f>
        <x:v>0.00636986301369863</x:v>
      </x:c>
      <x:c r="L66" s="32" t="n">
        <x:f>L65/(1+K66)</x:f>
        <x:v>0.6892184267656853</x:v>
      </x:c>
      <x:c r="M66" s="30" t="n">
        <x:f>E66*L66</x:f>
        <x:v>13179.358815930253</x:v>
      </x:c>
      <x:c r="N66" s="30" t="n">
        <x:f>F66*L66</x:f>
        <x:v>7523.701327733716</x:v>
      </x:c>
      <x:c r="O66" s="30" t="n">
        <x:f>G66*L66</x:f>
        <x:v>20703.060143663966</x:v>
      </x:c>
    </x:row>
    <x:row r="67" ht="21" customHeight="1">
      <x:c r="A67" s="28" t="n">
        <x:v>61</x:v>
      </x:c>
      <x:c r="B67" s="29" t="n">
        <x:v>46652</x:v>
      </x:c>
      <x:c r="C67" s="28" t="n">
        <x:f>B67-B66</x:f>
        <x:v>31</x:v>
      </x:c>
      <x:c r="D67" s="30" t="n">
        <x:f>H66</x:f>
        <x:v>2991061.09</x:v>
      </x:c>
      <x:c r="E67" s="30" t="n">
        <x:f>ROUND(D67*I67,2)</x:f>
        <x:v>19052.65</x:v>
      </x:c>
      <x:c r="F67" s="30" t="n">
        <x:f>MIN(D67,'Параметры'!$C$13)</x:f>
        <x:v>10916.28</x:v>
      </x:c>
      <x:c r="G67" s="30" t="n">
        <x:f>ROUND(E67+F67,2)</x:f>
        <x:v>29968.93</x:v>
      </x:c>
      <x:c r="H67" s="30" t="n">
        <x:f>ROUND(D67-F67,2)</x:f>
        <x:v>2980144.81</x:v>
      </x:c>
      <x:c r="I67" s="33" t="n">
        <x:f>IF(AND(ISNUMBER('Параметры'!$C$7),'Параметры'!$C$7&gt;=0),'Параметры'!$C$7*C67/365,NA())</x:f>
        <x:v>0.00636986301369863</x:v>
      </x:c>
      <x:c r="J67" s="32" t="n">
        <x:f>J66/(1+I67)</x:f>
        <x:v>0.6848559879384065</x:v>
      </x:c>
      <x:c r="K67" s="33" t="n">
        <x:f>IF(AND(ISNUMBER('Параметры'!$C$8),'Параметры'!$C$8&gt;=0),'Параметры'!$C$8*C67/365,NA())</x:f>
        <x:v>0.00636986301369863</x:v>
      </x:c>
      <x:c r="L67" s="32" t="n">
        <x:f>L66/(1+K67)</x:f>
        <x:v>0.6848559879384065</x:v>
      </x:c>
      <x:c r="M67" s="30" t="n">
        <x:f>E67*L67</x:f>
        <x:v>13048.321438594681</x:v>
      </x:c>
      <x:c r="N67" s="30" t="n">
        <x:f>F67*L67</x:f>
        <x:v>7476.079724012268</x:v>
      </x:c>
      <x:c r="O67" s="30" t="n">
        <x:f>G67*L67</x:f>
        <x:v>20524.401162606948</x:v>
      </x:c>
    </x:row>
    <x:row r="68" ht="21" customHeight="1">
      <x:c r="A68" s="28" t="n">
        <x:v>62</x:v>
      </x:c>
      <x:c r="B68" s="29" t="n">
        <x:v>46682</x:v>
      </x:c>
      <x:c r="C68" s="28" t="n">
        <x:f>B68-B67</x:f>
        <x:v>30</x:v>
      </x:c>
      <x:c r="D68" s="30" t="n">
        <x:f>H67</x:f>
        <x:v>2980144.81</x:v>
      </x:c>
      <x:c r="E68" s="30" t="n">
        <x:f>ROUND(D68*I68,2)</x:f>
        <x:v>18370.76</x:v>
      </x:c>
      <x:c r="F68" s="30" t="n">
        <x:f>MIN(D68,'Параметры'!$C$13)</x:f>
        <x:v>10916.28</x:v>
      </x:c>
      <x:c r="G68" s="30" t="n">
        <x:f>ROUND(E68+F68,2)</x:f>
        <x:v>29287.04</x:v>
      </x:c>
      <x:c r="H68" s="30" t="n">
        <x:f>ROUND(D68-F68,2)</x:f>
        <x:v>2969228.53</x:v>
      </x:c>
      <x:c r="I68" s="33" t="n">
        <x:f>IF(AND(ISNUMBER('Параметры'!$C$7),'Параметры'!$C$7&gt;=0),'Параметры'!$C$7*C68/365,NA())</x:f>
        <x:v>0.0061643835616438354</x:v>
      </x:c>
      <x:c r="J68" s="32" t="n">
        <x:f>J67/(1+I68)</x:f>
        <x:v>0.680660137774046</x:v>
      </x:c>
      <x:c r="K68" s="33" t="n">
        <x:f>IF(AND(ISNUMBER('Параметры'!$C$8),'Параметры'!$C$8&gt;=0),'Параметры'!$C$8*C68/365,NA())</x:f>
        <x:v>0.0061643835616438354</x:v>
      </x:c>
      <x:c r="L68" s="32" t="n">
        <x:f>L67/(1+K68)</x:f>
        <x:v>0.680660137774046</x:v>
      </x:c>
      <x:c r="M68" s="30" t="n">
        <x:f>E68*L68</x:f>
        <x:v>12504.244032613931</x:v>
      </x:c>
      <x:c r="N68" s="30" t="n">
        <x:f>F68*L68</x:f>
        <x:v>7430.276648780064</x:v>
      </x:c>
      <x:c r="O68" s="30" t="n">
        <x:f>G68*L68</x:f>
        <x:v>19934.520681393995</x:v>
      </x:c>
    </x:row>
    <x:row r="69" ht="21" customHeight="1">
      <x:c r="A69" s="28" t="n">
        <x:v>63</x:v>
      </x:c>
      <x:c r="B69" s="29" t="n">
        <x:v>46713</x:v>
      </x:c>
      <x:c r="C69" s="28" t="n">
        <x:f>B69-B68</x:f>
        <x:v>31</x:v>
      </x:c>
      <x:c r="D69" s="30" t="n">
        <x:f>H68</x:f>
        <x:v>2969228.53</x:v>
      </x:c>
      <x:c r="E69" s="30" t="n">
        <x:f>ROUND(D69*I69,2)</x:f>
        <x:v>18913.58</x:v>
      </x:c>
      <x:c r="F69" s="30" t="n">
        <x:f>MIN(D69,'Параметры'!$C$13)</x:f>
        <x:v>10916.28</x:v>
      </x:c>
      <x:c r="G69" s="30" t="n">
        <x:f>ROUND(E69+F69,2)</x:f>
        <x:v>29829.86</x:v>
      </x:c>
      <x:c r="H69" s="30" t="n">
        <x:f>ROUND(D69-F69,2)</x:f>
        <x:v>2958312.25</x:v>
      </x:c>
      <x:c r="I69" s="33" t="n">
        <x:f>IF(AND(ISNUMBER('Параметры'!$C$7),'Параметры'!$C$7&gt;=0),'Параметры'!$C$7*C69/365,NA())</x:f>
        <x:v>0.00636986301369863</x:v>
      </x:c>
      <x:c r="J69" s="32" t="n">
        <x:f>J68/(1+I69)</x:f>
        <x:v>0.6763518690193339</x:v>
      </x:c>
      <x:c r="K69" s="33" t="n">
        <x:f>IF(AND(ISNUMBER('Параметры'!$C$8),'Параметры'!$C$8&gt;=0),'Параметры'!$C$8*C69/365,NA())</x:f>
        <x:v>0.00636986301369863</x:v>
      </x:c>
      <x:c r="L69" s="32" t="n">
        <x:f>L68/(1+K69)</x:f>
        <x:v>0.6763518690193339</x:v>
      </x:c>
      <x:c r="M69" s="30" t="n">
        <x:f>E69*L69</x:f>
        <x:v>12792.235182846694</x:v>
      </x:c>
      <x:c r="N69" s="30" t="n">
        <x:f>F69*L69</x:f>
        <x:v>7383.246380738375</x:v>
      </x:c>
      <x:c r="O69" s="30" t="n">
        <x:f>G69*L69</x:f>
        <x:v>20175.48156358507</x:v>
      </x:c>
    </x:row>
    <x:row r="70" ht="21" customHeight="1">
      <x:c r="A70" s="28" t="n">
        <x:v>64</x:v>
      </x:c>
      <x:c r="B70" s="29" t="n">
        <x:v>46743</x:v>
      </x:c>
      <x:c r="C70" s="28" t="n">
        <x:f>B70-B69</x:f>
        <x:v>30</x:v>
      </x:c>
      <x:c r="D70" s="30" t="n">
        <x:f>H69</x:f>
        <x:v>2958312.25</x:v>
      </x:c>
      <x:c r="E70" s="30" t="n">
        <x:f>ROUND(D70*I70,2)</x:f>
        <x:v>18236.17</x:v>
      </x:c>
      <x:c r="F70" s="30" t="n">
        <x:f>MIN(D70,'Параметры'!$C$13)</x:f>
        <x:v>10916.28</x:v>
      </x:c>
      <x:c r="G70" s="30" t="n">
        <x:f>ROUND(E70+F70,2)</x:f>
        <x:v>29152.45</x:v>
      </x:c>
      <x:c r="H70" s="30" t="n">
        <x:f>ROUND(D70-F70,2)</x:f>
        <x:v>2947395.97</x:v>
      </x:c>
      <x:c r="I70" s="33" t="n">
        <x:f>IF(AND(ISNUMBER('Параметры'!$C$7),'Параметры'!$C$7&gt;=0),'Параметры'!$C$7*C70/365,NA())</x:f>
        <x:v>0.0061643835616438354</x:v>
      </x:c>
      <x:c r="J70" s="32" t="n">
        <x:f>J69/(1+I70)</x:f>
        <x:v>0.6722081203323536</x:v>
      </x:c>
      <x:c r="K70" s="33" t="n">
        <x:f>IF(AND(ISNUMBER('Параметры'!$C$8),'Параметры'!$C$8&gt;=0),'Параметры'!$C$8*C70/365,NA())</x:f>
        <x:v>0.0061643835616438354</x:v>
      </x:c>
      <x:c r="L70" s="32" t="n">
        <x:f>L69/(1+K70)</x:f>
        <x:v>0.6722081203323536</x:v>
      </x:c>
      <x:c r="M70" s="30" t="n">
        <x:f>E70*L70</x:f>
        <x:v>12258.501557761254</x:v>
      </x:c>
      <x:c r="N70" s="30" t="n">
        <x:f>F70*L70</x:f>
        <x:v>7338.0120598216645</x:v>
      </x:c>
      <x:c r="O70" s="30" t="n">
        <x:f>G70*L70</x:f>
        <x:v>19596.51361758292</x:v>
      </x:c>
    </x:row>
    <x:row r="71" ht="21" customHeight="1">
      <x:c r="A71" s="28" t="n">
        <x:v>65</x:v>
      </x:c>
      <x:c r="B71" s="29" t="n">
        <x:v>46774</x:v>
      </x:c>
      <x:c r="C71" s="28" t="n">
        <x:f>B71-B70</x:f>
        <x:v>31</x:v>
      </x:c>
      <x:c r="D71" s="30" t="n">
        <x:f>H70</x:f>
        <x:v>2947395.97</x:v>
      </x:c>
      <x:c r="E71" s="30" t="n">
        <x:f>ROUND(D71*I71,2)</x:f>
        <x:v>18774.51</x:v>
      </x:c>
      <x:c r="F71" s="30" t="n">
        <x:f>MIN(D71,'Параметры'!$C$13)</x:f>
        <x:v>10916.28</x:v>
      </x:c>
      <x:c r="G71" s="30" t="n">
        <x:f>ROUND(E71+F71,2)</x:f>
        <x:v>29690.79</x:v>
      </x:c>
      <x:c r="H71" s="30" t="n">
        <x:f>ROUND(D71-F71,2)</x:f>
        <x:v>2936479.69</x:v>
      </x:c>
      <x:c r="I71" s="33" t="n">
        <x:f>IF(AND(ISNUMBER('Параметры'!$C$7),'Параметры'!$C$7&gt;=0),'Параметры'!$C$7*C71/365,NA())</x:f>
        <x:v>0.00636986301369863</x:v>
      </x:c>
      <x:c r="J71" s="32" t="n">
        <x:f>J70/(1+I71)</x:f>
        <x:v>0.6679533489996844</x:v>
      </x:c>
      <x:c r="K71" s="33" t="n">
        <x:f>IF(AND(ISNUMBER('Параметры'!$C$8),'Параметры'!$C$8&gt;=0),'Параметры'!$C$8*C71/365,NA())</x:f>
        <x:v>0.00636986301369863</x:v>
      </x:c>
      <x:c r="L71" s="32" t="n">
        <x:f>L70/(1+K71)</x:f>
        <x:v>0.6679533489996844</x:v>
      </x:c>
      <x:c r="M71" s="30" t="n">
        <x:f>E71*L71</x:f>
        <x:v>12540.496830328064</x:v>
      </x:c>
      <x:c r="N71" s="30" t="n">
        <x:f>F71*L71</x:f>
        <x:v>7291.565784618275</x:v>
      </x:c>
      <x:c r="O71" s="30" t="n">
        <x:f>G71*L71</x:f>
        <x:v>19832.06261494634</x:v>
      </x:c>
    </x:row>
    <x:row r="72" ht="21" customHeight="1">
      <x:c r="A72" s="28" t="n">
        <x:v>66</x:v>
      </x:c>
      <x:c r="B72" s="29" t="n">
        <x:v>46805</x:v>
      </x:c>
      <x:c r="C72" s="28" t="n">
        <x:f>B72-B71</x:f>
        <x:v>31</x:v>
      </x:c>
      <x:c r="D72" s="30" t="n">
        <x:f>H71</x:f>
        <x:v>2936479.69</x:v>
      </x:c>
      <x:c r="E72" s="30" t="n">
        <x:f>ROUND(D72*I72,2)</x:f>
        <x:v>18704.97</x:v>
      </x:c>
      <x:c r="F72" s="30" t="n">
        <x:f>MIN(D72,'Параметры'!$C$13)</x:f>
        <x:v>10916.28</x:v>
      </x:c>
      <x:c r="G72" s="30" t="n">
        <x:f>ROUND(E72+F72,2)</x:f>
        <x:v>29621.25</x:v>
      </x:c>
      <x:c r="H72" s="30" t="n">
        <x:f>ROUND(D72-F72,2)</x:f>
        <x:v>2925563.41</x:v>
      </x:c>
      <x:c r="I72" s="33" t="n">
        <x:f>IF(AND(ISNUMBER('Параметры'!$C$7),'Параметры'!$C$7&gt;=0),'Параметры'!$C$7*C72/365,NA())</x:f>
        <x:v>0.00636986301369863</x:v>
      </x:c>
      <x:c r="J72" s="32" t="n">
        <x:f>J71/(1+I72)</x:f>
        <x:v>0.6637255084322734</x:v>
      </x:c>
      <x:c r="K72" s="33" t="n">
        <x:f>IF(AND(ISNUMBER('Параметры'!$C$8),'Параметры'!$C$8&gt;=0),'Параметры'!$C$8*C72/365,NA())</x:f>
        <x:v>0.00636986301369863</x:v>
      </x:c>
      <x:c r="L72" s="32" t="n">
        <x:f>L71/(1+K72)</x:f>
        <x:v>0.6637255084322734</x:v>
      </x:c>
      <x:c r="M72" s="30" t="n">
        <x:f>E72*L72</x:f>
        <x:v>12414.965723460422</x:v>
      </x:c>
      <x:c r="N72" s="30" t="n">
        <x:f>F72*L72</x:f>
        <x:v>7245.413493189058</x:v>
      </x:c>
      <x:c r="O72" s="30" t="n">
        <x:f>G72*L72</x:f>
        <x:v>19660.37921664948</x:v>
      </x:c>
    </x:row>
    <x:row r="73" ht="21" customHeight="1">
      <x:c r="A73" s="28" t="n">
        <x:v>67</x:v>
      </x:c>
      <x:c r="B73" s="29" t="n">
        <x:v>46834</x:v>
      </x:c>
      <x:c r="C73" s="28" t="n">
        <x:f>B73-B72</x:f>
        <x:v>29</x:v>
      </x:c>
      <x:c r="D73" s="30" t="n">
        <x:f>H72</x:f>
        <x:v>2925563.41</x:v>
      </x:c>
      <x:c r="E73" s="30" t="n">
        <x:f>ROUND(D73*I73,2)</x:f>
        <x:v>17433.15</x:v>
      </x:c>
      <x:c r="F73" s="30" t="n">
        <x:f>MIN(D73,'Параметры'!$C$13)</x:f>
        <x:v>10916.28</x:v>
      </x:c>
      <x:c r="G73" s="30" t="n">
        <x:f>ROUND(E73+F73,2)</x:f>
        <x:v>28349.43</x:v>
      </x:c>
      <x:c r="H73" s="30" t="n">
        <x:f>ROUND(D73-F73,2)</x:f>
        <x:v>2914647.13</x:v>
      </x:c>
      <x:c r="I73" s="33" t="n">
        <x:f>IF(AND(ISNUMBER('Параметры'!$C$7),'Параметры'!$C$7&gt;=0),'Параметры'!$C$7*C73/365,NA())</x:f>
        <x:v>0.00595890410958904</x:v>
      </x:c>
      <x:c r="J73" s="32" t="n">
        <x:f>J72/(1+I73)</x:f>
        <x:v>0.6597938600879139</x:v>
      </x:c>
      <x:c r="K73" s="33" t="n">
        <x:f>IF(AND(ISNUMBER('Параметры'!$C$8),'Параметры'!$C$8&gt;=0),'Параметры'!$C$8*C73/365,NA())</x:f>
        <x:v>0.00595890410958904</x:v>
      </x:c>
      <x:c r="L73" s="32" t="n">
        <x:f>L72/(1+K73)</x:f>
        <x:v>0.6597938600879139</x:v>
      </x:c>
      <x:c r="M73" s="30" t="n">
        <x:f>E73*L73</x:f>
        <x:v>11502.285331991616</x:v>
      </x:c>
      <x:c r="N73" s="30" t="n">
        <x:f>F73*L73</x:f>
        <x:v>7202.494519000493</x:v>
      </x:c>
      <x:c r="O73" s="30" t="n">
        <x:f>G73*L73</x:f>
        <x:v>18704.77985099211</x:v>
      </x:c>
    </x:row>
    <x:row r="74" ht="21" customHeight="1">
      <x:c r="A74" s="28" t="n">
        <x:v>68</x:v>
      </x:c>
      <x:c r="B74" s="29" t="n">
        <x:v>46865</x:v>
      </x:c>
      <x:c r="C74" s="28" t="n">
        <x:f>B74-B73</x:f>
        <x:v>31</x:v>
      </x:c>
      <x:c r="D74" s="30" t="n">
        <x:f>H73</x:f>
        <x:v>2914647.13</x:v>
      </x:c>
      <x:c r="E74" s="30" t="n">
        <x:f>ROUND(D74*I74,2)</x:f>
        <x:v>18565.9</x:v>
      </x:c>
      <x:c r="F74" s="30" t="n">
        <x:f>MIN(D74,'Параметры'!$C$13)</x:f>
        <x:v>10916.28</x:v>
      </x:c>
      <x:c r="G74" s="30" t="n">
        <x:f>ROUND(E74+F74,2)</x:f>
        <x:v>29482.18</x:v>
      </x:c>
      <x:c r="H74" s="30" t="n">
        <x:f>ROUND(D74-F74,2)</x:f>
        <x:v>2903730.85</x:v>
      </x:c>
      <x:c r="I74" s="33" t="n">
        <x:f>IF(AND(ISNUMBER('Параметры'!$C$7),'Параметры'!$C$7&gt;=0),'Параметры'!$C$7*C74/365,NA())</x:f>
        <x:v>0.00636986301369863</x:v>
      </x:c>
      <x:c r="J74" s="32" t="n">
        <x:f>J73/(1+I74)</x:f>
        <x:v>0.6556176653701452</x:v>
      </x:c>
      <x:c r="K74" s="33" t="n">
        <x:f>IF(AND(ISNUMBER('Параметры'!$C$8),'Параметры'!$C$8&gt;=0),'Параметры'!$C$8*C74/365,NA())</x:f>
        <x:v>0.00636986301369863</x:v>
      </x:c>
      <x:c r="L74" s="32" t="n">
        <x:f>L73/(1+K74)</x:f>
        <x:v>0.6556176653701452</x:v>
      </x:c>
      <x:c r="M74" s="30" t="n">
        <x:f>E74*L74</x:f>
        <x:v>12172.13201349558</x:v>
      </x:c>
      <x:c r="N74" s="30" t="n">
        <x:f>F74*L74</x:f>
        <x:v>7156.906008126809</x:v>
      </x:c>
      <x:c r="O74" s="30" t="n">
        <x:f>G74*L74</x:f>
        <x:v>19329.03802162239</x:v>
      </x:c>
    </x:row>
    <x:row r="75" ht="21" customHeight="1">
      <x:c r="A75" s="28" t="n">
        <x:v>69</x:v>
      </x:c>
      <x:c r="B75" s="29" t="n">
        <x:v>46895</x:v>
      </x:c>
      <x:c r="C75" s="28" t="n">
        <x:f>B75-B74</x:f>
        <x:v>30</x:v>
      </x:c>
      <x:c r="D75" s="30" t="n">
        <x:f>H74</x:f>
        <x:v>2903730.85</x:v>
      </x:c>
      <x:c r="E75" s="30" t="n">
        <x:f>ROUND(D75*I75,2)</x:f>
        <x:v>17899.71</x:v>
      </x:c>
      <x:c r="F75" s="30" t="n">
        <x:f>MIN(D75,'Параметры'!$C$13)</x:f>
        <x:v>10916.28</x:v>
      </x:c>
      <x:c r="G75" s="30" t="n">
        <x:f>ROUND(E75+F75,2)</x:f>
        <x:v>28815.99</x:v>
      </x:c>
      <x:c r="H75" s="30" t="n">
        <x:f>ROUND(D75-F75,2)</x:f>
        <x:v>2892814.57</x:v>
      </x:c>
      <x:c r="I75" s="33" t="n">
        <x:f>IF(AND(ISNUMBER('Параметры'!$C$7),'Параметры'!$C$7&gt;=0),'Параметры'!$C$7*C75/365,NA())</x:f>
        <x:v>0.0061643835616438354</x:v>
      </x:c>
      <x:c r="J75" s="32" t="n">
        <x:f>J74/(1+I75)</x:f>
        <x:v>0.6516009472024589</x:v>
      </x:c>
      <x:c r="K75" s="33" t="n">
        <x:f>IF(AND(ISNUMBER('Параметры'!$C$8),'Параметры'!$C$8&gt;=0),'Параметры'!$C$8*C75/365,NA())</x:f>
        <x:v>0.0061643835616438354</x:v>
      </x:c>
      <x:c r="L75" s="32" t="n">
        <x:f>L74/(1+K75)</x:f>
        <x:v>0.6516009472024589</x:v>
      </x:c>
      <x:c r="M75" s="30" t="n">
        <x:f>E75*L75</x:f>
        <x:v>11663.467990649324</x:v>
      </x:c>
      <x:c r="N75" s="30" t="n">
        <x:f>F75*L75</x:f>
        <x:v>7113.058387927258</x:v>
      </x:c>
      <x:c r="O75" s="30" t="n">
        <x:f>G75*L75</x:f>
        <x:v>18776.526378576586</x:v>
      </x:c>
    </x:row>
    <x:row r="76" ht="21" customHeight="1">
      <x:c r="A76" s="28" t="n">
        <x:v>70</x:v>
      </x:c>
      <x:c r="B76" s="29" t="n">
        <x:v>46926</x:v>
      </x:c>
      <x:c r="C76" s="28" t="n">
        <x:f>B76-B75</x:f>
        <x:v>31</x:v>
      </x:c>
      <x:c r="D76" s="30" t="n">
        <x:f>H75</x:f>
        <x:v>2892814.57</x:v>
      </x:c>
      <x:c r="E76" s="30" t="n">
        <x:f>ROUND(D76*I76,2)</x:f>
        <x:v>18426.83</x:v>
      </x:c>
      <x:c r="F76" s="30" t="n">
        <x:f>MIN(D76,'Параметры'!$C$13)</x:f>
        <x:v>10916.28</x:v>
      </x:c>
      <x:c r="G76" s="30" t="n">
        <x:f>ROUND(E76+F76,2)</x:f>
        <x:v>29343.11</x:v>
      </x:c>
      <x:c r="H76" s="30" t="n">
        <x:f>ROUND(D76-F76,2)</x:f>
        <x:v>2881898.29</x:v>
      </x:c>
      <x:c r="I76" s="33" t="n">
        <x:f>IF(AND(ISNUMBER('Параметры'!$C$7),'Параметры'!$C$7&gt;=0),'Параметры'!$C$7*C76/365,NA())</x:f>
        <x:v>0.00636986301369863</x:v>
      </x:c>
      <x:c r="J76" s="32" t="n">
        <x:f>J75/(1+I76)</x:f>
        <x:v>0.6474766098928674</x:v>
      </x:c>
      <x:c r="K76" s="33" t="n">
        <x:f>IF(AND(ISNUMBER('Параметры'!$C$8),'Параметры'!$C$8&gt;=0),'Параметры'!$C$8*C76/365,NA())</x:f>
        <x:v>0.00636986301369863</x:v>
      </x:c>
      <x:c r="L76" s="32" t="n">
        <x:f>L75/(1+K76)</x:f>
        <x:v>0.6474766098928674</x:v>
      </x:c>
      <x:c r="M76" s="30" t="n">
        <x:f>E76*L76</x:f>
        <x:v>11930.941419472187</x:v>
      </x:c>
      <x:c r="N76" s="30" t="n">
        <x:f>F76*L76</x:f>
        <x:v>7068.035967041311</x:v>
      </x:c>
      <x:c r="O76" s="30" t="n">
        <x:f>G76*L76</x:f>
        <x:v>18998.977386513496</x:v>
      </x:c>
    </x:row>
    <x:row r="77" ht="21" customHeight="1">
      <x:c r="A77" s="28" t="n">
        <x:v>71</x:v>
      </x:c>
      <x:c r="B77" s="29" t="n">
        <x:v>46956</x:v>
      </x:c>
      <x:c r="C77" s="28" t="n">
        <x:f>B77-B76</x:f>
        <x:v>30</x:v>
      </x:c>
      <x:c r="D77" s="30" t="n">
        <x:f>H76</x:f>
        <x:v>2881898.29</x:v>
      </x:c>
      <x:c r="E77" s="30" t="n">
        <x:f>ROUND(D77*I77,2)</x:f>
        <x:v>17765.13</x:v>
      </x:c>
      <x:c r="F77" s="30" t="n">
        <x:f>MIN(D77,'Параметры'!$C$13)</x:f>
        <x:v>10916.28</x:v>
      </x:c>
      <x:c r="G77" s="30" t="n">
        <x:f>ROUND(E77+F77,2)</x:f>
        <x:v>28681.41</x:v>
      </x:c>
      <x:c r="H77" s="30" t="n">
        <x:f>ROUND(D77-F77,2)</x:f>
        <x:v>2870982.01</x:v>
      </x:c>
      <x:c r="I77" s="33" t="n">
        <x:f>IF(AND(ISNUMBER('Параметры'!$C$7),'Параметры'!$C$7&gt;=0),'Параметры'!$C$7*C77/365,NA())</x:f>
        <x:v>0.0061643835616438354</x:v>
      </x:c>
      <x:c r="J77" s="32" t="n">
        <x:f>J76/(1+I77)</x:f>
        <x:v>0.6435097688519988</x:v>
      </x:c>
      <x:c r="K77" s="33" t="n">
        <x:f>IF(AND(ISNUMBER('Параметры'!$C$8),'Параметры'!$C$8&gt;=0),'Параметры'!$C$8*C77/365,NA())</x:f>
        <x:v>0.0061643835616438354</x:v>
      </x:c>
      <x:c r="L77" s="32" t="n">
        <x:f>L76/(1+K77)</x:f>
        <x:v>0.6435097688519988</x:v>
      </x:c>
      <x:c r="M77" s="30" t="n">
        <x:f>E77*L77</x:f>
        <x:v>11432.03469992571</x:v>
      </x:c>
      <x:c r="N77" s="30" t="n">
        <x:f>F77*L77</x:f>
        <x:v>7024.732819523699</x:v>
      </x:c>
      <x:c r="O77" s="30" t="n">
        <x:f>G77*L77</x:f>
        <x:v>18456.767519449408</x:v>
      </x:c>
    </x:row>
    <x:row r="78" ht="21" customHeight="1">
      <x:c r="A78" s="28" t="n">
        <x:v>72</x:v>
      </x:c>
      <x:c r="B78" s="29" t="n">
        <x:v>46987</x:v>
      </x:c>
      <x:c r="C78" s="28" t="n">
        <x:f>B78-B77</x:f>
        <x:v>31</x:v>
      </x:c>
      <x:c r="D78" s="30" t="n">
        <x:f>H77</x:f>
        <x:v>2870982.01</x:v>
      </x:c>
      <x:c r="E78" s="30" t="n">
        <x:f>ROUND(D78*I78,2)</x:f>
        <x:v>18287.76</x:v>
      </x:c>
      <x:c r="F78" s="30" t="n">
        <x:f>MIN(D78,'Параметры'!$C$13)</x:f>
        <x:v>10916.28</x:v>
      </x:c>
      <x:c r="G78" s="30" t="n">
        <x:f>ROUND(E78+F78,2)</x:f>
        <x:v>29204.04</x:v>
      </x:c>
      <x:c r="H78" s="30" t="n">
        <x:f>ROUND(D78-F78,2)</x:f>
        <x:v>2860065.73</x:v>
      </x:c>
      <x:c r="I78" s="33" t="n">
        <x:f>IF(AND(ISNUMBER('Параметры'!$C$7),'Параметры'!$C$7&gt;=0),'Параметры'!$C$7*C78/365,NA())</x:f>
        <x:v>0.00636986301369863</x:v>
      </x:c>
      <x:c r="J78" s="32" t="n">
        <x:f>J77/(1+I78)</x:f>
        <x:v>0.6394366450172997</x:v>
      </x:c>
      <x:c r="K78" s="33" t="n">
        <x:f>IF(AND(ISNUMBER('Параметры'!$C$8),'Параметры'!$C$8&gt;=0),'Параметры'!$C$8*C78/365,NA())</x:f>
        <x:v>0.00636986301369863</x:v>
      </x:c>
      <x:c r="L78" s="32" t="n">
        <x:f>L77/(1+K78)</x:f>
        <x:v>0.6394366450172997</x:v>
      </x:c>
      <x:c r="M78" s="30" t="n">
        <x:f>E78*L78</x:f>
        <x:v>11693.863899281572</x:v>
      </x:c>
      <x:c r="N78" s="30" t="n">
        <x:f>F78*L78</x:f>
        <x:v>6980.269459269449</x:v>
      </x:c>
      <x:c r="O78" s="30" t="n">
        <x:f>G78*L78</x:f>
        <x:v>18674.133358551022</x:v>
      </x:c>
    </x:row>
    <x:row r="79" ht="21" customHeight="1">
      <x:c r="A79" s="28" t="n">
        <x:v>73</x:v>
      </x:c>
      <x:c r="B79" s="29" t="n">
        <x:v>47018</x:v>
      </x:c>
      <x:c r="C79" s="28" t="n">
        <x:f>B79-B78</x:f>
        <x:v>31</x:v>
      </x:c>
      <x:c r="D79" s="30" t="n">
        <x:f>H78</x:f>
        <x:v>2860065.73</x:v>
      </x:c>
      <x:c r="E79" s="30" t="n">
        <x:f>ROUND(D79*I79,2)</x:f>
        <x:v>18218.23</x:v>
      </x:c>
      <x:c r="F79" s="30" t="n">
        <x:f>MIN(D79,'Параметры'!$C$13)</x:f>
        <x:v>10916.28</x:v>
      </x:c>
      <x:c r="G79" s="30" t="n">
        <x:f>ROUND(E79+F79,2)</x:f>
        <x:v>29134.51</x:v>
      </x:c>
      <x:c r="H79" s="30" t="n">
        <x:f>ROUND(D79-F79,2)</x:f>
        <x:v>2849149.45</x:v>
      </x:c>
      <x:c r="I79" s="33" t="n">
        <x:f>IF(AND(ISNUMBER('Параметры'!$C$7),'Параметры'!$C$7&gt;=0),'Параметры'!$C$7*C79/365,NA())</x:f>
        <x:v>0.00636986301369863</x:v>
      </x:c>
      <x:c r="J79" s="32" t="n">
        <x:f>J78/(1+I79)</x:f>
        <x:v>0.635389302201904</x:v>
      </x:c>
      <x:c r="K79" s="33" t="n">
        <x:f>IF(AND(ISNUMBER('Параметры'!$C$8),'Параметры'!$C$8&gt;=0),'Параметры'!$C$8*C79/365,NA())</x:f>
        <x:v>0.00636986301369863</x:v>
      </x:c>
      <x:c r="L79" s="32" t="n">
        <x:f>L78/(1+K79)</x:f>
        <x:v>0.635389302201904</x:v>
      </x:c>
      <x:c r="M79" s="30" t="n">
        <x:f>E79*L79</x:f>
        <x:v>11575.668447053795</x:v>
      </x:c>
      <x:c r="N79" s="30" t="n">
        <x:f>F79*L79</x:f>
        <x:v>6936.0875318406015</x:v>
      </x:c>
      <x:c r="O79" s="30" t="n">
        <x:f>G79*L79</x:f>
        <x:v>18511.755978894395</x:v>
      </x:c>
    </x:row>
    <x:row r="80" ht="21" customHeight="1">
      <x:c r="A80" s="28" t="n">
        <x:v>74</x:v>
      </x:c>
      <x:c r="B80" s="29" t="n">
        <x:v>47048</x:v>
      </x:c>
      <x:c r="C80" s="28" t="n">
        <x:f>B80-B79</x:f>
        <x:v>30</x:v>
      </x:c>
      <x:c r="D80" s="30" t="n">
        <x:f>H79</x:f>
        <x:v>2849149.45</x:v>
      </x:c>
      <x:c r="E80" s="30" t="n">
        <x:f>ROUND(D80*I80,2)</x:f>
        <x:v>17563.25</x:v>
      </x:c>
      <x:c r="F80" s="30" t="n">
        <x:f>MIN(D80,'Параметры'!$C$13)</x:f>
        <x:v>10916.28</x:v>
      </x:c>
      <x:c r="G80" s="30" t="n">
        <x:f>ROUND(E80+F80,2)</x:f>
        <x:v>28479.53</x:v>
      </x:c>
      <x:c r="H80" s="30" t="n">
        <x:f>ROUND(D80-F80,2)</x:f>
        <x:v>2838233.17</x:v>
      </x:c>
      <x:c r="I80" s="33" t="n">
        <x:f>IF(AND(ISNUMBER('Параметры'!$C$7),'Параметры'!$C$7&gt;=0),'Параметры'!$C$7*C80/365,NA())</x:f>
        <x:v>0.0061643835616438354</x:v>
      </x:c>
      <x:c r="J80" s="32" t="n">
        <x:f>J79/(1+I80)</x:f>
        <x:v>0.6314965154627501</x:v>
      </x:c>
      <x:c r="K80" s="33" t="n">
        <x:f>IF(AND(ISNUMBER('Параметры'!$C$8),'Параметры'!$C$8&gt;=0),'Параметры'!$C$8*C80/365,NA())</x:f>
        <x:v>0.0061643835616438354</x:v>
      </x:c>
      <x:c r="L80" s="32" t="n">
        <x:f>L79/(1+K80)</x:f>
        <x:v>0.6314965154627501</x:v>
      </x:c>
      <x:c r="M80" s="30" t="n">
        <x:f>E80*L80</x:f>
        <x:v>11091.131175201146</x:v>
      </x:c>
      <x:c r="N80" s="30" t="n">
        <x:f>F80*L80</x:f>
        <x:v>6893.59278181571</x:v>
      </x:c>
      <x:c r="O80" s="30" t="n">
        <x:f>G80*L80</x:f>
        <x:v>17984.723957016853</x:v>
      </x:c>
    </x:row>
    <x:row r="81" ht="21" customHeight="1">
      <x:c r="A81" s="28" t="n">
        <x:v>75</x:v>
      </x:c>
      <x:c r="B81" s="29" t="n">
        <x:v>47079</x:v>
      </x:c>
      <x:c r="C81" s="28" t="n">
        <x:f>B81-B80</x:f>
        <x:v>31</x:v>
      </x:c>
      <x:c r="D81" s="30" t="n">
        <x:f>H80</x:f>
        <x:v>2838233.17</x:v>
      </x:c>
      <x:c r="E81" s="30" t="n">
        <x:f>ROUND(D81*I81,2)</x:f>
        <x:v>18079.16</x:v>
      </x:c>
      <x:c r="F81" s="30" t="n">
        <x:f>MIN(D81,'Параметры'!$C$13)</x:f>
        <x:v>10916.28</x:v>
      </x:c>
      <x:c r="G81" s="30" t="n">
        <x:f>ROUND(E81+F81,2)</x:f>
        <x:v>28995.44</x:v>
      </x:c>
      <x:c r="H81" s="30" t="n">
        <x:f>ROUND(D81-F81,2)</x:f>
        <x:v>2827316.89</x:v>
      </x:c>
      <x:c r="I81" s="33" t="n">
        <x:f>IF(AND(ISNUMBER('Параметры'!$C$7),'Параметры'!$C$7&gt;=0),'Параметры'!$C$7*C81/365,NA())</x:f>
        <x:v>0.00636986301369863</x:v>
      </x:c>
      <x:c r="J81" s="32" t="n">
        <x:f>J80/(1+I81)</x:f>
        <x:v>0.627499430052144</x:v>
      </x:c>
      <x:c r="K81" s="33" t="n">
        <x:f>IF(AND(ISNUMBER('Параметры'!$C$8),'Параметры'!$C$8&gt;=0),'Параметры'!$C$8*C81/365,NA())</x:f>
        <x:v>0.00636986301369863</x:v>
      </x:c>
      <x:c r="L81" s="32" t="n">
        <x:f>L80/(1+K81)</x:f>
        <x:v>0.627499430052144</x:v>
      </x:c>
      <x:c r="M81" s="30" t="n">
        <x:f>E81*L81</x:f>
        <x:v>11344.66259582152</x:v>
      </x:c>
      <x:c r="N81" s="30" t="n">
        <x:f>F81*L81</x:f>
        <x:v>6849.959478289619</x:v>
      </x:c>
      <x:c r="O81" s="30" t="n">
        <x:f>G81*L81</x:f>
        <x:v>18194.62207411114</x:v>
      </x:c>
    </x:row>
    <x:row r="82" ht="21" customHeight="1">
      <x:c r="A82" s="28" t="n">
        <x:v>76</x:v>
      </x:c>
      <x:c r="B82" s="29" t="n">
        <x:v>47109</x:v>
      </x:c>
      <x:c r="C82" s="28" t="n">
        <x:f>B82-B81</x:f>
        <x:v>30</x:v>
      </x:c>
      <x:c r="D82" s="30" t="n">
        <x:f>H81</x:f>
        <x:v>2827316.89</x:v>
      </x:c>
      <x:c r="E82" s="30" t="n">
        <x:f>ROUND(D82*I82,2)</x:f>
        <x:v>17428.67</x:v>
      </x:c>
      <x:c r="F82" s="30" t="n">
        <x:f>MIN(D82,'Параметры'!$C$13)</x:f>
        <x:v>10916.28</x:v>
      </x:c>
      <x:c r="G82" s="30" t="n">
        <x:f>ROUND(E82+F82,2)</x:f>
        <x:v>28344.95</x:v>
      </x:c>
      <x:c r="H82" s="30" t="n">
        <x:f>ROUND(D82-F82,2)</x:f>
        <x:v>2816400.61</x:v>
      </x:c>
      <x:c r="I82" s="33" t="n">
        <x:f>IF(AND(ISNUMBER('Параметры'!$C$7),'Параметры'!$C$7&gt;=0),'Параметры'!$C$7*C82/365,NA())</x:f>
        <x:v>0.0061643835616438354</x:v>
      </x:c>
      <x:c r="J82" s="32" t="n">
        <x:f>J81/(1+I82)</x:f>
        <x:v>0.6236549815358273</x:v>
      </x:c>
      <x:c r="K82" s="33" t="n">
        <x:f>IF(AND(ISNUMBER('Параметры'!$C$8),'Параметры'!$C$8&gt;=0),'Параметры'!$C$8*C82/365,NA())</x:f>
        <x:v>0.0061643835616438354</x:v>
      </x:c>
      <x:c r="L82" s="32" t="n">
        <x:f>L81/(1+K82)</x:f>
        <x:v>0.6236549815358273</x:v>
      </x:c>
      <x:c r="M82" s="30" t="n">
        <x:f>E82*L82</x:f>
        <x:v>10869.476867044026</x:v>
      </x:c>
      <x:c r="N82" s="30" t="n">
        <x:f>F82*L82</x:f>
        <x:v>6807.9924018399215</x:v>
      </x:c>
      <x:c r="O82" s="30" t="n">
        <x:f>G82*L82</x:f>
        <x:v>17677.46926888395</x:v>
      </x:c>
    </x:row>
    <x:row r="83" ht="21" customHeight="1">
      <x:c r="A83" s="28" t="n">
        <x:v>77</x:v>
      </x:c>
      <x:c r="B83" s="29" t="n">
        <x:v>47140</x:v>
      </x:c>
      <x:c r="C83" s="28" t="n">
        <x:f>B83-B82</x:f>
        <x:v>31</x:v>
      </x:c>
      <x:c r="D83" s="30" t="n">
        <x:f>H82</x:f>
        <x:v>2816400.61</x:v>
      </x:c>
      <x:c r="E83" s="30" t="n">
        <x:f>ROUND(D83*I83,2)</x:f>
        <x:v>17940.09</x:v>
      </x:c>
      <x:c r="F83" s="30" t="n">
        <x:f>MIN(D83,'Параметры'!$C$13)</x:f>
        <x:v>10916.28</x:v>
      </x:c>
      <x:c r="G83" s="30" t="n">
        <x:f>ROUND(E83+F83,2)</x:f>
        <x:v>28856.37</x:v>
      </x:c>
      <x:c r="H83" s="30" t="n">
        <x:f>ROUND(D83-F83,2)</x:f>
        <x:v>2805484.33</x:v>
      </x:c>
      <x:c r="I83" s="33" t="n">
        <x:f>IF(AND(ISNUMBER('Параметры'!$C$7),'Параметры'!$C$7&gt;=0),'Параметры'!$C$7*C83/365,NA())</x:f>
        <x:v>0.00636986301369863</x:v>
      </x:c>
      <x:c r="J83" s="32" t="n">
        <x:f>J82/(1+I83)</x:f>
        <x:v>0.6197075294645804</x:v>
      </x:c>
      <x:c r="K83" s="33" t="n">
        <x:f>IF(AND(ISNUMBER('Параметры'!$C$8),'Параметры'!$C$8&gt;=0),'Параметры'!$C$8*C83/365,NA())</x:f>
        <x:v>0.00636986301369863</x:v>
      </x:c>
      <x:c r="L83" s="32" t="n">
        <x:f>L82/(1+K83)</x:f>
        <x:v>0.6197075294645804</x:v>
      </x:c>
      <x:c r="M83" s="30" t="n">
        <x:f>E83*L83</x:f>
        <x:v>11117.608852272224</x:v>
      </x:c>
      <x:c r="N83" s="30" t="n">
        <x:f>F83*L83</x:f>
        <x:v>6764.90090974361</x:v>
      </x:c>
      <x:c r="O83" s="30" t="n">
        <x:f>G83*L83</x:f>
        <x:v>17882.509762015834</x:v>
      </x:c>
    </x:row>
    <x:row r="84" ht="21" customHeight="1">
      <x:c r="A84" s="28" t="n">
        <x:v>78</x:v>
      </x:c>
      <x:c r="B84" s="29" t="n">
        <x:v>47171</x:v>
      </x:c>
      <x:c r="C84" s="28" t="n">
        <x:f>B84-B83</x:f>
        <x:v>31</x:v>
      </x:c>
      <x:c r="D84" s="30" t="n">
        <x:f>H83</x:f>
        <x:v>2805484.33</x:v>
      </x:c>
      <x:c r="E84" s="30" t="n">
        <x:f>ROUND(D84*I84,2)</x:f>
        <x:v>17870.55</x:v>
      </x:c>
      <x:c r="F84" s="30" t="n">
        <x:f>MIN(D84,'Параметры'!$C$13)</x:f>
        <x:v>10916.28</x:v>
      </x:c>
      <x:c r="G84" s="30" t="n">
        <x:f>ROUND(E84+F84,2)</x:f>
        <x:v>28786.83</x:v>
      </x:c>
      <x:c r="H84" s="30" t="n">
        <x:f>ROUND(D84-F84,2)</x:f>
        <x:v>2794568.05</x:v>
      </x:c>
      <x:c r="I84" s="33" t="n">
        <x:f>IF(AND(ISNUMBER('Параметры'!$C$7),'Параметры'!$C$7&gt;=0),'Параметры'!$C$7*C84/365,NA())</x:f>
        <x:v>0.00636986301369863</x:v>
      </x:c>
      <x:c r="J84" s="32" t="n">
        <x:f>J83/(1+I84)</x:f>
        <x:v>0.615785062967595</x:v>
      </x:c>
      <x:c r="K84" s="33" t="n">
        <x:f>IF(AND(ISNUMBER('Параметры'!$C$8),'Параметры'!$C$8&gt;=0),'Параметры'!$C$8*C84/365,NA())</x:f>
        <x:v>0.00636986301369863</x:v>
      </x:c>
      <x:c r="L84" s="32" t="n">
        <x:f>L83/(1+K84)</x:f>
        <x:v>0.615785062967595</x:v>
      </x:c>
      <x:c r="M84" s="30" t="n">
        <x:f>E84*L84</x:f>
        <x:v>11004.417757015555</x:v>
      </x:c>
      <x:c r="N84" s="30" t="n">
        <x:f>F84*L84</x:f>
        <x:v>6722.082167171899</x:v>
      </x:c>
      <x:c r="O84" s="30" t="n">
        <x:f>G84*L84</x:f>
        <x:v>17726.499924187454</x:v>
      </x:c>
    </x:row>
    <x:row r="85" ht="21" customHeight="1">
      <x:c r="A85" s="28" t="n">
        <x:v>79</x:v>
      </x:c>
      <x:c r="B85" s="29" t="n">
        <x:v>47199</x:v>
      </x:c>
      <x:c r="C85" s="28" t="n">
        <x:f>B85-B84</x:f>
        <x:v>28</x:v>
      </x:c>
      <x:c r="D85" s="30" t="n">
        <x:f>H84</x:f>
        <x:v>2794568.05</x:v>
      </x:c>
      <x:c r="E85" s="30" t="n">
        <x:f>ROUND(D85*I85,2)</x:f>
        <x:v>16078.34</x:v>
      </x:c>
      <x:c r="F85" s="30" t="n">
        <x:f>MIN(D85,'Параметры'!$C$13)</x:f>
        <x:v>10916.28</x:v>
      </x:c>
      <x:c r="G85" s="30" t="n">
        <x:f>ROUND(E85+F85,2)</x:f>
        <x:v>26994.62</x:v>
      </x:c>
      <x:c r="H85" s="30" t="n">
        <x:f>ROUND(D85-F85,2)</x:f>
        <x:v>2783651.77</x:v>
      </x:c>
      <x:c r="I85" s="33" t="n">
        <x:f>IF(AND(ISNUMBER('Параметры'!$C$7),'Параметры'!$C$7&gt;=0),'Параметры'!$C$7*C85/365,NA())</x:f>
        <x:v>0.005753424657534247</x:v>
      </x:c>
      <x:c r="J85" s="32" t="n">
        <x:f>J84/(1+I85)</x:f>
        <x:v>0.6122624570503193</x:v>
      </x:c>
      <x:c r="K85" s="33" t="n">
        <x:f>IF(AND(ISNUMBER('Параметры'!$C$8),'Параметры'!$C$8&gt;=0),'Параметры'!$C$8*C85/365,NA())</x:f>
        <x:v>0.005753424657534247</x:v>
      </x:c>
      <x:c r="L85" s="32" t="n">
        <x:f>L84/(1+K85)</x:f>
        <x:v>0.6122624570503193</x:v>
      </x:c>
      <x:c r="M85" s="30" t="n">
        <x:f>E85*L85</x:f>
        <x:v>9844.163953690431</x:v>
      </x:c>
      <x:c r="N85" s="30" t="n">
        <x:f>F85*L85</x:f>
        <x:v>6683.628414649261</x:v>
      </x:c>
      <x:c r="O85" s="30" t="n">
        <x:f>G85*L85</x:f>
        <x:v>16527.79236833969</x:v>
      </x:c>
    </x:row>
    <x:row r="86" ht="21" customHeight="1">
      <x:c r="A86" s="28" t="n">
        <x:v>80</x:v>
      </x:c>
      <x:c r="B86" s="29" t="n">
        <x:v>47230</x:v>
      </x:c>
      <x:c r="C86" s="28" t="n">
        <x:f>B86-B85</x:f>
        <x:v>31</x:v>
      </x:c>
      <x:c r="D86" s="30" t="n">
        <x:f>H85</x:f>
        <x:v>2783651.77</x:v>
      </x:c>
      <x:c r="E86" s="30" t="n">
        <x:f>ROUND(D86*I86,2)</x:f>
        <x:v>17731.48</x:v>
      </x:c>
      <x:c r="F86" s="30" t="n">
        <x:f>MIN(D86,'Параметры'!$C$13)</x:f>
        <x:v>10916.28</x:v>
      </x:c>
      <x:c r="G86" s="30" t="n">
        <x:f>ROUND(E86+F86,2)</x:f>
        <x:v>28647.76</x:v>
      </x:c>
      <x:c r="H86" s="30" t="n">
        <x:f>ROUND(D86-F86,2)</x:f>
        <x:v>2772735.49</x:v>
      </x:c>
      <x:c r="I86" s="33" t="n">
        <x:f>IF(AND(ISNUMBER('Параметры'!$C$7),'Параметры'!$C$7&gt;=0),'Параметры'!$C$7*C86/365,NA())</x:f>
        <x:v>0.00636986301369863</x:v>
      </x:c>
      <x:c r="J86" s="32" t="n">
        <x:f>J85/(1+I86)</x:f>
        <x:v>0.6083871144718344</x:v>
      </x:c>
      <x:c r="K86" s="33" t="n">
        <x:f>IF(AND(ISNUMBER('Параметры'!$C$8),'Параметры'!$C$8&gt;=0),'Параметры'!$C$8*C86/365,NA())</x:f>
        <x:v>0.00636986301369863</x:v>
      </x:c>
      <x:c r="L86" s="32" t="n">
        <x:f>L85/(1+K86)</x:f>
        <x:v>0.6083871144718344</x:v>
      </x:c>
      <x:c r="M86" s="30" t="n">
        <x:f>E86*L86</x:f>
        <x:v>10787.60395251504</x:v>
      </x:c>
      <x:c r="N86" s="30" t="n">
        <x:f>F86*L86</x:f>
        <x:v>6641.324089966596</x:v>
      </x:c>
      <x:c r="O86" s="30" t="n">
        <x:f>G86*L86</x:f>
        <x:v>17428.928042481635</x:v>
      </x:c>
    </x:row>
    <x:row r="87" ht="21" customHeight="1">
      <x:c r="A87" s="28" t="n">
        <x:v>81</x:v>
      </x:c>
      <x:c r="B87" s="29" t="n">
        <x:v>47260</x:v>
      </x:c>
      <x:c r="C87" s="28" t="n">
        <x:f>B87-B86</x:f>
        <x:v>30</x:v>
      </x:c>
      <x:c r="D87" s="30" t="n">
        <x:f>H86</x:f>
        <x:v>2772735.49</x:v>
      </x:c>
      <x:c r="E87" s="30" t="n">
        <x:f>ROUND(D87*I87,2)</x:f>
        <x:v>17092.21</x:v>
      </x:c>
      <x:c r="F87" s="30" t="n">
        <x:f>MIN(D87,'Параметры'!$C$13)</x:f>
        <x:v>10916.28</x:v>
      </x:c>
      <x:c r="G87" s="30" t="n">
        <x:f>ROUND(E87+F87,2)</x:f>
        <x:v>28008.49</x:v>
      </x:c>
      <x:c r="H87" s="30" t="n">
        <x:f>ROUND(D87-F87,2)</x:f>
        <x:v>2761819.21</x:v>
      </x:c>
      <x:c r="I87" s="33" t="n">
        <x:f>IF(AND(ISNUMBER('Параметры'!$C$7),'Параметры'!$C$7&gt;=0),'Параметры'!$C$7*C87/365,NA())</x:f>
        <x:v>0.0061643835616438354</x:v>
      </x:c>
      <x:c r="J87" s="32" t="n">
        <x:f>J86/(1+I87)</x:f>
        <x:v>0.6046597597882084</x:v>
      </x:c>
      <x:c r="K87" s="33" t="n">
        <x:f>IF(AND(ISNUMBER('Параметры'!$C$8),'Параметры'!$C$8&gt;=0),'Параметры'!$C$8*C87/365,NA())</x:f>
        <x:v>0.0061643835616438354</x:v>
      </x:c>
      <x:c r="L87" s="32" t="n">
        <x:f>L86/(1+K87)</x:f>
        <x:v>0.6046597597882084</x:v>
      </x:c>
      <x:c r="M87" s="30" t="n">
        <x:f>E87*L87</x:f>
        <x:v>10334.971592849613</x:v>
      </x:c>
      <x:c r="N87" s="30" t="n">
        <x:f>F87*L87</x:f>
        <x:v>6600.635242580824</x:v>
      </x:c>
      <x:c r="O87" s="30" t="n">
        <x:f>G87*L87</x:f>
        <x:v>16935.606835430437</x:v>
      </x:c>
    </x:row>
    <x:row r="88" ht="21" customHeight="1">
      <x:c r="A88" s="28" t="n">
        <x:v>82</x:v>
      </x:c>
      <x:c r="B88" s="29" t="n">
        <x:v>47291</x:v>
      </x:c>
      <x:c r="C88" s="28" t="n">
        <x:f>B88-B87</x:f>
        <x:v>31</x:v>
      </x:c>
      <x:c r="D88" s="30" t="n">
        <x:f>H87</x:f>
        <x:v>2761819.21</x:v>
      </x:c>
      <x:c r="E88" s="30" t="n">
        <x:f>ROUND(D88*I88,2)</x:f>
        <x:v>17592.41</x:v>
      </x:c>
      <x:c r="F88" s="30" t="n">
        <x:f>MIN(D88,'Параметры'!$C$13)</x:f>
        <x:v>10916.28</x:v>
      </x:c>
      <x:c r="G88" s="30" t="n">
        <x:f>ROUND(E88+F88,2)</x:f>
        <x:v>28508.69</x:v>
      </x:c>
      <x:c r="H88" s="30" t="n">
        <x:f>ROUND(D88-F88,2)</x:f>
        <x:v>2750902.93</x:v>
      </x:c>
      <x:c r="I88" s="33" t="n">
        <x:f>IF(AND(ISNUMBER('Параметры'!$C$7),'Параметры'!$C$7&gt;=0),'Параметры'!$C$7*C88/365,NA())</x:f>
        <x:v>0.00636986301369863</x:v>
      </x:c>
      <x:c r="J88" s="32" t="n">
        <x:f>J87/(1+I88)</x:f>
        <x:v>0.6008325388217411</x:v>
      </x:c>
      <x:c r="K88" s="33" t="n">
        <x:f>IF(AND(ISNUMBER('Параметры'!$C$8),'Параметры'!$C$8&gt;=0),'Параметры'!$C$8*C88/365,NA())</x:f>
        <x:v>0.00636986301369863</x:v>
      </x:c>
      <x:c r="L88" s="32" t="n">
        <x:f>L87/(1+K88)</x:f>
        <x:v>0.6008325388217411</x:v>
      </x:c>
      <x:c r="M88" s="30" t="n">
        <x:f>E88*L88</x:f>
        <x:v>10570.092364292987</x:v>
      </x:c>
      <x:c r="N88" s="30" t="n">
        <x:f>F88*L88</x:f>
        <x:v>6558.856226888996</x:v>
      </x:c>
      <x:c r="O88" s="30" t="n">
        <x:f>G88*L88</x:f>
        <x:v>17128.948591181983</x:v>
      </x:c>
    </x:row>
    <x:row r="89" ht="21" customHeight="1">
      <x:c r="A89" s="28" t="n">
        <x:v>83</x:v>
      </x:c>
      <x:c r="B89" s="29" t="n">
        <x:v>47321</x:v>
      </x:c>
      <x:c r="C89" s="28" t="n">
        <x:f>B89-B88</x:f>
        <x:v>30</x:v>
      </x:c>
      <x:c r="D89" s="30" t="n">
        <x:f>H88</x:f>
        <x:v>2750902.93</x:v>
      </x:c>
      <x:c r="E89" s="30" t="n">
        <x:f>ROUND(D89*I89,2)</x:f>
        <x:v>16957.62</x:v>
      </x:c>
      <x:c r="F89" s="30" t="n">
        <x:f>MIN(D89,'Параметры'!$C$13)</x:f>
        <x:v>10916.28</x:v>
      </x:c>
      <x:c r="G89" s="30" t="n">
        <x:f>ROUND(E89+F89,2)</x:f>
        <x:v>27873.9</x:v>
      </x:c>
      <x:c r="H89" s="30" t="n">
        <x:f>ROUND(D89-F89,2)</x:f>
        <x:v>2739986.65</x:v>
      </x:c>
      <x:c r="I89" s="33" t="n">
        <x:f>IF(AND(ISNUMBER('Параметры'!$C$7),'Параметры'!$C$7&gt;=0),'Параметры'!$C$7*C89/365,NA())</x:f>
        <x:v>0.0061643835616438354</x:v>
      </x:c>
      <x:c r="J89" s="32" t="n">
        <x:f>J88/(1+I89)</x:f>
        <x:v>0.5971514681278026</x:v>
      </x:c>
      <x:c r="K89" s="33" t="n">
        <x:f>IF(AND(ISNUMBER('Параметры'!$C$8),'Параметры'!$C$8&gt;=0),'Параметры'!$C$8*C89/365,NA())</x:f>
        <x:v>0.0061643835616438354</x:v>
      </x:c>
      <x:c r="L89" s="32" t="n">
        <x:f>L88/(1+K89)</x:f>
        <x:v>0.5971514681278026</x:v>
      </x:c>
      <x:c r="M89" s="30" t="n">
        <x:f>E89*L89</x:f>
        <x:v>10126.267678953387</x:v>
      </x:c>
      <x:c r="N89" s="30" t="n">
        <x:f>F89*L89</x:f>
        <x:v>6518.67262849417</x:v>
      </x:c>
      <x:c r="O89" s="30" t="n">
        <x:f>G89*L89</x:f>
        <x:v>16644.94030744756</x:v>
      </x:c>
    </x:row>
    <x:row r="90" ht="21" customHeight="1">
      <x:c r="A90" s="28" t="n">
        <x:v>84</x:v>
      </x:c>
      <x:c r="B90" s="29" t="n">
        <x:v>47352</x:v>
      </x:c>
      <x:c r="C90" s="28" t="n">
        <x:f>B90-B89</x:f>
        <x:v>31</x:v>
      </x:c>
      <x:c r="D90" s="30" t="n">
        <x:f>H89</x:f>
        <x:v>2739986.65</x:v>
      </x:c>
      <x:c r="E90" s="30" t="n">
        <x:f>ROUND(D90*I90,2)</x:f>
        <x:v>17453.34</x:v>
      </x:c>
      <x:c r="F90" s="30" t="n">
        <x:f>MIN(D90,'Параметры'!$C$13)</x:f>
        <x:v>10916.28</x:v>
      </x:c>
      <x:c r="G90" s="30" t="n">
        <x:f>ROUND(E90+F90,2)</x:f>
        <x:v>28369.62</x:v>
      </x:c>
      <x:c r="H90" s="30" t="n">
        <x:f>ROUND(D90-F90,2)</x:f>
        <x:v>2729070.37</x:v>
      </x:c>
      <x:c r="I90" s="33" t="n">
        <x:f>IF(AND(ISNUMBER('Параметры'!$C$7),'Параметры'!$C$7&gt;=0),'Параметры'!$C$7*C90/365,NA())</x:f>
        <x:v>0.00636986301369863</x:v>
      </x:c>
      <x:c r="J90" s="32" t="n">
        <x:f>J89/(1+I90)</x:f>
        <x:v>0.593371771228879</x:v>
      </x:c>
      <x:c r="K90" s="33" t="n">
        <x:f>IF(AND(ISNUMBER('Параметры'!$C$8),'Параметры'!$C$8&gt;=0),'Параметры'!$C$8*C90/365,NA())</x:f>
        <x:v>0.00636986301369863</x:v>
      </x:c>
      <x:c r="L90" s="32" t="n">
        <x:f>L89/(1+K90)</x:f>
        <x:v>0.593371771228879</x:v>
      </x:c>
      <x:c r="M90" s="30" t="n">
        <x:f>E90*L90</x:f>
        <x:v>10356.319269659842</x:v>
      </x:c>
      <x:c r="N90" s="30" t="n">
        <x:f>F90*L90</x:f>
        <x:v>6477.412398830387</x:v>
      </x:c>
      <x:c r="O90" s="30" t="n">
        <x:f>G90*L90</x:f>
        <x:v>16833.73166849023</x:v>
      </x:c>
    </x:row>
    <x:row r="91" ht="21" customHeight="1">
      <x:c r="A91" s="28" t="n">
        <x:v>85</x:v>
      </x:c>
      <x:c r="B91" s="29" t="n">
        <x:v>47383</x:v>
      </x:c>
      <x:c r="C91" s="28" t="n">
        <x:f>B91-B90</x:f>
        <x:v>31</x:v>
      </x:c>
      <x:c r="D91" s="30" t="n">
        <x:f>H90</x:f>
        <x:v>2729070.37</x:v>
      </x:c>
      <x:c r="E91" s="30" t="n">
        <x:f>ROUND(D91*I91,2)</x:f>
        <x:v>17383.8</x:v>
      </x:c>
      <x:c r="F91" s="30" t="n">
        <x:f>MIN(D91,'Параметры'!$C$13)</x:f>
        <x:v>10916.28</x:v>
      </x:c>
      <x:c r="G91" s="30" t="n">
        <x:f>ROUND(E91+F91,2)</x:f>
        <x:v>28300.08</x:v>
      </x:c>
      <x:c r="H91" s="30" t="n">
        <x:f>ROUND(D91-F91,2)</x:f>
        <x:v>2718154.09</x:v>
      </x:c>
      <x:c r="I91" s="33" t="n">
        <x:f>IF(AND(ISNUMBER('Параметры'!$C$7),'Параметры'!$C$7&gt;=0),'Параметры'!$C$7*C91/365,NA())</x:f>
        <x:v>0.00636986301369863</x:v>
      </x:c>
      <x:c r="J91" s="32" t="n">
        <x:f>J90/(1+I91)</x:f>
        <x:v>0.5896159980903583</x:v>
      </x:c>
      <x:c r="K91" s="33" t="n">
        <x:f>IF(AND(ISNUMBER('Параметры'!$C$8),'Параметры'!$C$8&gt;=0),'Параметры'!$C$8*C91/365,NA())</x:f>
        <x:v>0.00636986301369863</x:v>
      </x:c>
      <x:c r="L91" s="32" t="n">
        <x:f>L90/(1+K91)</x:f>
        <x:v>0.5896159980903583</x:v>
      </x:c>
      <x:c r="M91" s="30" t="n">
        <x:f>E91*L91</x:f>
        <x:v>10249.76658760317</x:v>
      </x:c>
      <x:c r="N91" s="30" t="n">
        <x:f>F91*L91</x:f>
        <x:v>6436.413327633816</x:v>
      </x:c>
      <x:c r="O91" s="30" t="n">
        <x:f>G91*L91</x:f>
        <x:v>16686.179915236986</x:v>
      </x:c>
    </x:row>
    <x:row r="92" ht="21" customHeight="1">
      <x:c r="A92" s="28" t="n">
        <x:v>86</x:v>
      </x:c>
      <x:c r="B92" s="29" t="n">
        <x:v>47413</x:v>
      </x:c>
      <x:c r="C92" s="28" t="n">
        <x:f>B92-B91</x:f>
        <x:v>30</x:v>
      </x:c>
      <x:c r="D92" s="30" t="n">
        <x:f>H91</x:f>
        <x:v>2718154.09</x:v>
      </x:c>
      <x:c r="E92" s="30" t="n">
        <x:f>ROUND(D92*I92,2)</x:f>
        <x:v>16755.74</x:v>
      </x:c>
      <x:c r="F92" s="30" t="n">
        <x:f>MIN(D92,'Параметры'!$C$13)</x:f>
        <x:v>10916.28</x:v>
      </x:c>
      <x:c r="G92" s="30" t="n">
        <x:f>ROUND(E92+F92,2)</x:f>
        <x:v>27672.02</x:v>
      </x:c>
      <x:c r="H92" s="30" t="n">
        <x:f>ROUND(D92-F92,2)</x:f>
        <x:v>2707237.81</x:v>
      </x:c>
      <x:c r="I92" s="33" t="n">
        <x:f>IF(AND(ISNUMBER('Параметры'!$C$7),'Параметры'!$C$7&gt;=0),'Параметры'!$C$7*C92/365,NA())</x:f>
        <x:v>0.0061643835616438354</x:v>
      </x:c>
      <x:c r="J92" s="32" t="n">
        <x:f>J91/(1+I92)</x:f>
        <x:v>0.5860036468426978</x:v>
      </x:c>
      <x:c r="K92" s="33" t="n">
        <x:f>IF(AND(ISNUMBER('Параметры'!$C$8),'Параметры'!$C$8&gt;=0),'Параметры'!$C$8*C92/365,NA())</x:f>
        <x:v>0.0061643835616438354</x:v>
      </x:c>
      <x:c r="L92" s="32" t="n">
        <x:f>L91/(1+K92)</x:f>
        <x:v>0.5860036468426978</x:v>
      </x:c>
      <x:c r="M92" s="30" t="n">
        <x:f>E92*L92</x:f>
        <x:v>9818.924745548065</x:v>
      </x:c>
      <x:c r="N92" s="30" t="n">
        <x:f>F92*L92</x:f>
        <x:v>6396.9798899560055</x:v>
      </x:c>
      <x:c r="O92" s="30" t="n">
        <x:f>G92*L92</x:f>
        <x:v>16215.90463550407</x:v>
      </x:c>
    </x:row>
    <x:row r="93" ht="21" customHeight="1">
      <x:c r="A93" s="28" t="n">
        <x:v>87</x:v>
      </x:c>
      <x:c r="B93" s="29" t="n">
        <x:v>47444</x:v>
      </x:c>
      <x:c r="C93" s="28" t="n">
        <x:f>B93-B92</x:f>
        <x:v>31</x:v>
      </x:c>
      <x:c r="D93" s="30" t="n">
        <x:f>H92</x:f>
        <x:v>2707237.81</x:v>
      </x:c>
      <x:c r="E93" s="30" t="n">
        <x:f>ROUND(D93*I93,2)</x:f>
        <x:v>17244.73</x:v>
      </x:c>
      <x:c r="F93" s="30" t="n">
        <x:f>MIN(D93,'Параметры'!$C$13)</x:f>
        <x:v>10916.28</x:v>
      </x:c>
      <x:c r="G93" s="30" t="n">
        <x:f>ROUND(E93+F93,2)</x:f>
        <x:v>28161.01</x:v>
      </x:c>
      <x:c r="H93" s="30" t="n">
        <x:f>ROUND(D93-F93,2)</x:f>
        <x:v>2696321.53</x:v>
      </x:c>
      <x:c r="I93" s="33" t="n">
        <x:f>IF(AND(ISNUMBER('Параметры'!$C$7),'Параметры'!$C$7&gt;=0),'Параметры'!$C$7*C93/365,NA())</x:f>
        <x:v>0.00636986301369863</x:v>
      </x:c>
      <x:c r="J93" s="32" t="n">
        <x:f>J92/(1+I93)</x:f>
        <x:v>0.5822945105766956</x:v>
      </x:c>
      <x:c r="K93" s="33" t="n">
        <x:f>IF(AND(ISNUMBER('Параметры'!$C$8),'Параметры'!$C$8&gt;=0),'Параметры'!$C$8*C93/365,NA())</x:f>
        <x:v>0.00636986301369863</x:v>
      </x:c>
      <x:c r="L93" s="32" t="n">
        <x:f>L92/(1+K93)</x:f>
        <x:v>0.5822945105766956</x:v>
      </x:c>
      <x:c r="M93" s="30" t="n">
        <x:f>E93*L93</x:f>
        <x:v>10041.51161537726</x:v>
      </x:c>
      <x:c r="N93" s="30" t="n">
        <x:f>F93*L93</x:f>
        <x:v>6356.489919918171</x:v>
      </x:c>
      <x:c r="O93" s="30" t="n">
        <x:f>G93*L93</x:f>
        <x:v>16398.00153529543</x:v>
      </x:c>
    </x:row>
    <x:row r="94" ht="21" customHeight="1">
      <x:c r="A94" s="28" t="n">
        <x:v>88</x:v>
      </x:c>
      <x:c r="B94" s="29" t="n">
        <x:v>47474</x:v>
      </x:c>
      <x:c r="C94" s="28" t="n">
        <x:f>B94-B93</x:f>
        <x:v>30</x:v>
      </x:c>
      <x:c r="D94" s="30" t="n">
        <x:f>H93</x:f>
        <x:v>2696321.53</x:v>
      </x:c>
      <x:c r="E94" s="30" t="n">
        <x:f>ROUND(D94*I94,2)</x:f>
        <x:v>16621.16</x:v>
      </x:c>
      <x:c r="F94" s="30" t="n">
        <x:f>MIN(D94,'Параметры'!$C$13)</x:f>
        <x:v>10916.28</x:v>
      </x:c>
      <x:c r="G94" s="30" t="n">
        <x:f>ROUND(E94+F94,2)</x:f>
        <x:v>27537.44</x:v>
      </x:c>
      <x:c r="H94" s="30" t="n">
        <x:f>ROUND(D94-F94,2)</x:f>
        <x:v>2685405.25</x:v>
      </x:c>
      <x:c r="I94" s="33" t="n">
        <x:f>IF(AND(ISNUMBER('Параметры'!$C$7),'Параметры'!$C$7&gt;=0),'Параметры'!$C$7*C94/365,NA())</x:f>
        <x:v>0.0061643835616438354</x:v>
      </x:c>
      <x:c r="J94" s="32" t="n">
        <x:f>J93/(1+I94)</x:f>
        <x:v>0.5787270152770425</x:v>
      </x:c>
      <x:c r="K94" s="33" t="n">
        <x:f>IF(AND(ISNUMBER('Параметры'!$C$8),'Параметры'!$C$8&gt;=0),'Параметры'!$C$8*C94/365,NA())</x:f>
        <x:v>0.0061643835616438354</x:v>
      </x:c>
      <x:c r="L94" s="32" t="n">
        <x:f>L93/(1+K94)</x:f>
        <x:v>0.5787270152770425</x:v>
      </x:c>
      <x:c r="M94" s="30" t="n">
        <x:f>E94*L94</x:f>
        <x:v>9619.114317242167</x:v>
      </x:c>
      <x:c r="N94" s="30" t="n">
        <x:f>F94*L94</x:f>
        <x:v>6317.546142328474</x:v>
      </x:c>
      <x:c r="O94" s="30" t="n">
        <x:f>G94*L94</x:f>
        <x:v>15936.660459570641</x:v>
      </x:c>
    </x:row>
    <x:row r="95" ht="21" customHeight="1">
      <x:c r="A95" s="28" t="n">
        <x:v>89</x:v>
      </x:c>
      <x:c r="B95" s="29" t="n">
        <x:v>47505</x:v>
      </x:c>
      <x:c r="C95" s="28" t="n">
        <x:f>B95-B94</x:f>
        <x:v>31</x:v>
      </x:c>
      <x:c r="D95" s="30" t="n">
        <x:f>H94</x:f>
        <x:v>2685405.25</x:v>
      </x:c>
      <x:c r="E95" s="30" t="n">
        <x:f>ROUND(D95*I95,2)</x:f>
        <x:v>17105.66</x:v>
      </x:c>
      <x:c r="F95" s="30" t="n">
        <x:f>MIN(D95,'Параметры'!$C$13)</x:f>
        <x:v>10916.28</x:v>
      </x:c>
      <x:c r="G95" s="30" t="n">
        <x:f>ROUND(E95+F95,2)</x:f>
        <x:v>28021.94</x:v>
      </x:c>
      <x:c r="H95" s="30" t="n">
        <x:f>ROUND(D95-F95,2)</x:f>
        <x:v>2674488.97</x:v>
      </x:c>
      <x:c r="I95" s="33" t="n">
        <x:f>IF(AND(ISNUMBER('Параметры'!$C$7),'Параметры'!$C$7&gt;=0),'Параметры'!$C$7*C95/365,NA())</x:f>
        <x:v>0.00636986301369863</x:v>
      </x:c>
      <x:c r="J95" s="32" t="n">
        <x:f>J94/(1+I95)</x:f>
        <x:v>0.5750639367756634</x:v>
      </x:c>
      <x:c r="K95" s="33" t="n">
        <x:f>IF(AND(ISNUMBER('Параметры'!$C$8),'Параметры'!$C$8&gt;=0),'Параметры'!$C$8*C95/365,NA())</x:f>
        <x:v>0.00636986301369863</x:v>
      </x:c>
      <x:c r="L95" s="32" t="n">
        <x:f>L94/(1+K95)</x:f>
        <x:v>0.5750639367756634</x:v>
      </x:c>
      <x:c r="M95" s="30" t="n">
        <x:f>E95*L95</x:f>
        <x:v>9836.848180745994</x:v>
      </x:c>
      <x:c r="N95" s="30" t="n">
        <x:f>F95*L95</x:f>
        <x:v>6277.558951745439</x:v>
      </x:c>
      <x:c r="O95" s="30" t="n">
        <x:f>G95*L95</x:f>
        <x:v>16114.407132491431</x:v>
      </x:c>
    </x:row>
    <x:row r="96" ht="21" customHeight="1">
      <x:c r="A96" s="28" t="n">
        <x:v>90</x:v>
      </x:c>
      <x:c r="B96" s="29" t="n">
        <x:v>47536</x:v>
      </x:c>
      <x:c r="C96" s="28" t="n">
        <x:f>B96-B95</x:f>
        <x:v>31</x:v>
      </x:c>
      <x:c r="D96" s="30" t="n">
        <x:f>H95</x:f>
        <x:v>2674488.97</x:v>
      </x:c>
      <x:c r="E96" s="30" t="n">
        <x:f>ROUND(D96*I96,2)</x:f>
        <x:v>17036.13</x:v>
      </x:c>
      <x:c r="F96" s="30" t="n">
        <x:f>MIN(D96,'Параметры'!$C$13)</x:f>
        <x:v>10916.28</x:v>
      </x:c>
      <x:c r="G96" s="30" t="n">
        <x:f>ROUND(E96+F96,2)</x:f>
        <x:v>27952.41</x:v>
      </x:c>
      <x:c r="H96" s="30" t="n">
        <x:f>ROUND(D96-F96,2)</x:f>
        <x:v>2663572.69</x:v>
      </x:c>
      <x:c r="I96" s="33" t="n">
        <x:f>IF(AND(ISNUMBER('Параметры'!$C$7),'Параметры'!$C$7&gt;=0),'Параметры'!$C$7*C96/365,NA())</x:f>
        <x:v>0.00636986301369863</x:v>
      </x:c>
      <x:c r="J96" s="32" t="n">
        <x:f>J95/(1+I96)</x:f>
        <x:v>0.5714240438933291</x:v>
      </x:c>
      <x:c r="K96" s="33" t="n">
        <x:f>IF(AND(ISNUMBER('Параметры'!$C$8),'Параметры'!$C$8&gt;=0),'Параметры'!$C$8*C96/365,NA())</x:f>
        <x:v>0.00636986301369863</x:v>
      </x:c>
      <x:c r="L96" s="32" t="n">
        <x:f>L95/(1+K96)</x:f>
        <x:v>0.5714240438933291</x:v>
      </x:c>
      <x:c r="M96" s="30" t="n">
        <x:f>E96*L96</x:f>
        <x:v>9734.854296892461</x:v>
      </x:c>
      <x:c r="N96" s="30" t="n">
        <x:f>F96*L96</x:f>
        <x:v>6237.824861871872</x:v>
      </x:c>
      <x:c r="O96" s="30" t="n">
        <x:f>G96*L96</x:f>
        <x:v>15972.679158764331</x:v>
      </x:c>
    </x:row>
    <x:row r="97" ht="21" customHeight="1">
      <x:c r="A97" s="28" t="n">
        <x:v>91</x:v>
      </x:c>
      <x:c r="B97" s="29" t="n">
        <x:v>47564</x:v>
      </x:c>
      <x:c r="C97" s="28" t="n">
        <x:f>B97-B96</x:f>
        <x:v>28</x:v>
      </x:c>
      <x:c r="D97" s="30" t="n">
        <x:f>H96</x:f>
        <x:v>2663572.69</x:v>
      </x:c>
      <x:c r="E97" s="30" t="n">
        <x:f>ROUND(D97*I97,2)</x:f>
        <x:v>15324.66</x:v>
      </x:c>
      <x:c r="F97" s="30" t="n">
        <x:f>MIN(D97,'Параметры'!$C$13)</x:f>
        <x:v>10916.28</x:v>
      </x:c>
      <x:c r="G97" s="30" t="n">
        <x:f>ROUND(E97+F97,2)</x:f>
        <x:v>26240.94</x:v>
      </x:c>
      <x:c r="H97" s="30" t="n">
        <x:f>ROUND(D97-F97,2)</x:f>
        <x:v>2652656.41</x:v>
      </x:c>
      <x:c r="I97" s="33" t="n">
        <x:f>IF(AND(ISNUMBER('Параметры'!$C$7),'Параметры'!$C$7&gt;=0),'Параметры'!$C$7*C97/365,NA())</x:f>
        <x:v>0.005753424657534247</x:v>
      </x:c>
      <x:c r="J97" s="32" t="n">
        <x:f>J96/(1+I97)</x:f>
        <x:v>0.5681552057234136</x:v>
      </x:c>
      <x:c r="K97" s="33" t="n">
        <x:f>IF(AND(ISNUMBER('Параметры'!$C$8),'Параметры'!$C$8&gt;=0),'Параметры'!$C$8*C97/365,NA())</x:f>
        <x:v>0.005753424657534247</x:v>
      </x:c>
      <x:c r="L97" s="32" t="n">
        <x:f>L96/(1+K97)</x:f>
        <x:v>0.5681552057234136</x:v>
      </x:c>
      <x:c r="M97" s="30" t="n">
        <x:f>E97*L97</x:f>
        <x:v>8706.785354941367</x:v>
      </x:c>
      <x:c r="N97" s="30" t="n">
        <x:f>F97*L97</x:f>
        <x:v>6202.141309134386</x:v>
      </x:c>
      <x:c r="O97" s="30" t="n">
        <x:f>G97*L97</x:f>
        <x:v>14908.926664075752</x:v>
      </x:c>
    </x:row>
    <x:row r="98" ht="21" customHeight="1">
      <x:c r="A98" s="28" t="n">
        <x:v>92</x:v>
      </x:c>
      <x:c r="B98" s="29" t="n">
        <x:v>47595</x:v>
      </x:c>
      <x:c r="C98" s="28" t="n">
        <x:f>B98-B97</x:f>
        <x:v>31</x:v>
      </x:c>
      <x:c r="D98" s="30" t="n">
        <x:f>H97</x:f>
        <x:v>2652656.41</x:v>
      </x:c>
      <x:c r="E98" s="30" t="n">
        <x:f>ROUND(D98*I98,2)</x:f>
        <x:v>16897.06</x:v>
      </x:c>
      <x:c r="F98" s="30" t="n">
        <x:f>MIN(D98,'Параметры'!$C$13)</x:f>
        <x:v>10916.28</x:v>
      </x:c>
      <x:c r="G98" s="30" t="n">
        <x:f>ROUND(E98+F98,2)</x:f>
        <x:v>27813.34</x:v>
      </x:c>
      <x:c r="H98" s="30" t="n">
        <x:f>ROUND(D98-F98,2)</x:f>
        <x:v>2641740.13</x:v>
      </x:c>
      <x:c r="I98" s="33" t="n">
        <x:f>IF(AND(ISNUMBER('Параметры'!$C$7),'Параметры'!$C$7&gt;=0),'Параметры'!$C$7*C98/365,NA())</x:f>
        <x:v>0.00636986301369863</x:v>
      </x:c>
      <x:c r="J98" s="32" t="n">
        <x:f>J97/(1+I98)</x:f>
        <x:v>0.5645590419629646</x:v>
      </x:c>
      <x:c r="K98" s="33" t="n">
        <x:f>IF(AND(ISNUMBER('Параметры'!$C$8),'Параметры'!$C$8&gt;=0),'Параметры'!$C$8*C98/365,NA())</x:f>
        <x:v>0.00636986301369863</x:v>
      </x:c>
      <x:c r="L98" s="32" t="n">
        <x:f>L97/(1+K98)</x:f>
        <x:v>0.5645590419629646</x:v>
      </x:c>
      <x:c r="M98" s="30" t="n">
        <x:f>E98*L98</x:f>
        <x:v>9539.38800559073</x:v>
      </x:c>
      <x:c r="N98" s="30" t="n">
        <x:f>F98*L98</x:f>
        <x:v>6162.884578599472</x:v>
      </x:c>
      <x:c r="O98" s="30" t="n">
        <x:f>G98*L98</x:f>
        <x:v>15702.272584190201</x:v>
      </x:c>
    </x:row>
    <x:row r="99" ht="21" customHeight="1">
      <x:c r="A99" s="28" t="n">
        <x:v>93</x:v>
      </x:c>
      <x:c r="B99" s="29" t="n">
        <x:v>47625</x:v>
      </x:c>
      <x:c r="C99" s="28" t="n">
        <x:f>B99-B98</x:f>
        <x:v>30</x:v>
      </x:c>
      <x:c r="D99" s="30" t="n">
        <x:f>H98</x:f>
        <x:v>2641740.13</x:v>
      </x:c>
      <x:c r="E99" s="30" t="n">
        <x:f>ROUND(D99*I99,2)</x:f>
        <x:v>16284.7</x:v>
      </x:c>
      <x:c r="F99" s="30" t="n">
        <x:f>MIN(D99,'Параметры'!$C$13)</x:f>
        <x:v>10916.28</x:v>
      </x:c>
      <x:c r="G99" s="30" t="n">
        <x:f>ROUND(E99+F99,2)</x:f>
        <x:v>27200.98</x:v>
      </x:c>
      <x:c r="H99" s="30" t="n">
        <x:f>ROUND(D99-F99,2)</x:f>
        <x:v>2630823.85</x:v>
      </x:c>
      <x:c r="I99" s="33" t="n">
        <x:f>IF(AND(ISNUMBER('Параметры'!$C$7),'Параметры'!$C$7&gt;=0),'Параметры'!$C$7*C99/365,NA())</x:f>
        <x:v>0.0061643835616438354</x:v>
      </x:c>
      <x:c r="J99" s="32" t="n">
        <x:f>J98/(1+I99)</x:f>
        <x:v>0.5611002050823202</x:v>
      </x:c>
      <x:c r="K99" s="33" t="n">
        <x:f>IF(AND(ISNUMBER('Параметры'!$C$8),'Параметры'!$C$8&gt;=0),'Параметры'!$C$8*C99/365,NA())</x:f>
        <x:v>0.0061643835616438354</x:v>
      </x:c>
      <x:c r="L99" s="32" t="n">
        <x:f>L98/(1+K99)</x:f>
        <x:v>0.5611002050823202</x:v>
      </x:c>
      <x:c r="M99" s="30" t="n">
        <x:f>E99*L99</x:f>
        <x:v>9137.34850970406</x:v>
      </x:c>
      <x:c r="N99" s="30" t="n">
        <x:f>F99*L99</x:f>
        <x:v>6125.126946736031</x:v>
      </x:c>
      <x:c r="O99" s="30" t="n">
        <x:f>G99*L99</x:f>
        <x:v>15262.475456440088</x:v>
      </x:c>
    </x:row>
    <x:row r="100" ht="21" customHeight="1">
      <x:c r="A100" s="28" t="n">
        <x:v>94</x:v>
      </x:c>
      <x:c r="B100" s="29" t="n">
        <x:v>47656</x:v>
      </x:c>
      <x:c r="C100" s="28" t="n">
        <x:f>B100-B99</x:f>
        <x:v>31</x:v>
      </x:c>
      <x:c r="D100" s="30" t="n">
        <x:f>H99</x:f>
        <x:v>2630823.85</x:v>
      </x:c>
      <x:c r="E100" s="30" t="n">
        <x:f>ROUND(D100*I100,2)</x:f>
        <x:v>16757.99</x:v>
      </x:c>
      <x:c r="F100" s="30" t="n">
        <x:f>MIN(D100,'Параметры'!$C$13)</x:f>
        <x:v>10916.28</x:v>
      </x:c>
      <x:c r="G100" s="30" t="n">
        <x:f>ROUND(E100+F100,2)</x:f>
        <x:v>27674.27</x:v>
      </x:c>
      <x:c r="H100" s="30" t="n">
        <x:f>ROUND(D100-F100,2)</x:f>
        <x:v>2619907.57</x:v>
      </x:c>
      <x:c r="I100" s="33" t="n">
        <x:f>IF(AND(ISNUMBER('Параметры'!$C$7),'Параметры'!$C$7&gt;=0),'Параметры'!$C$7*C100/365,NA())</x:f>
        <x:v>0.00636986301369863</x:v>
      </x:c>
      <x:c r="J100" s="32" t="n">
        <x:f>J99/(1+I100)</x:f>
        <x:v>0.5575486962636544</x:v>
      </x:c>
      <x:c r="K100" s="33" t="n">
        <x:f>IF(AND(ISNUMBER('Параметры'!$C$8),'Параметры'!$C$8&gt;=0),'Параметры'!$C$8*C100/365,NA())</x:f>
        <x:v>0.00636986301369863</x:v>
      </x:c>
      <x:c r="L100" s="32" t="n">
        <x:f>L99/(1+K100)</x:f>
        <x:v>0.5575486962636544</x:v>
      </x:c>
      <x:c r="M100" s="30" t="n">
        <x:f>E100*L100</x:f>
        <x:v>9343.39547649936</x:v>
      </x:c>
      <x:c r="N100" s="30" t="n">
        <x:f>F100*L100</x:f>
        <x:v>6086.357682049006</x:v>
      </x:c>
      <x:c r="O100" s="30" t="n">
        <x:f>G100*L100</x:f>
        <x:v>15429.753158548365</x:v>
      </x:c>
    </x:row>
    <x:row r="101" ht="21" customHeight="1">
      <x:c r="A101" s="28" t="n">
        <x:v>95</x:v>
      </x:c>
      <x:c r="B101" s="29" t="n">
        <x:v>47686</x:v>
      </x:c>
      <x:c r="C101" s="28" t="n">
        <x:f>B101-B100</x:f>
        <x:v>30</x:v>
      </x:c>
      <x:c r="D101" s="30" t="n">
        <x:f>H100</x:f>
        <x:v>2619907.57</x:v>
      </x:c>
      <x:c r="E101" s="30" t="n">
        <x:f>ROUND(D101*I101,2)</x:f>
        <x:v>16150.12</x:v>
      </x:c>
      <x:c r="F101" s="30" t="n">
        <x:f>MIN(D101,'Параметры'!$C$13)</x:f>
        <x:v>10916.28</x:v>
      </x:c>
      <x:c r="G101" s="30" t="n">
        <x:f>ROUND(E101+F101,2)</x:f>
        <x:v>27066.4</x:v>
      </x:c>
      <x:c r="H101" s="30" t="n">
        <x:f>ROUND(D101-F101,2)</x:f>
        <x:v>2608991.29</x:v>
      </x:c>
      <x:c r="I101" s="33" t="n">
        <x:f>IF(AND(ISNUMBER('Параметры'!$C$7),'Параметры'!$C$7&gt;=0),'Параметры'!$C$7*C101/365,NA())</x:f>
        <x:v>0.0061643835616438354</x:v>
      </x:c>
      <x:c r="J101" s="32" t="n">
        <x:f>J100/(1+I101)</x:f>
        <x:v>0.5541328090843672</x:v>
      </x:c>
      <x:c r="K101" s="33" t="n">
        <x:f>IF(AND(ISNUMBER('Параметры'!$C$8),'Параметры'!$C$8&gt;=0),'Параметры'!$C$8*C101/365,NA())</x:f>
        <x:v>0.0061643835616438354</x:v>
      </x:c>
      <x:c r="L101" s="32" t="n">
        <x:f>L100/(1+K101)</x:f>
        <x:v>0.5541328090843672</x:v>
      </x:c>
      <x:c r="M101" s="30" t="n">
        <x:f>E101*L101</x:f>
        <x:v>8949.311362649622</x:v>
      </x:c>
      <x:c r="N101" s="30" t="n">
        <x:f>F101*L101</x:f>
        <x:v>6049.068901151497</x:v>
      </x:c>
      <x:c r="O101" s="30" t="n">
        <x:f>G101*L101</x:f>
        <x:v>14998.380263801118</x:v>
      </x:c>
    </x:row>
    <x:row r="102" ht="21" customHeight="1">
      <x:c r="A102" s="28" t="n">
        <x:v>96</x:v>
      </x:c>
      <x:c r="B102" s="29" t="n">
        <x:v>47717</x:v>
      </x:c>
      <x:c r="C102" s="28" t="n">
        <x:f>B102-B101</x:f>
        <x:v>31</x:v>
      </x:c>
      <x:c r="D102" s="30" t="n">
        <x:f>H101</x:f>
        <x:v>2608991.29</x:v>
      </x:c>
      <x:c r="E102" s="30" t="n">
        <x:f>ROUND(D102*I102,2)</x:f>
        <x:v>16618.92</x:v>
      </x:c>
      <x:c r="F102" s="30" t="n">
        <x:f>MIN(D102,'Параметры'!$C$13)</x:f>
        <x:v>10916.28</x:v>
      </x:c>
      <x:c r="G102" s="30" t="n">
        <x:f>ROUND(E102+F102,2)</x:f>
        <x:v>27535.2</x:v>
      </x:c>
      <x:c r="H102" s="30" t="n">
        <x:f>ROUND(D102-F102,2)</x:f>
        <x:v>2598075.01</x:v>
      </x:c>
      <x:c r="I102" s="33" t="n">
        <x:f>IF(AND(ISNUMBER('Параметры'!$C$7),'Параметры'!$C$7&gt;=0),'Параметры'!$C$7*C102/365,NA())</x:f>
        <x:v>0.00636986301369863</x:v>
      </x:c>
      <x:c r="J102" s="32" t="n">
        <x:f>J101/(1+I102)</x:f>
        <x:v>0.5506254007099818</x:v>
      </x:c>
      <x:c r="K102" s="33" t="n">
        <x:f>IF(AND(ISNUMBER('Параметры'!$C$8),'Параметры'!$C$8&gt;=0),'Параметры'!$C$8*C102/365,NA())</x:f>
        <x:v>0.00636986301369863</x:v>
      </x:c>
      <x:c r="L102" s="32" t="n">
        <x:f>L101/(1+K102)</x:f>
        <x:v>0.5506254007099818</x:v>
      </x:c>
      <x:c r="M102" s="30" t="n">
        <x:f>E102*L102</x:f>
        <x:v>9150.79948436713</x:v>
      </x:c>
      <x:c r="N102" s="30" t="n">
        <x:f>F102*L102</x:f>
        <x:v>6010.78104926236</x:v>
      </x:c>
      <x:c r="O102" s="30" t="n">
        <x:f>G102*L102</x:f>
        <x:v>15161.58053362949</x:v>
      </x:c>
    </x:row>
    <x:row r="103" ht="21" customHeight="1">
      <x:c r="A103" s="28" t="n">
        <x:v>97</x:v>
      </x:c>
      <x:c r="B103" s="29" t="n">
        <x:v>47748</x:v>
      </x:c>
      <x:c r="C103" s="28" t="n">
        <x:f>B103-B102</x:f>
        <x:v>31</x:v>
      </x:c>
      <x:c r="D103" s="30" t="n">
        <x:f>H102</x:f>
        <x:v>2598075.01</x:v>
      </x:c>
      <x:c r="E103" s="30" t="n">
        <x:f>ROUND(D103*I103,2)</x:f>
        <x:v>16549.38</x:v>
      </x:c>
      <x:c r="F103" s="30" t="n">
        <x:f>MIN(D103,'Параметры'!$C$13)</x:f>
        <x:v>10916.28</x:v>
      </x:c>
      <x:c r="G103" s="30" t="n">
        <x:f>ROUND(E103+F103,2)</x:f>
        <x:v>27465.66</x:v>
      </x:c>
      <x:c r="H103" s="30" t="n">
        <x:f>ROUND(D103-F103,2)</x:f>
        <x:v>2587158.73</x:v>
      </x:c>
      <x:c r="I103" s="33" t="n">
        <x:f>IF(AND(ISNUMBER('Параметры'!$C$7),'Параметры'!$C$7&gt;=0),'Параметры'!$C$7*C103/365,NA())</x:f>
        <x:v>0.00636986301369863</x:v>
      </x:c>
      <x:c r="J103" s="32" t="n">
        <x:f>J102/(1+I103)</x:f>
        <x:v>0.547140192633617</x:v>
      </x:c>
      <x:c r="K103" s="33" t="n">
        <x:f>IF(AND(ISNUMBER('Параметры'!$C$8),'Параметры'!$C$8&gt;=0),'Параметры'!$C$8*C103/365,NA())</x:f>
        <x:v>0.00636986301369863</x:v>
      </x:c>
      <x:c r="L103" s="32" t="n">
        <x:f>L102/(1+K103)</x:f>
        <x:v>0.547140192633617</x:v>
      </x:c>
      <x:c r="M103" s="30" t="n">
        <x:f>E103*L103</x:f>
        <x:v>9054.83096116693</x:v>
      </x:c>
      <x:c r="N103" s="30" t="n">
        <x:f>F103*L103</x:f>
        <x:v>5972.735542042501</x:v>
      </x:c>
      <x:c r="O103" s="30" t="n">
        <x:f>G103*L103</x:f>
        <x:v>15027.56650320943</x:v>
      </x:c>
    </x:row>
    <x:row r="104" ht="21" customHeight="1">
      <x:c r="A104" s="28" t="n">
        <x:v>98</x:v>
      </x:c>
      <x:c r="B104" s="29" t="n">
        <x:v>47778</x:v>
      </x:c>
      <x:c r="C104" s="28" t="n">
        <x:f>B104-B103</x:f>
        <x:v>30</x:v>
      </x:c>
      <x:c r="D104" s="30" t="n">
        <x:f>H103</x:f>
        <x:v>2587158.73</x:v>
      </x:c>
      <x:c r="E104" s="30" t="n">
        <x:f>ROUND(D104*I104,2)</x:f>
        <x:v>15948.24</x:v>
      </x:c>
      <x:c r="F104" s="30" t="n">
        <x:f>MIN(D104,'Параметры'!$C$13)</x:f>
        <x:v>10916.28</x:v>
      </x:c>
      <x:c r="G104" s="30" t="n">
        <x:f>ROUND(E104+F104,2)</x:f>
        <x:v>26864.52</x:v>
      </x:c>
      <x:c r="H104" s="30" t="n">
        <x:f>ROUND(D104-F104,2)</x:f>
        <x:v>2576242.45</x:v>
      </x:c>
      <x:c r="I104" s="33" t="n">
        <x:f>IF(AND(ISNUMBER('Параметры'!$C$7),'Параметры'!$C$7&gt;=0),'Параметры'!$C$7*C104/365,NA())</x:f>
        <x:v>0.0061643835616438354</x:v>
      </x:c>
      <x:c r="J104" s="32" t="n">
        <x:f>J103/(1+I104)</x:f>
        <x:v>0.5437880743669713</x:v>
      </x:c>
      <x:c r="K104" s="33" t="n">
        <x:f>IF(AND(ISNUMBER('Параметры'!$C$8),'Параметры'!$C$8&gt;=0),'Параметры'!$C$8*C104/365,NA())</x:f>
        <x:v>0.0061643835616438354</x:v>
      </x:c>
      <x:c r="L104" s="32" t="n">
        <x:f>L103/(1+K104)</x:f>
        <x:v>0.5437880743669713</x:v>
      </x:c>
      <x:c r="M104" s="30" t="n">
        <x:f>E104*L104</x:f>
        <x:v>8672.462719142306</x:v>
      </x:c>
      <x:c r="N104" s="30" t="n">
        <x:f>F104*L104</x:f>
        <x:v>5936.142880450681</x:v>
      </x:c>
      <x:c r="O104" s="30" t="n">
        <x:f>G104*L104</x:f>
        <x:v>14608.605599592987</x:v>
      </x:c>
    </x:row>
    <x:row r="105" ht="21" customHeight="1">
      <x:c r="A105" s="28" t="n">
        <x:v>99</x:v>
      </x:c>
      <x:c r="B105" s="29" t="n">
        <x:v>47809</x:v>
      </x:c>
      <x:c r="C105" s="28" t="n">
        <x:f>B105-B104</x:f>
        <x:v>31</x:v>
      </x:c>
      <x:c r="D105" s="30" t="n">
        <x:f>H104</x:f>
        <x:v>2576242.45</x:v>
      </x:c>
      <x:c r="E105" s="30" t="n">
        <x:f>ROUND(D105*I105,2)</x:f>
        <x:v>16410.31</x:v>
      </x:c>
      <x:c r="F105" s="30" t="n">
        <x:f>MIN(D105,'Параметры'!$C$13)</x:f>
        <x:v>10916.28</x:v>
      </x:c>
      <x:c r="G105" s="30" t="n">
        <x:f>ROUND(E105+F105,2)</x:f>
        <x:v>27326.59</x:v>
      </x:c>
      <x:c r="H105" s="30" t="n">
        <x:f>ROUND(D105-F105,2)</x:f>
        <x:v>2565326.17</x:v>
      </x:c>
      <x:c r="I105" s="33" t="n">
        <x:f>IF(AND(ISNUMBER('Параметры'!$C$7),'Параметры'!$C$7&gt;=0),'Параметры'!$C$7*C105/365,NA())</x:f>
        <x:v>0.00636986301369863</x:v>
      </x:c>
      <x:c r="J105" s="32" t="n">
        <x:f>J104/(1+I105)</x:f>
        <x:v>0.5403461434531941</x:v>
      </x:c>
      <x:c r="K105" s="33" t="n">
        <x:f>IF(AND(ISNUMBER('Параметры'!$C$8),'Параметры'!$C$8&gt;=0),'Параметры'!$C$8*C105/365,NA())</x:f>
        <x:v>0.00636986301369863</x:v>
      </x:c>
      <x:c r="L105" s="32" t="n">
        <x:f>L104/(1+K105)</x:f>
        <x:v>0.5403461434531941</x:v>
      </x:c>
      <x:c r="M105" s="30" t="n">
        <x:f>E105*L105</x:f>
        <x:v>8867.247721371386</x:v>
      </x:c>
      <x:c r="N105" s="30" t="n">
        <x:f>F105*L105</x:f>
        <x:v>5898.569798855234</x:v>
      </x:c>
      <x:c r="O105" s="30" t="n">
        <x:f>G105*L105</x:f>
        <x:v>14765.81752022662</x:v>
      </x:c>
    </x:row>
    <x:row r="106" ht="21" customHeight="1">
      <x:c r="A106" s="28" t="n">
        <x:v>100</x:v>
      </x:c>
      <x:c r="B106" s="29" t="n">
        <x:v>47839</x:v>
      </x:c>
      <x:c r="C106" s="28" t="n">
        <x:f>B106-B105</x:f>
        <x:v>30</x:v>
      </x:c>
      <x:c r="D106" s="30" t="n">
        <x:f>H105</x:f>
        <x:v>2565326.17</x:v>
      </x:c>
      <x:c r="E106" s="30" t="n">
        <x:f>ROUND(D106*I106,2)</x:f>
        <x:v>15813.65</x:v>
      </x:c>
      <x:c r="F106" s="30" t="n">
        <x:f>MIN(D106,'Параметры'!$C$13)</x:f>
        <x:v>10916.28</x:v>
      </x:c>
      <x:c r="G106" s="30" t="n">
        <x:f>ROUND(E106+F106,2)</x:f>
        <x:v>26729.93</x:v>
      </x:c>
      <x:c r="H106" s="30" t="n">
        <x:f>ROUND(D106-F106,2)</x:f>
        <x:v>2554409.89</x:v>
      </x:c>
      <x:c r="I106" s="33" t="n">
        <x:f>IF(AND(ISNUMBER('Параметры'!$C$7),'Параметры'!$C$7&gt;=0),'Параметры'!$C$7*C106/365,NA())</x:f>
        <x:v>0.0061643835616438354</x:v>
      </x:c>
      <x:c r="J106" s="32" t="n">
        <x:f>J105/(1+I106)</x:f>
        <x:v>0.5370356497220309</x:v>
      </x:c>
      <x:c r="K106" s="33" t="n">
        <x:f>IF(AND(ISNUMBER('Параметры'!$C$8),'Параметры'!$C$8&gt;=0),'Параметры'!$C$8*C106/365,NA())</x:f>
        <x:v>0.0061643835616438354</x:v>
      </x:c>
      <x:c r="L106" s="32" t="n">
        <x:f>L105/(1+K106)</x:f>
        <x:v>0.5370356497220309</x:v>
      </x:c>
      <x:c r="M106" s="30" t="n">
        <x:f>E106*L106</x:f>
        <x:v>8492.493802226794</x:v>
      </x:c>
      <x:c r="N106" s="30" t="n">
        <x:f>F106*L106</x:f>
        <x:v>5862.4315223476115</x:v>
      </x:c>
      <x:c r="O106" s="30" t="n">
        <x:f>G106*L106</x:f>
        <x:v>14354.925324574406</x:v>
      </x:c>
    </x:row>
    <x:row r="107" ht="21" customHeight="1">
      <x:c r="A107" s="28" t="n">
        <x:v>101</x:v>
      </x:c>
      <x:c r="B107" s="29" t="n">
        <x:v>47870</x:v>
      </x:c>
      <x:c r="C107" s="28" t="n">
        <x:f>B107-B106</x:f>
        <x:v>31</x:v>
      </x:c>
      <x:c r="D107" s="30" t="n">
        <x:f>H106</x:f>
        <x:v>2554409.89</x:v>
      </x:c>
      <x:c r="E107" s="30" t="n">
        <x:f>ROUND(D107*I107,2)</x:f>
        <x:v>16271.24</x:v>
      </x:c>
      <x:c r="F107" s="30" t="n">
        <x:f>MIN(D107,'Параметры'!$C$13)</x:f>
        <x:v>10916.28</x:v>
      </x:c>
      <x:c r="G107" s="30" t="n">
        <x:f>ROUND(E107+F107,2)</x:f>
        <x:v>27187.52</x:v>
      </x:c>
      <x:c r="H107" s="30" t="n">
        <x:f>ROUND(D107-F107,2)</x:f>
        <x:v>2543493.61</x:v>
      </x:c>
      <x:c r="I107" s="33" t="n">
        <x:f>IF(AND(ISNUMBER('Параметры'!$C$7),'Параметры'!$C$7&gt;=0),'Параметры'!$C$7*C107/365,NA())</x:f>
        <x:v>0.00636986301369863</x:v>
      </x:c>
      <x:c r="J107" s="32" t="n">
        <x:f>J106/(1+I107)</x:f>
        <x:v>0.5336364585817499</x:v>
      </x:c>
      <x:c r="K107" s="33" t="n">
        <x:f>IF(AND(ISNUMBER('Параметры'!$C$8),'Параметры'!$C$8&gt;=0),'Параметры'!$C$8*C107/365,NA())</x:f>
        <x:v>0.00636986301369863</x:v>
      </x:c>
      <x:c r="L107" s="32" t="n">
        <x:f>L106/(1+K107)</x:f>
        <x:v>0.5336364585817499</x:v>
      </x:c>
      <x:c r="M107" s="30" t="n">
        <x:f>E107*L107</x:f>
        <x:v>8682.926890333712</x:v>
      </x:c>
      <x:c r="N107" s="30" t="n">
        <x:f>F107*L107</x:f>
        <x:v>5825.325000086786</x:v>
      </x:c>
      <x:c r="O107" s="30" t="n">
        <x:f>G107*L107</x:f>
        <x:v>14508.251890420497</x:v>
      </x:c>
    </x:row>
    <x:row r="108" ht="21" customHeight="1">
      <x:c r="A108" s="28" t="n">
        <x:v>102</x:v>
      </x:c>
      <x:c r="B108" s="29" t="n">
        <x:v>47901</x:v>
      </x:c>
      <x:c r="C108" s="28" t="n">
        <x:f>B108-B107</x:f>
        <x:v>31</x:v>
      </x:c>
      <x:c r="D108" s="30" t="n">
        <x:f>H107</x:f>
        <x:v>2543493.61</x:v>
      </x:c>
      <x:c r="E108" s="30" t="n">
        <x:f>ROUND(D108*I108,2)</x:f>
        <x:v>16201.71</x:v>
      </x:c>
      <x:c r="F108" s="30" t="n">
        <x:f>MIN(D108,'Параметры'!$C$13)</x:f>
        <x:v>10916.28</x:v>
      </x:c>
      <x:c r="G108" s="30" t="n">
        <x:f>ROUND(E108+F108,2)</x:f>
        <x:v>27117.99</x:v>
      </x:c>
      <x:c r="H108" s="30" t="n">
        <x:f>ROUND(D108-F108,2)</x:f>
        <x:v>2532577.33</x:v>
      </x:c>
      <x:c r="I108" s="33" t="n">
        <x:f>IF(AND(ISNUMBER('Параметры'!$C$7),'Параметры'!$C$7&gt;=0),'Параметры'!$C$7*C108/365,NA())</x:f>
        <x:v>0.00636986301369863</x:v>
      </x:c>
      <x:c r="J108" s="32" t="n">
        <x:f>J107/(1+I108)</x:f>
        <x:v>0.5302587827736711</x:v>
      </x:c>
      <x:c r="K108" s="33" t="n">
        <x:f>IF(AND(ISNUMBER('Параметры'!$C$8),'Параметры'!$C$8&gt;=0),'Параметры'!$C$8*C108/365,NA())</x:f>
        <x:v>0.00636986301369863</x:v>
      </x:c>
      <x:c r="L108" s="32" t="n">
        <x:f>L107/(1+K108)</x:f>
        <x:v>0.5302587827736711</x:v>
      </x:c>
      <x:c r="M108" s="30" t="n">
        <x:f>E108*L108</x:f>
        <x:v>8591.099023452014</x:v>
      </x:c>
      <x:c r="N108" s="30" t="n">
        <x:f>F108*L108</x:f>
        <x:v>5788.453345216571</x:v>
      </x:c>
      <x:c r="O108" s="30" t="n">
        <x:f>G108*L108</x:f>
        <x:v>14379.552368668586</x:v>
      </x:c>
    </x:row>
    <x:row r="109" ht="21" customHeight="1">
      <x:c r="A109" s="28" t="n">
        <x:v>103</x:v>
      </x:c>
      <x:c r="B109" s="29" t="n">
        <x:v>47929</x:v>
      </x:c>
      <x:c r="C109" s="28" t="n">
        <x:f>B109-B108</x:f>
        <x:v>28</x:v>
      </x:c>
      <x:c r="D109" s="30" t="n">
        <x:f>H108</x:f>
        <x:v>2532577.33</x:v>
      </x:c>
      <x:c r="E109" s="30" t="n">
        <x:f>ROUND(D109*I109,2)</x:f>
        <x:v>14570.99</x:v>
      </x:c>
      <x:c r="F109" s="30" t="n">
        <x:f>MIN(D109,'Параметры'!$C$13)</x:f>
        <x:v>10916.28</x:v>
      </x:c>
      <x:c r="G109" s="30" t="n">
        <x:f>ROUND(E109+F109,2)</x:f>
        <x:v>25487.27</x:v>
      </x:c>
      <x:c r="H109" s="30" t="n">
        <x:f>ROUND(D109-F109,2)</x:f>
        <x:v>2521661.05</x:v>
      </x:c>
      <x:c r="I109" s="33" t="n">
        <x:f>IF(AND(ISNUMBER('Параметры'!$C$7),'Параметры'!$C$7&gt;=0),'Параметры'!$C$7*C109/365,NA())</x:f>
        <x:v>0.005753424657534247</x:v>
      </x:c>
      <x:c r="J109" s="32" t="n">
        <x:f>J108/(1+I109)</x:f>
        <x:v>0.5272254309789974</x:v>
      </x:c>
      <x:c r="K109" s="33" t="n">
        <x:f>IF(AND(ISNUMBER('Параметры'!$C$8),'Параметры'!$C$8&gt;=0),'Параметры'!$C$8*C109/365,NA())</x:f>
        <x:v>0.005753424657534247</x:v>
      </x:c>
      <x:c r="L109" s="32" t="n">
        <x:f>L108/(1+K109)</x:f>
        <x:v>0.5272254309789974</x:v>
      </x:c>
      <x:c r="M109" s="30" t="n">
        <x:f>E109*L109</x:f>
        <x:v>7682.196482540662</x:v>
      </x:c>
      <x:c r="N109" s="30" t="n">
        <x:f>F109*L109</x:f>
        <x:v>5755.340427687411</x:v>
      </x:c>
      <x:c r="O109" s="30" t="n">
        <x:f>G109*L109</x:f>
        <x:v>13437.536910228073</x:v>
      </x:c>
    </x:row>
    <x:row r="110" ht="21" customHeight="1">
      <x:c r="A110" s="28" t="n">
        <x:v>104</x:v>
      </x:c>
      <x:c r="B110" s="29" t="n">
        <x:v>47960</x:v>
      </x:c>
      <x:c r="C110" s="28" t="n">
        <x:f>B110-B109</x:f>
        <x:v>31</x:v>
      </x:c>
      <x:c r="D110" s="30" t="n">
        <x:f>H109</x:f>
        <x:v>2521661.05</x:v>
      </x:c>
      <x:c r="E110" s="30" t="n">
        <x:f>ROUND(D110*I110,2)</x:f>
        <x:v>16062.64</x:v>
      </x:c>
      <x:c r="F110" s="30" t="n">
        <x:f>MIN(D110,'Параметры'!$C$13)</x:f>
        <x:v>10916.28</x:v>
      </x:c>
      <x:c r="G110" s="30" t="n">
        <x:f>ROUND(E110+F110,2)</x:f>
        <x:v>26978.92</x:v>
      </x:c>
      <x:c r="H110" s="30" t="n">
        <x:f>ROUND(D110-F110,2)</x:f>
        <x:v>2510744.77</x:v>
      </x:c>
      <x:c r="I110" s="33" t="n">
        <x:f>IF(AND(ISNUMBER('Параметры'!$C$7),'Параметры'!$C$7&gt;=0),'Параметры'!$C$7*C110/365,NA())</x:f>
        <x:v>0.00636986301369863</x:v>
      </x:c>
      <x:c r="J110" s="32" t="n">
        <x:f>J109/(1+I110)</x:f>
        <x:v>0.5238883340565822</x:v>
      </x:c>
      <x:c r="K110" s="33" t="n">
        <x:f>IF(AND(ISNUMBER('Параметры'!$C$8),'Параметры'!$C$8&gt;=0),'Параметры'!$C$8*C110/365,NA())</x:f>
        <x:v>0.00636986301369863</x:v>
      </x:c>
      <x:c r="L110" s="32" t="n">
        <x:f>L109/(1+K110)</x:f>
        <x:v>0.5238883340565822</x:v>
      </x:c>
      <x:c r="M110" s="30" t="n">
        <x:f>E110*L110</x:f>
        <x:v>8415.029710150618</x:v>
      </x:c>
      <x:c r="N110" s="30" t="n">
        <x:f>F110*L110</x:f>
        <x:v>5718.911743295187</x:v>
      </x:c>
      <x:c r="O110" s="30" t="n">
        <x:f>G110*L110</x:f>
        <x:v>14133.941453445806</x:v>
      </x:c>
    </x:row>
    <x:row r="111" ht="21" customHeight="1">
      <x:c r="A111" s="28" t="n">
        <x:v>105</x:v>
      </x:c>
      <x:c r="B111" s="29" t="n">
        <x:v>47990</x:v>
      </x:c>
      <x:c r="C111" s="28" t="n">
        <x:f>B111-B110</x:f>
        <x:v>30</x:v>
      </x:c>
      <x:c r="D111" s="30" t="n">
        <x:f>H110</x:f>
        <x:v>2510744.77</x:v>
      </x:c>
      <x:c r="E111" s="30" t="n">
        <x:f>ROUND(D111*I111,2)</x:f>
        <x:v>15477.19</x:v>
      </x:c>
      <x:c r="F111" s="30" t="n">
        <x:f>MIN(D111,'Параметры'!$C$13)</x:f>
        <x:v>10916.28</x:v>
      </x:c>
      <x:c r="G111" s="30" t="n">
        <x:f>ROUND(E111+F111,2)</x:f>
        <x:v>26393.47</x:v>
      </x:c>
      <x:c r="H111" s="30" t="n">
        <x:f>ROUND(D111-F111,2)</x:f>
        <x:v>2499828.49</x:v>
      </x:c>
      <x:c r="I111" s="33" t="n">
        <x:f>IF(AND(ISNUMBER('Параметры'!$C$7),'Параметры'!$C$7&gt;=0),'Параметры'!$C$7*C111/365,NA())</x:f>
        <x:v>0.0061643835616438354</x:v>
      </x:c>
      <x:c r="J111" s="32" t="n">
        <x:f>J110/(1+I111)</x:f>
        <x:v>0.5206786710160721</x:v>
      </x:c>
      <x:c r="K111" s="33" t="n">
        <x:f>IF(AND(ISNUMBER('Параметры'!$C$8),'Параметры'!$C$8&gt;=0),'Параметры'!$C$8*C111/365,NA())</x:f>
        <x:v>0.0061643835616438354</x:v>
      </x:c>
      <x:c r="L111" s="32" t="n">
        <x:f>L110/(1+K111)</x:f>
        <x:v>0.5206786710160721</x:v>
      </x:c>
      <x:c r="M111" s="30" t="n">
        <x:f>E111*L111</x:f>
        <x:v>8058.642720263241</x:v>
      </x:c>
      <x:c r="N111" s="30" t="n">
        <x:f>F111*L111</x:f>
        <x:v>5683.874162839328</x:v>
      </x:c>
      <x:c r="O111" s="30" t="n">
        <x:f>G111*L111</x:f>
        <x:v>13742.51688310257</x:v>
      </x:c>
    </x:row>
    <x:row r="112" ht="21" customHeight="1">
      <x:c r="A112" s="28" t="n">
        <x:v>106</x:v>
      </x:c>
      <x:c r="B112" s="29" t="n">
        <x:v>48021</x:v>
      </x:c>
      <x:c r="C112" s="28" t="n">
        <x:f>B112-B111</x:f>
        <x:v>31</x:v>
      </x:c>
      <x:c r="D112" s="30" t="n">
        <x:f>H111</x:f>
        <x:v>2499828.49</x:v>
      </x:c>
      <x:c r="E112" s="30" t="n">
        <x:f>ROUND(D112*I112,2)</x:f>
        <x:v>15923.57</x:v>
      </x:c>
      <x:c r="F112" s="30" t="n">
        <x:f>MIN(D112,'Параметры'!$C$13)</x:f>
        <x:v>10916.28</x:v>
      </x:c>
      <x:c r="G112" s="30" t="n">
        <x:f>ROUND(E112+F112,2)</x:f>
        <x:v>26839.85</x:v>
      </x:c>
      <x:c r="H112" s="30" t="n">
        <x:f>ROUND(D112-F112,2)</x:f>
        <x:v>2488912.21</x:v>
      </x:c>
      <x:c r="I112" s="33" t="n">
        <x:f>IF(AND(ISNUMBER('Параметры'!$C$7),'Параметры'!$C$7&gt;=0),'Параметры'!$C$7*C112/365,NA())</x:f>
        <x:v>0.00636986301369863</x:v>
      </x:c>
      <x:c r="J112" s="32" t="n">
        <x:f>J111/(1+I112)</x:f>
        <x:v>0.517383012103359</x:v>
      </x:c>
      <x:c r="K112" s="33" t="n">
        <x:f>IF(AND(ISNUMBER('Параметры'!$C$8),'Параметры'!$C$8&gt;=0),'Параметры'!$C$8*C112/365,NA())</x:f>
        <x:v>0.00636986301369863</x:v>
      </x:c>
      <x:c r="L112" s="32" t="n">
        <x:f>L111/(1+K112)</x:f>
        <x:v>0.517383012103359</x:v>
      </x:c>
      <x:c r="M112" s="30" t="n">
        <x:f>E112*L112</x:f>
        <x:v>8238.584610038684</x:v>
      </x:c>
      <x:c r="N112" s="30" t="n">
        <x:f>F112*L112</x:f>
        <x:v>5647.897827363657</x:v>
      </x:c>
      <x:c r="O112" s="30" t="n">
        <x:f>G112*L112</x:f>
        <x:v>13886.48243740234</x:v>
      </x:c>
    </x:row>
    <x:row r="113" ht="21" customHeight="1">
      <x:c r="A113" s="28" t="n">
        <x:v>107</x:v>
      </x:c>
      <x:c r="B113" s="29" t="n">
        <x:v>48051</x:v>
      </x:c>
      <x:c r="C113" s="28" t="n">
        <x:f>B113-B112</x:f>
        <x:v>30</x:v>
      </x:c>
      <x:c r="D113" s="30" t="n">
        <x:f>H112</x:f>
        <x:v>2488912.21</x:v>
      </x:c>
      <x:c r="E113" s="30" t="n">
        <x:f>ROUND(D113*I113,2)</x:f>
        <x:v>15342.61</x:v>
      </x:c>
      <x:c r="F113" s="30" t="n">
        <x:f>MIN(D113,'Параметры'!$C$13)</x:f>
        <x:v>10916.28</x:v>
      </x:c>
      <x:c r="G113" s="30" t="n">
        <x:f>ROUND(E113+F113,2)</x:f>
        <x:v>26258.89</x:v>
      </x:c>
      <x:c r="H113" s="30" t="n">
        <x:f>ROUND(D113-F113,2)</x:f>
        <x:v>2477995.93</x:v>
      </x:c>
      <x:c r="I113" s="33" t="n">
        <x:f>IF(AND(ISNUMBER('Параметры'!$C$7),'Параметры'!$C$7&gt;=0),'Параметры'!$C$7*C113/365,NA())</x:f>
        <x:v>0.0061643835616438354</x:v>
      </x:c>
      <x:c r="J113" s="32" t="n">
        <x:f>J112/(1+I113)</x:f>
        <x:v>0.5142132046772663</x:v>
      </x:c>
      <x:c r="K113" s="33" t="n">
        <x:f>IF(AND(ISNUMBER('Параметры'!$C$8),'Параметры'!$C$8&gt;=0),'Параметры'!$C$8*C113/365,NA())</x:f>
        <x:v>0.0061643835616438354</x:v>
      </x:c>
      <x:c r="L113" s="32" t="n">
        <x:f>L112/(1+K113)</x:f>
        <x:v>0.5142132046772663</x:v>
      </x:c>
      <x:c r="M113" s="30" t="n">
        <x:f>E113*L113</x:f>
        <x:v>7889.3726562134725</x:v>
      </x:c>
      <x:c r="N113" s="30" t="n">
        <x:f>F113*L113</x:f>
        <x:v>5613.295321954349</x:v>
      </x:c>
      <x:c r="O113" s="30" t="n">
        <x:f>G113*L113</x:f>
        <x:v>13502.667978167821</x:v>
      </x:c>
    </x:row>
    <x:row r="114" ht="21" customHeight="1">
      <x:c r="A114" s="28" t="n">
        <x:v>108</x:v>
      </x:c>
      <x:c r="B114" s="29" t="n">
        <x:v>48082</x:v>
      </x:c>
      <x:c r="C114" s="28" t="n">
        <x:f>B114-B113</x:f>
        <x:v>31</x:v>
      </x:c>
      <x:c r="D114" s="30" t="n">
        <x:f>H113</x:f>
        <x:v>2477995.93</x:v>
      </x:c>
      <x:c r="E114" s="30" t="n">
        <x:f>ROUND(D114*I114,2)</x:f>
        <x:v>15784.49</x:v>
      </x:c>
      <x:c r="F114" s="30" t="n">
        <x:f>MIN(D114,'Параметры'!$C$13)</x:f>
        <x:v>10916.28</x:v>
      </x:c>
      <x:c r="G114" s="30" t="n">
        <x:f>ROUND(E114+F114,2)</x:f>
        <x:v>26700.77</x:v>
      </x:c>
      <x:c r="H114" s="30" t="n">
        <x:f>ROUND(D114-F114,2)</x:f>
        <x:v>2467079.65</x:v>
      </x:c>
      <x:c r="I114" s="33" t="n">
        <x:f>IF(AND(ISNUMBER('Параметры'!$C$7),'Параметры'!$C$7&gt;=0),'Параметры'!$C$7*C114/365,NA())</x:f>
        <x:v>0.00636986301369863</x:v>
      </x:c>
      <x:c r="J114" s="32" t="n">
        <x:f>J113/(1+I114)</x:f>
        <x:v>0.510958469222629</x:v>
      </x:c>
      <x:c r="K114" s="33" t="n">
        <x:f>IF(AND(ISNUMBER('Параметры'!$C$8),'Параметры'!$C$8&gt;=0),'Параметры'!$C$8*C114/365,NA())</x:f>
        <x:v>0.00636986301369863</x:v>
      </x:c>
      <x:c r="L114" s="32" t="n">
        <x:f>L113/(1+K114)</x:f>
        <x:v>0.510958469222629</x:v>
      </x:c>
      <x:c r="M114" s="30" t="n">
        <x:f>E114*L114</x:f>
        <x:v>8065.2188478598955</x:v>
      </x:c>
      <x:c r="N114" s="30" t="n">
        <x:f>F114*L114</x:f>
        <x:v>5577.765718405601</x:v>
      </x:c>
      <x:c r="O114" s="30" t="n">
        <x:f>G114*L114</x:f>
        <x:v>13642.984566265495</x:v>
      </x:c>
    </x:row>
    <x:row r="115" ht="21" customHeight="1">
      <x:c r="A115" s="28" t="n">
        <x:v>109</x:v>
      </x:c>
      <x:c r="B115" s="29" t="n">
        <x:v>48113</x:v>
      </x:c>
      <x:c r="C115" s="28" t="n">
        <x:f>B115-B114</x:f>
        <x:v>31</x:v>
      </x:c>
      <x:c r="D115" s="30" t="n">
        <x:f>H114</x:f>
        <x:v>2467079.65</x:v>
      </x:c>
      <x:c r="E115" s="30" t="n">
        <x:f>ROUND(D115*I115,2)</x:f>
        <x:v>15714.96</x:v>
      </x:c>
      <x:c r="F115" s="30" t="n">
        <x:f>MIN(D115,'Параметры'!$C$13)</x:f>
        <x:v>10916.28</x:v>
      </x:c>
      <x:c r="G115" s="30" t="n">
        <x:f>ROUND(E115+F115,2)</x:f>
        <x:v>26631.24</x:v>
      </x:c>
      <x:c r="H115" s="30" t="n">
        <x:f>ROUND(D115-F115,2)</x:f>
        <x:v>2456163.37</x:v>
      </x:c>
      <x:c r="I115" s="33" t="n">
        <x:f>IF(AND(ISNUMBER('Параметры'!$C$7),'Параметры'!$C$7&gt;=0),'Параметры'!$C$7*C115/365,NA())</x:f>
        <x:v>0.00636986301369863</x:v>
      </x:c>
      <x:c r="J115" s="32" t="n">
        <x:f>J114/(1+I115)</x:f>
        <x:v>0.5077243347614772</x:v>
      </x:c>
      <x:c r="K115" s="33" t="n">
        <x:f>IF(AND(ISNUMBER('Параметры'!$C$8),'Параметры'!$C$8&gt;=0),'Параметры'!$C$8*C115/365,NA())</x:f>
        <x:v>0.00636986301369863</x:v>
      </x:c>
      <x:c r="L115" s="32" t="n">
        <x:f>L114/(1+K115)</x:f>
        <x:v>0.5077243347614772</x:v>
      </x:c>
      <x:c r="M115" s="30" t="n">
        <x:f>E115*L115</x:f>
        <x:v>7978.867611803223</x:v>
      </x:c>
      <x:c r="N115" s="30" t="n">
        <x:f>F115*L115</x:f>
        <x:v>5542.461001070018</x:v>
      </x:c>
      <x:c r="O115" s="30" t="n">
        <x:f>G115*L115</x:f>
        <x:v>13521.328612873242</x:v>
      </x:c>
    </x:row>
    <x:row r="116" ht="21" customHeight="1">
      <x:c r="A116" s="28" t="n">
        <x:v>110</x:v>
      </x:c>
      <x:c r="B116" s="29" t="n">
        <x:v>48143</x:v>
      </x:c>
      <x:c r="C116" s="28" t="n">
        <x:f>B116-B115</x:f>
        <x:v>30</x:v>
      </x:c>
      <x:c r="D116" s="30" t="n">
        <x:f>H115</x:f>
        <x:v>2456163.37</x:v>
      </x:c>
      <x:c r="E116" s="30" t="n">
        <x:f>ROUND(D116*I116,2)</x:f>
        <x:v>15140.73</x:v>
      </x:c>
      <x:c r="F116" s="30" t="n">
        <x:f>MIN(D116,'Параметры'!$C$13)</x:f>
        <x:v>10916.28</x:v>
      </x:c>
      <x:c r="G116" s="30" t="n">
        <x:f>ROUND(E116+F116,2)</x:f>
        <x:v>26057.01</x:v>
      </x:c>
      <x:c r="H116" s="30" t="n">
        <x:f>ROUND(D116-F116,2)</x:f>
        <x:v>2445247.09</x:v>
      </x:c>
      <x:c r="I116" s="33" t="n">
        <x:f>IF(AND(ISNUMBER('Параметры'!$C$7),'Параметры'!$C$7&gt;=0),'Параметры'!$C$7*C116/365,NA())</x:f>
        <x:v>0.0061643835616438354</x:v>
      </x:c>
      <x:c r="J116" s="32" t="n">
        <x:f>J115/(1+I116)</x:f>
        <x:v>0.5046137023497322</x:v>
      </x:c>
      <x:c r="K116" s="33" t="n">
        <x:f>IF(AND(ISNUMBER('Параметры'!$C$8),'Параметры'!$C$8&gt;=0),'Параметры'!$C$8*C116/365,NA())</x:f>
        <x:v>0.0061643835616438354</x:v>
      </x:c>
      <x:c r="L116" s="32" t="n">
        <x:f>L115/(1+K116)</x:f>
        <x:v>0.5046137023497322</x:v>
      </x:c>
      <x:c r="M116" s="30" t="n">
        <x:f>E116*L116</x:f>
        <x:v>7640.219821577662</x:v>
      </x:c>
      <x:c r="N116" s="30" t="n">
        <x:f>F116*L116</x:f>
        <x:v>5508.504466686335</x:v>
      </x:c>
      <x:c r="O116" s="30" t="n">
        <x:f>G116*L116</x:f>
        <x:v>13148.724288263995</x:v>
      </x:c>
    </x:row>
    <x:row r="117" ht="21" customHeight="1">
      <x:c r="A117" s="28" t="n">
        <x:v>111</x:v>
      </x:c>
      <x:c r="B117" s="29" t="n">
        <x:v>48174</x:v>
      </x:c>
      <x:c r="C117" s="28" t="n">
        <x:f>B117-B116</x:f>
        <x:v>31</x:v>
      </x:c>
      <x:c r="D117" s="30" t="n">
        <x:f>H116</x:f>
        <x:v>2445247.09</x:v>
      </x:c>
      <x:c r="E117" s="30" t="n">
        <x:f>ROUND(D117*I117,2)</x:f>
        <x:v>15575.89</x:v>
      </x:c>
      <x:c r="F117" s="30" t="n">
        <x:f>MIN(D117,'Параметры'!$C$13)</x:f>
        <x:v>10916.28</x:v>
      </x:c>
      <x:c r="G117" s="30" t="n">
        <x:f>ROUND(E117+F117,2)</x:f>
        <x:v>26492.17</x:v>
      </x:c>
      <x:c r="H117" s="30" t="n">
        <x:f>ROUND(D117-F117,2)</x:f>
        <x:v>2434330.81</x:v>
      </x:c>
      <x:c r="I117" s="33" t="n">
        <x:f>IF(AND(ISNUMBER('Параметры'!$C$7),'Параметры'!$C$7&gt;=0),'Параметры'!$C$7*C117/365,NA())</x:f>
        <x:v>0.00636986301369863</x:v>
      </x:c>
      <x:c r="J117" s="32" t="n">
        <x:f>J116/(1+I117)</x:f>
        <x:v>0.5014197273739938</x:v>
      </x:c>
      <x:c r="K117" s="33" t="n">
        <x:f>IF(AND(ISNUMBER('Параметры'!$C$8),'Параметры'!$C$8&gt;=0),'Параметры'!$C$8*C117/365,NA())</x:f>
        <x:v>0.00636986301369863</x:v>
      </x:c>
      <x:c r="L117" s="32" t="n">
        <x:f>L116/(1+K117)</x:f>
        <x:v>0.5014197273739938</x:v>
      </x:c>
      <x:c r="M117" s="30" t="n">
        <x:f>E117*L117</x:f>
        <x:v>7810.058517407316</x:v>
      </x:c>
      <x:c r="N117" s="30" t="n">
        <x:f>F117*L117</x:f>
        <x:v>5473.638141538181</x:v>
      </x:c>
      <x:c r="O117" s="30" t="n">
        <x:f>G117*L117</x:f>
        <x:v>13283.696658945495</x:v>
      </x:c>
    </x:row>
    <x:row r="118" ht="21" customHeight="1">
      <x:c r="A118" s="28" t="n">
        <x:v>112</x:v>
      </x:c>
      <x:c r="B118" s="29" t="n">
        <x:v>48204</x:v>
      </x:c>
      <x:c r="C118" s="28" t="n">
        <x:f>B118-B117</x:f>
        <x:v>30</x:v>
      </x:c>
      <x:c r="D118" s="30" t="n">
        <x:f>H117</x:f>
        <x:v>2434330.81</x:v>
      </x:c>
      <x:c r="E118" s="30" t="n">
        <x:f>ROUND(D118*I118,2)</x:f>
        <x:v>15006.15</x:v>
      </x:c>
      <x:c r="F118" s="30" t="n">
        <x:f>MIN(D118,'Параметры'!$C$13)</x:f>
        <x:v>10916.28</x:v>
      </x:c>
      <x:c r="G118" s="30" t="n">
        <x:f>ROUND(E118+F118,2)</x:f>
        <x:v>25922.43</x:v>
      </x:c>
      <x:c r="H118" s="30" t="n">
        <x:f>ROUND(D118-F118,2)</x:f>
        <x:v>2423414.53</x:v>
      </x:c>
      <x:c r="I118" s="33" t="n">
        <x:f>IF(AND(ISNUMBER('Параметры'!$C$7),'Параметры'!$C$7&gt;=0),'Параметры'!$C$7*C118/365,NA())</x:f>
        <x:v>0.0061643835616438354</x:v>
      </x:c>
      <x:c r="J118" s="32" t="n">
        <x:f>J117/(1+I118)</x:f>
        <x:v>0.4983477208754465</x:v>
      </x:c>
      <x:c r="K118" s="33" t="n">
        <x:f>IF(AND(ISNUMBER('Параметры'!$C$8),'Параметры'!$C$8&gt;=0),'Параметры'!$C$8*C118/365,NA())</x:f>
        <x:v>0.0061643835616438354</x:v>
      </x:c>
      <x:c r="L118" s="32" t="n">
        <x:f>L117/(1+K118)</x:f>
        <x:v>0.4983477208754465</x:v>
      </x:c>
      <x:c r="M118" s="30" t="n">
        <x:f>E118*L118</x:f>
        <x:v>7478.280651615081</x:v>
      </x:c>
      <x:c r="N118" s="30" t="n">
        <x:f>F118*L118</x:f>
        <x:v>5440.103258438219</x:v>
      </x:c>
      <x:c r="O118" s="30" t="n">
        <x:f>G118*L118</x:f>
        <x:v>12918.3839100533</x:v>
      </x:c>
    </x:row>
    <x:row r="119" ht="21" customHeight="1">
      <x:c r="A119" s="28" t="n">
        <x:v>113</x:v>
      </x:c>
      <x:c r="B119" s="29" t="n">
        <x:v>48235</x:v>
      </x:c>
      <x:c r="C119" s="28" t="n">
        <x:f>B119-B118</x:f>
        <x:v>31</x:v>
      </x:c>
      <x:c r="D119" s="30" t="n">
        <x:f>H118</x:f>
        <x:v>2423414.53</x:v>
      </x:c>
      <x:c r="E119" s="30" t="n">
        <x:f>ROUND(D119*I119,2)</x:f>
        <x:v>15436.82</x:v>
      </x:c>
      <x:c r="F119" s="30" t="n">
        <x:f>MIN(D119,'Параметры'!$C$13)</x:f>
        <x:v>10916.28</x:v>
      </x:c>
      <x:c r="G119" s="30" t="n">
        <x:f>ROUND(E119+F119,2)</x:f>
        <x:v>26353.1</x:v>
      </x:c>
      <x:c r="H119" s="30" t="n">
        <x:f>ROUND(D119-F119,2)</x:f>
        <x:v>2412498.25</x:v>
      </x:c>
      <x:c r="I119" s="33" t="n">
        <x:f>IF(AND(ISNUMBER('Параметры'!$C$7),'Параметры'!$C$7&gt;=0),'Параметры'!$C$7*C119/365,NA())</x:f>
        <x:v>0.00636986301369863</x:v>
      </x:c>
      <x:c r="J119" s="32" t="n">
        <x:f>J118/(1+I119)</x:f>
        <x:v>0.49519340670942075</x:v>
      </x:c>
      <x:c r="K119" s="33" t="n">
        <x:f>IF(AND(ISNUMBER('Параметры'!$C$8),'Параметры'!$C$8&gt;=0),'Параметры'!$C$8*C119/365,NA())</x:f>
        <x:v>0.00636986301369863</x:v>
      </x:c>
      <x:c r="L119" s="32" t="n">
        <x:f>L118/(1+K119)</x:f>
        <x:v>0.49519340670942075</x:v>
      </x:c>
      <x:c r="M119" s="30" t="n">
        <x:f>E119*L119</x:f>
        <x:v>7644.21148456012</x:v>
      </x:c>
      <x:c r="N119" s="30" t="n">
        <x:f>F119*L119</x:f>
        <x:v>5405.669881793916</x:v>
      </x:c>
      <x:c r="O119" s="30" t="n">
        <x:f>G119*L119</x:f>
        <x:v>13049.881366354035</x:v>
      </x:c>
    </x:row>
    <x:row r="120" ht="21" customHeight="1">
      <x:c r="A120" s="28" t="n">
        <x:v>114</x:v>
      </x:c>
      <x:c r="B120" s="29" t="n">
        <x:v>48266</x:v>
      </x:c>
      <x:c r="C120" s="28" t="n">
        <x:f>B120-B119</x:f>
        <x:v>31</x:v>
      </x:c>
      <x:c r="D120" s="30" t="n">
        <x:f>H119</x:f>
        <x:v>2412498.25</x:v>
      </x:c>
      <x:c r="E120" s="30" t="n">
        <x:f>ROUND(D120*I120,2)</x:f>
        <x:v>15367.28</x:v>
      </x:c>
      <x:c r="F120" s="30" t="n">
        <x:f>MIN(D120,'Параметры'!$C$13)</x:f>
        <x:v>10916.28</x:v>
      </x:c>
      <x:c r="G120" s="30" t="n">
        <x:f>ROUND(E120+F120,2)</x:f>
        <x:v>26283.56</x:v>
      </x:c>
      <x:c r="H120" s="30" t="n">
        <x:f>ROUND(D120-F120,2)</x:f>
        <x:v>2401581.97</x:v>
      </x:c>
      <x:c r="I120" s="33" t="n">
        <x:f>IF(AND(ISNUMBER('Параметры'!$C$7),'Параметры'!$C$7&gt;=0),'Параметры'!$C$7*C120/365,NA())</x:f>
        <x:v>0.00636986301369863</x:v>
      </x:c>
      <x:c r="J120" s="32" t="n">
        <x:f>J119/(1+I120)</x:f>
        <x:v>0.49205905791584725</x:v>
      </x:c>
      <x:c r="K120" s="33" t="n">
        <x:f>IF(AND(ISNUMBER('Параметры'!$C$8),'Параметры'!$C$8&gt;=0),'Параметры'!$C$8*C120/365,NA())</x:f>
        <x:v>0.00636986301369863</x:v>
      </x:c>
      <x:c r="L120" s="32" t="n">
        <x:f>L119/(1+K120)</x:f>
        <x:v>0.49205905791584725</x:v>
      </x:c>
      <x:c r="M120" s="30" t="n">
        <x:f>E120*L120</x:f>
        <x:v>7561.609319529041</x:v>
      </x:c>
      <x:c r="N120" s="30" t="n">
        <x:f>F120*L120</x:f>
        <x:v>5371.4544527456055</x:v>
      </x:c>
      <x:c r="O120" s="30" t="n">
        <x:f>G120*L120</x:f>
        <x:v>12933.063772274647</x:v>
      </x:c>
    </x:row>
    <x:row r="121" ht="21" customHeight="1">
      <x:c r="A121" s="28" t="n">
        <x:v>115</x:v>
      </x:c>
      <x:c r="B121" s="29" t="n">
        <x:v>48295</x:v>
      </x:c>
      <x:c r="C121" s="28" t="n">
        <x:f>B121-B120</x:f>
        <x:v>29</x:v>
      </x:c>
      <x:c r="D121" s="30" t="n">
        <x:f>H120</x:f>
        <x:v>2401581.97</x:v>
      </x:c>
      <x:c r="E121" s="30" t="n">
        <x:f>ROUND(D121*I121,2)</x:f>
        <x:v>14310.8</x:v>
      </x:c>
      <x:c r="F121" s="30" t="n">
        <x:f>MIN(D121,'Параметры'!$C$13)</x:f>
        <x:v>10916.28</x:v>
      </x:c>
      <x:c r="G121" s="30" t="n">
        <x:f>ROUND(E121+F121,2)</x:f>
        <x:v>25227.08</x:v>
      </x:c>
      <x:c r="H121" s="30" t="n">
        <x:f>ROUND(D121-F121,2)</x:f>
        <x:v>2390665.69</x:v>
      </x:c>
      <x:c r="I121" s="33" t="n">
        <x:f>IF(AND(ISNUMBER('Параметры'!$C$7),'Параметры'!$C$7&gt;=0),'Параметры'!$C$7*C121/365,NA())</x:f>
        <x:v>0.00595890410958904</x:v>
      </x:c>
      <x:c r="J121" s="32" t="n">
        <x:f>J120/(1+I121)</x:f>
        <x:v>0.48914429397231357</x:v>
      </x:c>
      <x:c r="K121" s="33" t="n">
        <x:f>IF(AND(ISNUMBER('Параметры'!$C$8),'Параметры'!$C$8&gt;=0),'Параметры'!$C$8*C121/365,NA())</x:f>
        <x:v>0.00595890410958904</x:v>
      </x:c>
      <x:c r="L121" s="32" t="n">
        <x:f>L120/(1+K121)</x:f>
        <x:v>0.48914429397231357</x:v>
      </x:c>
      <x:c r="M121" s="30" t="n">
        <x:f>E121*L121</x:f>
        <x:v>7000.046162178985</x:v>
      </x:c>
      <x:c r="N121" s="30" t="n">
        <x:f>F121*L121</x:f>
        <x:v>5339.636073404087</x:v>
      </x:c>
      <x:c r="O121" s="30" t="n">
        <x:f>G121*L121</x:f>
        <x:v>12339.682235583074</x:v>
      </x:c>
    </x:row>
    <x:row r="122" ht="21" customHeight="1">
      <x:c r="A122" s="28" t="n">
        <x:v>116</x:v>
      </x:c>
      <x:c r="B122" s="29" t="n">
        <x:v>48326</x:v>
      </x:c>
      <x:c r="C122" s="28" t="n">
        <x:f>B122-B121</x:f>
        <x:v>31</x:v>
      </x:c>
      <x:c r="D122" s="30" t="n">
        <x:f>H121</x:f>
        <x:v>2390665.69</x:v>
      </x:c>
      <x:c r="E122" s="30" t="n">
        <x:f>ROUND(D122*I122,2)</x:f>
        <x:v>15228.21</x:v>
      </x:c>
      <x:c r="F122" s="30" t="n">
        <x:f>MIN(D122,'Параметры'!$C$13)</x:f>
        <x:v>10916.28</x:v>
      </x:c>
      <x:c r="G122" s="30" t="n">
        <x:f>ROUND(E122+F122,2)</x:f>
        <x:v>26144.49</x:v>
      </x:c>
      <x:c r="H122" s="30" t="n">
        <x:f>ROUND(D122-F122,2)</x:f>
        <x:v>2379749.41</x:v>
      </x:c>
      <x:c r="I122" s="33" t="n">
        <x:f>IF(AND(ISNUMBER('Параметры'!$C$7),'Параметры'!$C$7&gt;=0),'Параметры'!$C$7*C122/365,NA())</x:f>
        <x:v>0.00636986301369863</x:v>
      </x:c>
      <x:c r="J122" s="32" t="n">
        <x:f>J121/(1+I122)</x:f>
        <x:v>0.4860482333080908</x:v>
      </x:c>
      <x:c r="K122" s="33" t="n">
        <x:f>IF(AND(ISNUMBER('Параметры'!$C$8),'Параметры'!$C$8&gt;=0),'Параметры'!$C$8*C122/365,NA())</x:f>
        <x:v>0.00636986301369863</x:v>
      </x:c>
      <x:c r="L122" s="32" t="n">
        <x:f>L121/(1+K122)</x:f>
        <x:v>0.4860482333080908</x:v>
      </x:c>
      <x:c r="M122" s="30" t="n">
        <x:f>E122*L122</x:f>
        <x:v>7401.644566944601</x:v>
      </x:c>
      <x:c r="N122" s="30" t="n">
        <x:f>F122*L122</x:f>
        <x:v>5305.838608296446</x:v>
      </x:c>
      <x:c r="O122" s="30" t="n">
        <x:f>G122*L122</x:f>
        <x:v>12707.483175241048</x:v>
      </x:c>
    </x:row>
    <x:row r="123" ht="21" customHeight="1">
      <x:c r="A123" s="28" t="n">
        <x:v>117</x:v>
      </x:c>
      <x:c r="B123" s="29" t="n">
        <x:v>48356</x:v>
      </x:c>
      <x:c r="C123" s="28" t="n">
        <x:f>B123-B122</x:f>
        <x:v>30</x:v>
      </x:c>
      <x:c r="D123" s="30" t="n">
        <x:f>H122</x:f>
        <x:v>2379749.41</x:v>
      </x:c>
      <x:c r="E123" s="30" t="n">
        <x:f>ROUND(D123*I123,2)</x:f>
        <x:v>14669.69</x:v>
      </x:c>
      <x:c r="F123" s="30" t="n">
        <x:f>MIN(D123,'Параметры'!$C$13)</x:f>
        <x:v>10916.28</x:v>
      </x:c>
      <x:c r="G123" s="30" t="n">
        <x:f>ROUND(E123+F123,2)</x:f>
        <x:v>25585.97</x:v>
      </x:c>
      <x:c r="H123" s="30" t="n">
        <x:f>ROUND(D123-F123,2)</x:f>
        <x:v>2368833.13</x:v>
      </x:c>
      <x:c r="I123" s="33" t="n">
        <x:f>IF(AND(ISNUMBER('Параметры'!$C$7),'Параметры'!$C$7&gt;=0),'Параметры'!$C$7*C123/365,NA())</x:f>
        <x:v>0.0061643835616438354</x:v>
      </x:c>
      <x:c r="J123" s="32" t="n">
        <x:f>J122/(1+I123)</x:f>
        <x:v>0.48307040206250007</x:v>
      </x:c>
      <x:c r="K123" s="33" t="n">
        <x:f>IF(AND(ISNUMBER('Параметры'!$C$8),'Параметры'!$C$8&gt;=0),'Параметры'!$C$8*C123/365,NA())</x:f>
        <x:v>0.0061643835616438354</x:v>
      </x:c>
      <x:c r="L123" s="32" t="n">
        <x:f>L122/(1+K123)</x:f>
        <x:v>0.48307040206250007</x:v>
      </x:c>
      <x:c r="M123" s="30" t="n">
        <x:f>E123*L123</x:f>
        <x:v>7086.493046432237</x:v>
      </x:c>
      <x:c r="N123" s="30" t="n">
        <x:f>F123*L123</x:f>
        <x:v>5273.331768626828</x:v>
      </x:c>
      <x:c r="O123" s="30" t="n">
        <x:f>G123*L123</x:f>
        <x:v>12359.824815059066</x:v>
      </x:c>
    </x:row>
    <x:row r="124" ht="21" customHeight="1">
      <x:c r="A124" s="28" t="n">
        <x:v>118</x:v>
      </x:c>
      <x:c r="B124" s="29" t="n">
        <x:v>48387</x:v>
      </x:c>
      <x:c r="C124" s="28" t="n">
        <x:f>B124-B123</x:f>
        <x:v>31</x:v>
      </x:c>
      <x:c r="D124" s="30" t="n">
        <x:f>H123</x:f>
        <x:v>2368833.13</x:v>
      </x:c>
      <x:c r="E124" s="30" t="n">
        <x:f>ROUND(D124*I124,2)</x:f>
        <x:v>15089.14</x:v>
      </x:c>
      <x:c r="F124" s="30" t="n">
        <x:f>MIN(D124,'Параметры'!$C$13)</x:f>
        <x:v>10916.28</x:v>
      </x:c>
      <x:c r="G124" s="30" t="n">
        <x:f>ROUND(E124+F124,2)</x:f>
        <x:v>26005.42</x:v>
      </x:c>
      <x:c r="H124" s="30" t="n">
        <x:f>ROUND(D124-F124,2)</x:f>
        <x:v>2357916.85</x:v>
      </x:c>
      <x:c r="I124" s="33" t="n">
        <x:f>IF(AND(ISNUMBER('Параметры'!$C$7),'Параметры'!$C$7&gt;=0),'Параметры'!$C$7*C124/365,NA())</x:f>
        <x:v>0.00636986301369863</x:v>
      </x:c>
      <x:c r="J124" s="32" t="n">
        <x:f>J123/(1+I124)</x:f>
        <x:v>0.4800127863685089</x:v>
      </x:c>
      <x:c r="K124" s="33" t="n">
        <x:f>IF(AND(ISNUMBER('Параметры'!$C$8),'Параметры'!$C$8&gt;=0),'Параметры'!$C$8*C124/365,NA())</x:f>
        <x:v>0.00636986301369863</x:v>
      </x:c>
      <x:c r="L124" s="32" t="n">
        <x:f>L123/(1+K124)</x:f>
        <x:v>0.4800127863685089</x:v>
      </x:c>
      <x:c r="M124" s="30" t="n">
        <x:f>E124*L124</x:f>
        <x:v>7242.980135304522</x:v>
      </x:c>
      <x:c r="N124" s="30" t="n">
        <x:f>F124*L124</x:f>
        <x:v>5239.953979578827</x:v>
      </x:c>
      <x:c r="O124" s="30" t="n">
        <x:f>G124*L124</x:f>
        <x:v>12482.934114883348</x:v>
      </x:c>
    </x:row>
    <x:row r="125" ht="21" customHeight="1">
      <x:c r="A125" s="28" t="n">
        <x:v>119</x:v>
      </x:c>
      <x:c r="B125" s="29" t="n">
        <x:v>48417</x:v>
      </x:c>
      <x:c r="C125" s="28" t="n">
        <x:f>B125-B124</x:f>
        <x:v>30</x:v>
      </x:c>
      <x:c r="D125" s="30" t="n">
        <x:f>H124</x:f>
        <x:v>2357916.85</x:v>
      </x:c>
      <x:c r="E125" s="30" t="n">
        <x:f>ROUND(D125*I125,2)</x:f>
        <x:v>14535.1</x:v>
      </x:c>
      <x:c r="F125" s="30" t="n">
        <x:f>MIN(D125,'Параметры'!$C$13)</x:f>
        <x:v>10916.28</x:v>
      </x:c>
      <x:c r="G125" s="30" t="n">
        <x:f>ROUND(E125+F125,2)</x:f>
        <x:v>25451.38</x:v>
      </x:c>
      <x:c r="H125" s="30" t="n">
        <x:f>ROUND(D125-F125,2)</x:f>
        <x:v>2347000.57</x:v>
      </x:c>
      <x:c r="I125" s="33" t="n">
        <x:f>IF(AND(ISNUMBER('Параметры'!$C$7),'Параметры'!$C$7&gt;=0),'Параметры'!$C$7*C125/365,NA())</x:f>
        <x:v>0.0061643835616438354</x:v>
      </x:c>
      <x:c r="J125" s="32" t="n">
        <x:f>J124/(1+I125)</x:f>
        <x:v>0.4770719319932083</x:v>
      </x:c>
      <x:c r="K125" s="33" t="n">
        <x:f>IF(AND(ISNUMBER('Параметры'!$C$8),'Параметры'!$C$8&gt;=0),'Параметры'!$C$8*C125/365,NA())</x:f>
        <x:v>0.0061643835616438354</x:v>
      </x:c>
      <x:c r="L125" s="32" t="n">
        <x:f>L124/(1+K125)</x:f>
        <x:v>0.4770719319932083</x:v>
      </x:c>
      <x:c r="M125" s="30" t="n">
        <x:f>E125*L125</x:f>
        <x:v>6934.288238714482</x:v>
      </x:c>
      <x:c r="N125" s="30" t="n">
        <x:f>F125*L125</x:f>
        <x:v>5207.85078977882</x:v>
      </x:c>
      <x:c r="O125" s="30" t="n">
        <x:f>G125*L125</x:f>
        <x:v>12142.139028493302</x:v>
      </x:c>
    </x:row>
    <x:row r="126" ht="21" customHeight="1">
      <x:c r="A126" s="28" t="n">
        <x:v>120</x:v>
      </x:c>
      <x:c r="B126" s="29" t="n">
        <x:v>48448</x:v>
      </x:c>
      <x:c r="C126" s="28" t="n">
        <x:f>B126-B125</x:f>
        <x:v>31</x:v>
      </x:c>
      <x:c r="D126" s="30" t="n">
        <x:f>H125</x:f>
        <x:v>2347000.57</x:v>
      </x:c>
      <x:c r="E126" s="30" t="n">
        <x:f>ROUND(D126*I126,2)</x:f>
        <x:v>14950.07</x:v>
      </x:c>
      <x:c r="F126" s="30" t="n">
        <x:f>MIN(D126,'Параметры'!$C$13)</x:f>
        <x:v>10916.28</x:v>
      </x:c>
      <x:c r="G126" s="30" t="n">
        <x:f>ROUND(E126+F126,2)</x:f>
        <x:v>25866.35</x:v>
      </x:c>
      <x:c r="H126" s="30" t="n">
        <x:f>ROUND(D126-F126,2)</x:f>
        <x:v>2336084.29</x:v>
      </x:c>
      <x:c r="I126" s="33" t="n">
        <x:f>IF(AND(ISNUMBER('Параметры'!$C$7),'Параметры'!$C$7&gt;=0),'Параметры'!$C$7*C126/365,NA())</x:f>
        <x:v>0.00636986301369863</x:v>
      </x:c>
      <x:c r="J126" s="32" t="n">
        <x:f>J125/(1+I126)</x:f>
        <x:v>0.4740522838835392</x:v>
      </x:c>
      <x:c r="K126" s="33" t="n">
        <x:f>IF(AND(ISNUMBER('Параметры'!$C$8),'Параметры'!$C$8&gt;=0),'Параметры'!$C$8*C126/365,NA())</x:f>
        <x:v>0.00636986301369863</x:v>
      </x:c>
      <x:c r="L126" s="32" t="n">
        <x:f>L125/(1+K126)</x:f>
        <x:v>0.4740522838835392</x:v>
      </x:c>
      <x:c r="M126" s="30" t="n">
        <x:f>E126*L126</x:f>
        <x:v>7087.114827718783</x:v>
      </x:c>
      <x:c r="N126" s="30" t="n">
        <x:f>F126*L126</x:f>
        <x:v>5174.887465512202</x:v>
      </x:c>
      <x:c r="O126" s="30" t="n">
        <x:f>G126*L126</x:f>
        <x:v>12262.002293230984</x:v>
      </x:c>
    </x:row>
    <x:row r="127" ht="21" customHeight="1">
      <x:c r="A127" s="28" t="n">
        <x:v>121</x:v>
      </x:c>
      <x:c r="B127" s="29" t="n">
        <x:v>48479</x:v>
      </x:c>
      <x:c r="C127" s="28" t="n">
        <x:f>B127-B126</x:f>
        <x:v>31</x:v>
      </x:c>
      <x:c r="D127" s="30" t="n">
        <x:f>H126</x:f>
        <x:v>2336084.29</x:v>
      </x:c>
      <x:c r="E127" s="30" t="n">
        <x:f>ROUND(D127*I127,2)</x:f>
        <x:v>14880.54</x:v>
      </x:c>
      <x:c r="F127" s="30" t="n">
        <x:f>MIN(D127,'Параметры'!$C$13)</x:f>
        <x:v>10916.28</x:v>
      </x:c>
      <x:c r="G127" s="30" t="n">
        <x:f>ROUND(E127+F127,2)</x:f>
        <x:v>25796.82</x:v>
      </x:c>
      <x:c r="H127" s="30" t="n">
        <x:f>ROUND(D127-F127,2)</x:f>
        <x:v>2325168.01</x:v>
      </x:c>
      <x:c r="I127" s="33" t="n">
        <x:f>IF(AND(ISNUMBER('Параметры'!$C$7),'Параметры'!$C$7&gt;=0),'Параметры'!$C$7*C127/365,NA())</x:f>
        <x:v>0.00636986301369863</x:v>
      </x:c>
      <x:c r="J127" s="32" t="n">
        <x:f>J126/(1+I127)</x:f>
        <x:v>0.4710517487715016</x:v>
      </x:c>
      <x:c r="K127" s="33" t="n">
        <x:f>IF(AND(ISNUMBER('Параметры'!$C$8),'Параметры'!$C$8&gt;=0),'Параметры'!$C$8*C127/365,NA())</x:f>
        <x:v>0.00636986301369863</x:v>
      </x:c>
      <x:c r="L127" s="32" t="n">
        <x:f>L126/(1+K127)</x:f>
        <x:v>0.4710517487715016</x:v>
      </x:c>
      <x:c r="M127" s="30" t="n">
        <x:f>E127*L127</x:f>
        <x:v>7009.50438966428</x:v>
      </x:c>
      <x:c r="N127" s="30" t="n">
        <x:f>F127*L127</x:f>
        <x:v>5142.132784079367</x:v>
      </x:c>
      <x:c r="O127" s="30" t="n">
        <x:f>G127*L127</x:f>
        <x:v>12151.637173743648</x:v>
      </x:c>
    </x:row>
    <x:row r="128" ht="21" customHeight="1">
      <x:c r="A128" s="28" t="n">
        <x:v>122</x:v>
      </x:c>
      <x:c r="B128" s="29" t="n">
        <x:v>48509</x:v>
      </x:c>
      <x:c r="C128" s="28" t="n">
        <x:f>B128-B127</x:f>
        <x:v>30</x:v>
      </x:c>
      <x:c r="D128" s="30" t="n">
        <x:f>H127</x:f>
        <x:v>2325168.01</x:v>
      </x:c>
      <x:c r="E128" s="30" t="n">
        <x:f>ROUND(D128*I128,2)</x:f>
        <x:v>14333.23</x:v>
      </x:c>
      <x:c r="F128" s="30" t="n">
        <x:f>MIN(D128,'Параметры'!$C$13)</x:f>
        <x:v>10916.28</x:v>
      </x:c>
      <x:c r="G128" s="30" t="n">
        <x:f>ROUND(E128+F128,2)</x:f>
        <x:v>25249.51</x:v>
      </x:c>
      <x:c r="H128" s="30" t="n">
        <x:f>ROUND(D128-F128,2)</x:f>
        <x:v>2314251.73</x:v>
      </x:c>
      <x:c r="I128" s="33" t="n">
        <x:f>IF(AND(ISNUMBER('Параметры'!$C$7),'Параметры'!$C$7&gt;=0),'Параметры'!$C$7*C128/365,NA())</x:f>
        <x:v>0.0061643835616438354</x:v>
      </x:c>
      <x:c r="J128" s="32" t="n">
        <x:f>J127/(1+I128)</x:f>
        <x:v>0.4681657952392051</x:v>
      </x:c>
      <x:c r="K128" s="33" t="n">
        <x:f>IF(AND(ISNUMBER('Параметры'!$C$8),'Параметры'!$C$8&gt;=0),'Параметры'!$C$8*C128/365,NA())</x:f>
        <x:v>0.0061643835616438354</x:v>
      </x:c>
      <x:c r="L128" s="32" t="n">
        <x:f>L127/(1+K128)</x:f>
        <x:v>0.4681657952392051</x:v>
      </x:c>
      <x:c r="M128" s="30" t="n">
        <x:f>E128*L128</x:f>
        <x:v>6710.328021296432</x:v>
      </x:c>
      <x:c r="N128" s="30" t="n">
        <x:f>F128*L128</x:f>
        <x:v>5110.62890725383</x:v>
      </x:c>
      <x:c r="O128" s="30" t="n">
        <x:f>G128*L128</x:f>
        <x:v>11820.95692855026</x:v>
      </x:c>
    </x:row>
    <x:row r="129" ht="21" customHeight="1">
      <x:c r="A129" s="28" t="n">
        <x:v>123</x:v>
      </x:c>
      <x:c r="B129" s="29" t="n">
        <x:v>48540</x:v>
      </x:c>
      <x:c r="C129" s="28" t="n">
        <x:f>B129-B128</x:f>
        <x:v>31</x:v>
      </x:c>
      <x:c r="D129" s="30" t="n">
        <x:f>H128</x:f>
        <x:v>2314251.73</x:v>
      </x:c>
      <x:c r="E129" s="30" t="n">
        <x:f>ROUND(D129*I129,2)</x:f>
        <x:v>14741.47</x:v>
      </x:c>
      <x:c r="F129" s="30" t="n">
        <x:f>MIN(D129,'Параметры'!$C$13)</x:f>
        <x:v>10916.28</x:v>
      </x:c>
      <x:c r="G129" s="30" t="n">
        <x:f>ROUND(E129+F129,2)</x:f>
        <x:v>25657.75</x:v>
      </x:c>
      <x:c r="H129" s="30" t="n">
        <x:f>ROUND(D129-F129,2)</x:f>
        <x:v>2303335.45</x:v>
      </x:c>
      <x:c r="I129" s="33" t="n">
        <x:f>IF(AND(ISNUMBER('Параметры'!$C$7),'Параметры'!$C$7&gt;=0),'Параметры'!$C$7*C129/365,NA())</x:f>
        <x:v>0.00636986301369863</x:v>
      </x:c>
      <x:c r="J129" s="32" t="n">
        <x:f>J128/(1+I129)</x:f>
        <x:v>0.4652025189200568</x:v>
      </x:c>
      <x:c r="K129" s="33" t="n">
        <x:f>IF(AND(ISNUMBER('Параметры'!$C$8),'Параметры'!$C$8&gt;=0),'Параметры'!$C$8*C129/365,NA())</x:f>
        <x:v>0.00636986301369863</x:v>
      </x:c>
      <x:c r="L129" s="32" t="n">
        <x:f>L128/(1+K129)</x:f>
        <x:v>0.4652025189200568</x:v>
      </x:c>
      <x:c r="M129" s="30" t="n">
        <x:f>E129*L129</x:f>
        <x:v>6857.76897658445</x:v>
      </x:c>
      <x:c r="N129" s="30" t="n">
        <x:f>F129*L129</x:f>
        <x:v>5078.280953236638</x:v>
      </x:c>
      <x:c r="O129" s="30" t="n">
        <x:f>G129*L129</x:f>
        <x:v>11936.049929821087</x:v>
      </x:c>
    </x:row>
    <x:row r="130" ht="21" customHeight="1">
      <x:c r="A130" s="28" t="n">
        <x:v>124</x:v>
      </x:c>
      <x:c r="B130" s="29" t="n">
        <x:v>48570</x:v>
      </x:c>
      <x:c r="C130" s="28" t="n">
        <x:f>B130-B129</x:f>
        <x:v>30</x:v>
      </x:c>
      <x:c r="D130" s="30" t="n">
        <x:f>H129</x:f>
        <x:v>2303335.45</x:v>
      </x:c>
      <x:c r="E130" s="30" t="n">
        <x:f>ROUND(D130*I130,2)</x:f>
        <x:v>14198.64</x:v>
      </x:c>
      <x:c r="F130" s="30" t="n">
        <x:f>MIN(D130,'Параметры'!$C$13)</x:f>
        <x:v>10916.28</x:v>
      </x:c>
      <x:c r="G130" s="30" t="n">
        <x:f>ROUND(E130+F130,2)</x:f>
        <x:v>25114.92</x:v>
      </x:c>
      <x:c r="H130" s="30" t="n">
        <x:f>ROUND(D130-F130,2)</x:f>
        <x:v>2292419.17</x:v>
      </x:c>
      <x:c r="I130" s="33" t="n">
        <x:f>IF(AND(ISNUMBER('Параметры'!$C$7),'Параметры'!$C$7&gt;=0),'Параметры'!$C$7*C130/365,NA())</x:f>
        <x:v>0.0061643835616438354</x:v>
      </x:c>
      <x:c r="J130" s="32" t="n">
        <x:f>J129/(1+I130)</x:f>
        <x:v>0.4623524013773199</x:v>
      </x:c>
      <x:c r="K130" s="33" t="n">
        <x:f>IF(AND(ISNUMBER('Параметры'!$C$8),'Параметры'!$C$8&gt;=0),'Параметры'!$C$8*C130/365,NA())</x:f>
        <x:v>0.0061643835616438354</x:v>
      </x:c>
      <x:c r="L130" s="32" t="n">
        <x:f>L129/(1+K130)</x:f>
        <x:v>0.4623524013773199</x:v>
      </x:c>
      <x:c r="M130" s="30" t="n">
        <x:f>E130*L130</x:f>
        <x:v>6564.77530029207</x:v>
      </x:c>
      <x:c r="N130" s="30" t="n">
        <x:f>F130*L130</x:f>
        <x:v>5047.16827210721</x:v>
      </x:c>
      <x:c r="O130" s="30" t="n">
        <x:f>G130*L130</x:f>
        <x:v>11611.94357239928</x:v>
      </x:c>
    </x:row>
    <x:row r="131" ht="21" customHeight="1">
      <x:c r="A131" s="28" t="n">
        <x:v>125</x:v>
      </x:c>
      <x:c r="B131" s="29" t="n">
        <x:v>48601</x:v>
      </x:c>
      <x:c r="C131" s="28" t="n">
        <x:f>B131-B130</x:f>
        <x:v>31</x:v>
      </x:c>
      <x:c r="D131" s="30" t="n">
        <x:f>H130</x:f>
        <x:v>2292419.17</x:v>
      </x:c>
      <x:c r="E131" s="30" t="n">
        <x:f>ROUND(D131*I131,2)</x:f>
        <x:v>14602.4</x:v>
      </x:c>
      <x:c r="F131" s="30" t="n">
        <x:f>MIN(D131,'Параметры'!$C$13)</x:f>
        <x:v>10916.28</x:v>
      </x:c>
      <x:c r="G131" s="30" t="n">
        <x:f>ROUND(E131+F131,2)</x:f>
        <x:v>25518.68</x:v>
      </x:c>
      <x:c r="H131" s="30" t="n">
        <x:f>ROUND(D131-F131,2)</x:f>
        <x:v>2281502.89</x:v>
      </x:c>
      <x:c r="I131" s="33" t="n">
        <x:f>IF(AND(ISNUMBER('Параметры'!$C$7),'Параметры'!$C$7&gt;=0),'Параметры'!$C$7*C131/365,NA())</x:f>
        <x:v>0.00636986301369863</x:v>
      </x:c>
      <x:c r="J131" s="32" t="n">
        <x:f>J130/(1+I131)</x:f>
        <x:v>0.45942592119436954</x:v>
      </x:c>
      <x:c r="K131" s="33" t="n">
        <x:f>IF(AND(ISNUMBER('Параметры'!$C$8),'Параметры'!$C$8&gt;=0),'Параметры'!$C$8*C131/365,NA())</x:f>
        <x:v>0.00636986301369863</x:v>
      </x:c>
      <x:c r="L131" s="32" t="n">
        <x:f>L130/(1+K131)</x:f>
        <x:v>0.45942592119436954</x:v>
      </x:c>
      <x:c r="M131" s="30" t="n">
        <x:f>E131*L131</x:f>
        <x:v>6708.721071648662</x:v>
      </x:c>
      <x:c r="N131" s="30" t="n">
        <x:f>F131*L131</x:f>
        <x:v>5015.221995015672</x:v>
      </x:c>
      <x:c r="O131" s="30" t="n">
        <x:f>G131*L131</x:f>
        <x:v>11723.943066664335</x:v>
      </x:c>
    </x:row>
    <x:row r="132" ht="21" customHeight="1">
      <x:c r="A132" s="28" t="n">
        <x:v>126</x:v>
      </x:c>
      <x:c r="B132" s="29" t="n">
        <x:v>48632</x:v>
      </x:c>
      <x:c r="C132" s="28" t="n">
        <x:f>B132-B131</x:f>
        <x:v>31</x:v>
      </x:c>
      <x:c r="D132" s="30" t="n">
        <x:f>H131</x:f>
        <x:v>2281502.89</x:v>
      </x:c>
      <x:c r="E132" s="30" t="n">
        <x:f>ROUND(D132*I132,2)</x:f>
        <x:v>14532.86</x:v>
      </x:c>
      <x:c r="F132" s="30" t="n">
        <x:f>MIN(D132,'Параметры'!$C$13)</x:f>
        <x:v>10916.28</x:v>
      </x:c>
      <x:c r="G132" s="30" t="n">
        <x:f>ROUND(E132+F132,2)</x:f>
        <x:v>25449.14</x:v>
      </x:c>
      <x:c r="H132" s="30" t="n">
        <x:f>ROUND(D132-F132,2)</x:f>
        <x:v>2270586.61</x:v>
      </x:c>
      <x:c r="I132" s="33" t="n">
        <x:f>IF(AND(ISNUMBER('Параметры'!$C$7),'Параметры'!$C$7&gt;=0),'Параметры'!$C$7*C132/365,NA())</x:f>
        <x:v>0.00636986301369863</x:v>
      </x:c>
      <x:c r="J132" s="32" t="n">
        <x:f>J131/(1+I132)</x:f>
        <x:v>0.45651796429849556</x:v>
      </x:c>
      <x:c r="K132" s="33" t="n">
        <x:f>IF(AND(ISNUMBER('Параметры'!$C$8),'Параметры'!$C$8&gt;=0),'Параметры'!$C$8*C132/365,NA())</x:f>
        <x:v>0.00636986301369863</x:v>
      </x:c>
      <x:c r="L132" s="32" t="n">
        <x:f>L131/(1+K132)</x:f>
        <x:v>0.45651796429849556</x:v>
      </x:c>
      <x:c r="M132" s="30" t="n">
        <x:f>E132*L132</x:f>
        <x:v>6634.511662635035</x:v>
      </x:c>
      <x:c r="N132" s="30" t="n">
        <x:f>F132*L132</x:f>
        <x:v>4983.477923312382</x:v>
      </x:c>
      <x:c r="O132" s="30" t="n">
        <x:f>G132*L132</x:f>
        <x:v>11617.989585947415</x:v>
      </x:c>
    </x:row>
    <x:row r="133" ht="21" customHeight="1">
      <x:c r="A133" s="28" t="n">
        <x:v>127</x:v>
      </x:c>
      <x:c r="B133" s="29" t="n">
        <x:v>48660</x:v>
      </x:c>
      <x:c r="C133" s="28" t="n">
        <x:f>B133-B132</x:f>
        <x:v>28</x:v>
      </x:c>
      <x:c r="D133" s="30" t="n">
        <x:f>H132</x:f>
        <x:v>2270586.61</x:v>
      </x:c>
      <x:c r="E133" s="30" t="n">
        <x:f>ROUND(D133*I133,2)</x:f>
        <x:v>13063.65</x:v>
      </x:c>
      <x:c r="F133" s="30" t="n">
        <x:f>MIN(D133,'Параметры'!$C$13)</x:f>
        <x:v>10916.28</x:v>
      </x:c>
      <x:c r="G133" s="30" t="n">
        <x:f>ROUND(E133+F133,2)</x:f>
        <x:v>23979.93</x:v>
      </x:c>
      <x:c r="H133" s="30" t="n">
        <x:f>ROUND(D133-F133,2)</x:f>
        <x:v>2259670.33</x:v>
      </x:c>
      <x:c r="I133" s="33" t="n">
        <x:f>IF(AND(ISNUMBER('Параметры'!$C$7),'Параметры'!$C$7&gt;=0),'Параметры'!$C$7*C133/365,NA())</x:f>
        <x:v>0.005753424657534247</x:v>
      </x:c>
      <x:c r="J133" s="32" t="n">
        <x:f>J132/(1+I133)</x:f>
        <x:v>0.45390644774979816</x:v>
      </x:c>
      <x:c r="K133" s="33" t="n">
        <x:f>IF(AND(ISNUMBER('Параметры'!$C$8),'Параметры'!$C$8&gt;=0),'Параметры'!$C$8*C133/365,NA())</x:f>
        <x:v>0.005753424657534247</x:v>
      </x:c>
      <x:c r="L133" s="32" t="n">
        <x:f>L132/(1+K133)</x:f>
        <x:v>0.45390644774979816</x:v>
      </x:c>
      <x:c r="M133" s="30" t="n">
        <x:f>E133*L133</x:f>
        <x:v>5929.67496614665</x:v>
      </x:c>
      <x:c r="N133" s="30" t="n">
        <x:f>F133*L133</x:f>
        <x:v>4954.969877442167</x:v>
      </x:c>
      <x:c r="O133" s="30" t="n">
        <x:f>G133*L133</x:f>
        <x:v>10884.644843588818</x:v>
      </x:c>
    </x:row>
    <x:row r="134" ht="21" customHeight="1">
      <x:c r="A134" s="28" t="n">
        <x:v>128</x:v>
      </x:c>
      <x:c r="B134" s="29" t="n">
        <x:v>48691</x:v>
      </x:c>
      <x:c r="C134" s="28" t="n">
        <x:f>B134-B133</x:f>
        <x:v>31</x:v>
      </x:c>
      <x:c r="D134" s="30" t="n">
        <x:f>H133</x:f>
        <x:v>2259670.33</x:v>
      </x:c>
      <x:c r="E134" s="30" t="n">
        <x:f>ROUND(D134*I134,2)</x:f>
        <x:v>14393.79</x:v>
      </x:c>
      <x:c r="F134" s="30" t="n">
        <x:f>MIN(D134,'Параметры'!$C$13)</x:f>
        <x:v>10916.28</x:v>
      </x:c>
      <x:c r="G134" s="30" t="n">
        <x:f>ROUND(E134+F134,2)</x:f>
        <x:v>25310.07</x:v>
      </x:c>
      <x:c r="H134" s="30" t="n">
        <x:f>ROUND(D134-F134,2)</x:f>
        <x:v>2248754.05</x:v>
      </x:c>
      <x:c r="I134" s="33" t="n">
        <x:f>IF(AND(ISNUMBER('Параметры'!$C$7),'Параметры'!$C$7&gt;=0),'Параметры'!$C$7*C134/365,NA())</x:f>
        <x:v>0.00636986301369863</x:v>
      </x:c>
      <x:c r="J134" s="32" t="n">
        <x:f>J133/(1+I134)</x:f>
        <x:v>0.451033426607708</x:v>
      </x:c>
      <x:c r="K134" s="33" t="n">
        <x:f>IF(AND(ISNUMBER('Параметры'!$C$8),'Параметры'!$C$8&gt;=0),'Параметры'!$C$8*C134/365,NA())</x:f>
        <x:v>0.00636986301369863</x:v>
      </x:c>
      <x:c r="L134" s="32" t="n">
        <x:f>L133/(1+K134)</x:f>
        <x:v>0.451033426607708</x:v>
      </x:c>
      <x:c r="M134" s="30" t="n">
        <x:f>E134*L134</x:f>
        <x:v>6492.080425571762</x:v>
      </x:c>
      <x:c r="N134" s="30" t="n">
        <x:f>F134*L134</x:f>
        <x:v>4923.607174209191</x:v>
      </x:c>
      <x:c r="O134" s="30" t="n">
        <x:f>G134*L134</x:f>
        <x:v>11415.687599780953</x:v>
      </x:c>
    </x:row>
    <x:row r="135" ht="21" customHeight="1">
      <x:c r="A135" s="28" t="n">
        <x:v>129</x:v>
      </x:c>
      <x:c r="B135" s="29" t="n">
        <x:v>48721</x:v>
      </x:c>
      <x:c r="C135" s="28" t="n">
        <x:f>B135-B134</x:f>
        <x:v>30</x:v>
      </x:c>
      <x:c r="D135" s="30" t="n">
        <x:f>H134</x:f>
        <x:v>2248754.05</x:v>
      </x:c>
      <x:c r="E135" s="30" t="n">
        <x:f>ROUND(D135*I135,2)</x:f>
        <x:v>13862.18</x:v>
      </x:c>
      <x:c r="F135" s="30" t="n">
        <x:f>MIN(D135,'Параметры'!$C$13)</x:f>
        <x:v>10916.28</x:v>
      </x:c>
      <x:c r="G135" s="30" t="n">
        <x:f>ROUND(E135+F135,2)</x:f>
        <x:v>24778.46</x:v>
      </x:c>
      <x:c r="H135" s="30" t="n">
        <x:f>ROUND(D135-F135,2)</x:f>
        <x:v>2237837.77</x:v>
      </x:c>
      <x:c r="I135" s="33" t="n">
        <x:f>IF(AND(ISNUMBER('Параметры'!$C$7),'Параметры'!$C$7&gt;=0),'Параметры'!$C$7*C135/365,NA())</x:f>
        <x:v>0.0061643835616438354</x:v>
      </x:c>
      <x:c r="J135" s="32" t="n">
        <x:f>J134/(1+I135)</x:f>
        <x:v>0.4482701176632088</x:v>
      </x:c>
      <x:c r="K135" s="33" t="n">
        <x:f>IF(AND(ISNUMBER('Параметры'!$C$8),'Параметры'!$C$8&gt;=0),'Параметры'!$C$8*C135/365,NA())</x:f>
        <x:v>0.0061643835616438354</x:v>
      </x:c>
      <x:c r="L135" s="32" t="n">
        <x:f>L134/(1+K135)</x:f>
        <x:v>0.4482701176632088</x:v>
      </x:c>
      <x:c r="M135" s="30" t="n">
        <x:f>E135*L135</x:f>
        <x:v>6214.00105966858</x:v>
      </x:c>
      <x:c r="N135" s="30" t="n">
        <x:f>F135*L135</x:f>
        <x:v>4893.442120044533</x:v>
      </x:c>
      <x:c r="O135" s="30" t="n">
        <x:f>G135*L135</x:f>
        <x:v>11107.443179713113</x:v>
      </x:c>
    </x:row>
    <x:row r="136" ht="21" customHeight="1">
      <x:c r="A136" s="28" t="n">
        <x:v>130</x:v>
      </x:c>
      <x:c r="B136" s="29" t="n">
        <x:v>48752</x:v>
      </x:c>
      <x:c r="C136" s="28" t="n">
        <x:f>B136-B135</x:f>
        <x:v>31</x:v>
      </x:c>
      <x:c r="D136" s="30" t="n">
        <x:f>H135</x:f>
        <x:v>2237837.77</x:v>
      </x:c>
      <x:c r="E136" s="30" t="n">
        <x:f>ROUND(D136*I136,2)</x:f>
        <x:v>14254.72</x:v>
      </x:c>
      <x:c r="F136" s="30" t="n">
        <x:f>MIN(D136,'Параметры'!$C$13)</x:f>
        <x:v>10916.28</x:v>
      </x:c>
      <x:c r="G136" s="30" t="n">
        <x:f>ROUND(E136+F136,2)</x:f>
        <x:v>25171</x:v>
      </x:c>
      <x:c r="H136" s="30" t="n">
        <x:f>ROUND(D136-F136,2)</x:f>
        <x:v>2226921.49</x:v>
      </x:c>
      <x:c r="I136" s="33" t="n">
        <x:f>IF(AND(ISNUMBER('Параметры'!$C$7),'Параметры'!$C$7&gt;=0),'Параметры'!$C$7*C136/365,NA())</x:f>
        <x:v>0.00636986301369863</x:v>
      </x:c>
      <x:c r="J136" s="32" t="n">
        <x:f>J135/(1+I136)</x:f>
        <x:v>0.44543277192423936</x:v>
      </x:c>
      <x:c r="K136" s="33" t="n">
        <x:f>IF(AND(ISNUMBER('Параметры'!$C$8),'Параметры'!$C$8&gt;=0),'Параметры'!$C$8*C136/365,NA())</x:f>
        <x:v>0.00636986301369863</x:v>
      </x:c>
      <x:c r="L136" s="32" t="n">
        <x:f>L135/(1+K136)</x:f>
        <x:v>0.44543277192423936</x:v>
      </x:c>
      <x:c r="M136" s="30" t="n">
        <x:f>E136*L136</x:f>
        <x:v>6349.519442603893</x:v>
      </x:c>
      <x:c r="N136" s="30" t="n">
        <x:f>F136*L136</x:f>
        <x:v>4862.468859501136</x:v>
      </x:c>
      <x:c r="O136" s="30" t="n">
        <x:f>G136*L136</x:f>
        <x:v>11211.988302105028</x:v>
      </x:c>
    </x:row>
    <x:row r="137" ht="21" customHeight="1">
      <x:c r="A137" s="28" t="n">
        <x:v>131</x:v>
      </x:c>
      <x:c r="B137" s="29" t="n">
        <x:v>48782</x:v>
      </x:c>
      <x:c r="C137" s="28" t="n">
        <x:f>B137-B136</x:f>
        <x:v>30</x:v>
      </x:c>
      <x:c r="D137" s="30" t="n">
        <x:f>H136</x:f>
        <x:v>2226921.49</x:v>
      </x:c>
      <x:c r="E137" s="30" t="n">
        <x:f>ROUND(D137*I137,2)</x:f>
        <x:v>13727.6</x:v>
      </x:c>
      <x:c r="F137" s="30" t="n">
        <x:f>MIN(D137,'Параметры'!$C$13)</x:f>
        <x:v>10916.28</x:v>
      </x:c>
      <x:c r="G137" s="30" t="n">
        <x:f>ROUND(E137+F137,2)</x:f>
        <x:v>24643.88</x:v>
      </x:c>
      <x:c r="H137" s="30" t="n">
        <x:f>ROUND(D137-F137,2)</x:f>
        <x:v>2216005.21</x:v>
      </x:c>
      <x:c r="I137" s="33" t="n">
        <x:f>IF(AND(ISNUMBER('Параметры'!$C$7),'Параметры'!$C$7&gt;=0),'Параметры'!$C$7*C137/365,NA())</x:f>
        <x:v>0.0061643835616438354</x:v>
      </x:c>
      <x:c r="J137" s="32" t="n">
        <x:f>J136/(1+I137)</x:f>
        <x:v>0.4427037760445129</x:v>
      </x:c>
      <x:c r="K137" s="33" t="n">
        <x:f>IF(AND(ISNUMBER('Параметры'!$C$8),'Параметры'!$C$8&gt;=0),'Параметры'!$C$8*C137/365,NA())</x:f>
        <x:v>0.0061643835616438354</x:v>
      </x:c>
      <x:c r="L137" s="32" t="n">
        <x:f>L136/(1+K137)</x:f>
        <x:v>0.4427037760445129</x:v>
      </x:c>
      <x:c r="M137" s="30" t="n">
        <x:f>E137*L137</x:f>
        <x:v>6077.260356028655</x:v>
      </x:c>
      <x:c r="N137" s="30" t="n">
        <x:f>F137*L137</x:f>
        <x:v>4832.678376359196</x:v>
      </x:c>
      <x:c r="O137" s="30" t="n">
        <x:f>G137*L137</x:f>
        <x:v>10909.93873238785</x:v>
      </x:c>
    </x:row>
    <x:row r="138" ht="21" customHeight="1">
      <x:c r="A138" s="28" t="n">
        <x:v>132</x:v>
      </x:c>
      <x:c r="B138" s="29" t="n">
        <x:v>48813</x:v>
      </x:c>
      <x:c r="C138" s="28" t="n">
        <x:f>B138-B137</x:f>
        <x:v>31</x:v>
      </x:c>
      <x:c r="D138" s="30" t="n">
        <x:f>H137</x:f>
        <x:v>2216005.21</x:v>
      </x:c>
      <x:c r="E138" s="30" t="n">
        <x:f>ROUND(D138*I138,2)</x:f>
        <x:v>14115.65</x:v>
      </x:c>
      <x:c r="F138" s="30" t="n">
        <x:f>MIN(D138,'Параметры'!$C$13)</x:f>
        <x:v>10916.28</x:v>
      </x:c>
      <x:c r="G138" s="30" t="n">
        <x:f>ROUND(E138+F138,2)</x:f>
        <x:v>25031.93</x:v>
      </x:c>
      <x:c r="H138" s="30" t="n">
        <x:f>ROUND(D138-F138,2)</x:f>
        <x:v>2205088.93</x:v>
      </x:c>
      <x:c r="I138" s="33" t="n">
        <x:f>IF(AND(ISNUMBER('Параметры'!$C$7),'Параметры'!$C$7&gt;=0),'Параметры'!$C$7*C138/365,NA())</x:f>
        <x:v>0.00636986301369863</x:v>
      </x:c>
      <x:c r="J138" s="32" t="n">
        <x:f>J137/(1+I138)</x:f>
        <x:v>0.4399016627135295</x:v>
      </x:c>
      <x:c r="K138" s="33" t="n">
        <x:f>IF(AND(ISNUMBER('Параметры'!$C$8),'Параметры'!$C$8&gt;=0),'Параметры'!$C$8*C138/365,NA())</x:f>
        <x:v>0.00636986301369863</x:v>
      </x:c>
      <x:c r="L138" s="32" t="n">
        <x:f>L137/(1+K138)</x:f>
        <x:v>0.4399016627135295</x:v>
      </x:c>
      <x:c r="M138" s="30" t="n">
        <x:f>E138*L138</x:f>
        <x:v>6209.497905282233</x:v>
      </x:c>
      <x:c r="N138" s="30" t="n">
        <x:f>F138*L138</x:f>
        <x:v>4802.089722646448</x:v>
      </x:c>
      <x:c r="O138" s="30" t="n">
        <x:f>G138*L138</x:f>
        <x:v>11011.58762792868</x:v>
      </x:c>
    </x:row>
    <x:row r="139" ht="21" customHeight="1">
      <x:c r="A139" s="28" t="n">
        <x:v>133</x:v>
      </x:c>
      <x:c r="B139" s="29" t="n">
        <x:v>48844</x:v>
      </x:c>
      <x:c r="C139" s="28" t="n">
        <x:f>B139-B138</x:f>
        <x:v>31</x:v>
      </x:c>
      <x:c r="D139" s="30" t="n">
        <x:f>H138</x:f>
        <x:v>2205088.93</x:v>
      </x:c>
      <x:c r="E139" s="30" t="n">
        <x:f>ROUND(D139*I139,2)</x:f>
        <x:v>14046.11</x:v>
      </x:c>
      <x:c r="F139" s="30" t="n">
        <x:f>MIN(D139,'Параметры'!$C$13)</x:f>
        <x:v>10916.28</x:v>
      </x:c>
      <x:c r="G139" s="30" t="n">
        <x:f>ROUND(E139+F139,2)</x:f>
        <x:v>24962.39</x:v>
      </x:c>
      <x:c r="H139" s="30" t="n">
        <x:f>ROUND(D139-F139,2)</x:f>
        <x:v>2194172.65</x:v>
      </x:c>
      <x:c r="I139" s="33" t="n">
        <x:f>IF(AND(ISNUMBER('Параметры'!$C$7),'Параметры'!$C$7&gt;=0),'Параметры'!$C$7*C139/365,NA())</x:f>
        <x:v>0.00636986301369863</x:v>
      </x:c>
      <x:c r="J139" s="32" t="n">
        <x:f>J138/(1+I139)</x:f>
        <x:v>0.43711728548407613</x:v>
      </x:c>
      <x:c r="K139" s="33" t="n">
        <x:f>IF(AND(ISNUMBER('Параметры'!$C$8),'Параметры'!$C$8&gt;=0),'Параметры'!$C$8*C139/365,NA())</x:f>
        <x:v>0.00636986301369863</x:v>
      </x:c>
      <x:c r="L139" s="32" t="n">
        <x:f>L138/(1+K139)</x:f>
        <x:v>0.43711728548407613</x:v>
      </x:c>
      <x:c r="M139" s="30" t="n">
        <x:f>E139*L139</x:f>
        <x:v>6139.797474810737</x:v>
      </x:c>
      <x:c r="N139" s="30" t="n">
        <x:f>F139*L139</x:f>
        <x:v>4771.694681184111</x:v>
      </x:c>
      <x:c r="O139" s="30" t="n">
        <x:f>G139*L139</x:f>
        <x:v>10911.492155994847</x:v>
      </x:c>
    </x:row>
    <x:row r="140" ht="21" customHeight="1">
      <x:c r="A140" s="28" t="n">
        <x:v>134</x:v>
      </x:c>
      <x:c r="B140" s="29" t="n">
        <x:v>48874</x:v>
      </x:c>
      <x:c r="C140" s="28" t="n">
        <x:f>B140-B139</x:f>
        <x:v>30</x:v>
      </x:c>
      <x:c r="D140" s="30" t="n">
        <x:f>H139</x:f>
        <x:v>2194172.65</x:v>
      </x:c>
      <x:c r="E140" s="30" t="n">
        <x:f>ROUND(D140*I140,2)</x:f>
        <x:v>13525.72</x:v>
      </x:c>
      <x:c r="F140" s="30" t="n">
        <x:f>MIN(D140,'Параметры'!$C$13)</x:f>
        <x:v>10916.28</x:v>
      </x:c>
      <x:c r="G140" s="30" t="n">
        <x:f>ROUND(E140+F140,2)</x:f>
        <x:v>24442</x:v>
      </x:c>
      <x:c r="H140" s="30" t="n">
        <x:f>ROUND(D140-F140,2)</x:f>
        <x:v>2183256.37</x:v>
      </x:c>
      <x:c r="I140" s="33" t="n">
        <x:f>IF(AND(ISNUMBER('Параметры'!$C$7),'Параметры'!$C$7&gt;=0),'Параметры'!$C$7*C140/365,NA())</x:f>
        <x:v>0.0061643835616438354</x:v>
      </x:c>
      <x:c r="J140" s="32" t="n">
        <x:f>J139/(1+I140)</x:f>
        <x:v>0.43443923540282586</x:v>
      </x:c>
      <x:c r="K140" s="33" t="n">
        <x:f>IF(AND(ISNUMBER('Параметры'!$C$8),'Параметры'!$C$8&gt;=0),'Параметры'!$C$8*C140/365,NA())</x:f>
        <x:v>0.0061643835616438354</x:v>
      </x:c>
      <x:c r="L140" s="32" t="n">
        <x:f>L139/(1+K140)</x:f>
        <x:v>0.43443923540282586</x:v>
      </x:c>
      <x:c r="M140" s="30" t="n">
        <x:f>E140*L140</x:f>
        <x:v>5876.10345507271</x:v>
      </x:c>
      <x:c r="N140" s="30" t="n">
        <x:f>F140*L140</x:f>
        <x:v>4742.46033664316</x:v>
      </x:c>
      <x:c r="O140" s="30" t="n">
        <x:f>G140*L140</x:f>
        <x:v>10618.56379171587</x:v>
      </x:c>
    </x:row>
    <x:row r="141" ht="21" customHeight="1">
      <x:c r="A141" s="28" t="n">
        <x:v>135</x:v>
      </x:c>
      <x:c r="B141" s="29" t="n">
        <x:v>48905</x:v>
      </x:c>
      <x:c r="C141" s="28" t="n">
        <x:f>B141-B140</x:f>
        <x:v>31</x:v>
      </x:c>
      <x:c r="D141" s="30" t="n">
        <x:f>H140</x:f>
        <x:v>2183256.37</x:v>
      </x:c>
      <x:c r="E141" s="30" t="n">
        <x:f>ROUND(D141*I141,2)</x:f>
        <x:v>13907.04</x:v>
      </x:c>
      <x:c r="F141" s="30" t="n">
        <x:f>MIN(D141,'Параметры'!$C$13)</x:f>
        <x:v>10916.28</x:v>
      </x:c>
      <x:c r="G141" s="30" t="n">
        <x:f>ROUND(E141+F141,2)</x:f>
        <x:v>24823.32</x:v>
      </x:c>
      <x:c r="H141" s="30" t="n">
        <x:f>ROUND(D141-F141,2)</x:f>
        <x:v>2172340.09</x:v>
      </x:c>
      <x:c r="I141" s="33" t="n">
        <x:f>IF(AND(ISNUMBER('Параметры'!$C$7),'Параметры'!$C$7&gt;=0),'Параметры'!$C$7*C141/365,NA())</x:f>
        <x:v>0.00636986301369863</x:v>
      </x:c>
      <x:c r="J141" s="32" t="n">
        <x:f>J140/(1+I141)</x:f>
        <x:v>0.4316894328511031</x:v>
      </x:c>
      <x:c r="K141" s="33" t="n">
        <x:f>IF(AND(ISNUMBER('Параметры'!$C$8),'Параметры'!$C$8&gt;=0),'Параметры'!$C$8*C141/365,NA())</x:f>
        <x:v>0.00636986301369863</x:v>
      </x:c>
      <x:c r="L141" s="32" t="n">
        <x:f>L140/(1+K141)</x:f>
        <x:v>0.4316894328511031</x:v>
      </x:c>
      <x:c r="M141" s="30" t="n">
        <x:f>E141*L141</x:f>
        <x:v>6003.522210237606</x:v>
      </x:c>
      <x:c r="N141" s="30" t="n">
        <x:f>F141*L141</x:f>
        <x:v>4712.44272204384</x:v>
      </x:c>
      <x:c r="O141" s="30" t="n">
        <x:f>G141*L141</x:f>
        <x:v>10715.964932281446</x:v>
      </x:c>
    </x:row>
    <x:row r="142" ht="21" customHeight="1">
      <x:c r="A142" s="28" t="n">
        <x:v>136</x:v>
      </x:c>
      <x:c r="B142" s="29" t="n">
        <x:v>48935</x:v>
      </x:c>
      <x:c r="C142" s="28" t="n">
        <x:f>B142-B141</x:f>
        <x:v>30</x:v>
      </x:c>
      <x:c r="D142" s="30" t="n">
        <x:f>H141</x:f>
        <x:v>2172340.09</x:v>
      </x:c>
      <x:c r="E142" s="30" t="n">
        <x:f>ROUND(D142*I142,2)</x:f>
        <x:v>13391.14</x:v>
      </x:c>
      <x:c r="F142" s="30" t="n">
        <x:f>MIN(D142,'Параметры'!$C$13)</x:f>
        <x:v>10916.28</x:v>
      </x:c>
      <x:c r="G142" s="30" t="n">
        <x:f>ROUND(E142+F142,2)</x:f>
        <x:v>24307.42</x:v>
      </x:c>
      <x:c r="H142" s="30" t="n">
        <x:f>ROUND(D142-F142,2)</x:f>
        <x:v>2161423.81</x:v>
      </x:c>
      <x:c r="I142" s="33" t="n">
        <x:f>IF(AND(ISNUMBER('Параметры'!$C$7),'Параметры'!$C$7&gt;=0),'Параметры'!$C$7*C142/365,NA())</x:f>
        <x:v>0.0061643835616438354</x:v>
      </x:c>
      <x:c r="J142" s="32" t="n">
        <x:f>J141/(1+I142)</x:f>
        <x:v>0.42904463714268926</x:v>
      </x:c>
      <x:c r="K142" s="33" t="n">
        <x:f>IF(AND(ISNUMBER('Параметры'!$C$8),'Параметры'!$C$8&gt;=0),'Параметры'!$C$8*C142/365,NA())</x:f>
        <x:v>0.0061643835616438354</x:v>
      </x:c>
      <x:c r="L142" s="32" t="n">
        <x:f>L141/(1+K142)</x:f>
        <x:v>0.42904463714268926</x:v>
      </x:c>
      <x:c r="M142" s="30" t="n">
        <x:f>E142*L142</x:f>
        <x:v>5745.396802226952</x:v>
      </x:c>
      <x:c r="N142" s="30" t="n">
        <x:f>F142*L142</x:f>
        <x:v>4683.571391547996</x:v>
      </x:c>
      <x:c r="O142" s="30" t="n">
        <x:f>G142*L142</x:f>
        <x:v>10428.968193774946</x:v>
      </x:c>
    </x:row>
    <x:row r="143" ht="21" customHeight="1">
      <x:c r="A143" s="28" t="n">
        <x:v>137</x:v>
      </x:c>
      <x:c r="B143" s="29" t="n">
        <x:v>48966</x:v>
      </x:c>
      <x:c r="C143" s="28" t="n">
        <x:f>B143-B142</x:f>
        <x:v>31</x:v>
      </x:c>
      <x:c r="D143" s="30" t="n">
        <x:f>H142</x:f>
        <x:v>2161423.81</x:v>
      </x:c>
      <x:c r="E143" s="30" t="n">
        <x:f>ROUND(D143*I143,2)</x:f>
        <x:v>13767.97</x:v>
      </x:c>
      <x:c r="F143" s="30" t="n">
        <x:f>MIN(D143,'Параметры'!$C$13)</x:f>
        <x:v>10916.28</x:v>
      </x:c>
      <x:c r="G143" s="30" t="n">
        <x:f>ROUND(E143+F143,2)</x:f>
        <x:v>24684.25</x:v>
      </x:c>
      <x:c r="H143" s="30" t="n">
        <x:f>ROUND(D143-F143,2)</x:f>
        <x:v>2150507.53</x:v>
      </x:c>
      <x:c r="I143" s="33" t="n">
        <x:f>IF(AND(ISNUMBER('Параметры'!$C$7),'Параметры'!$C$7&gt;=0),'Параметры'!$C$7*C143/365,NA())</x:f>
        <x:v>0.00636986301369863</x:v>
      </x:c>
      <x:c r="J143" s="32" t="n">
        <x:f>J142/(1+I143)</x:f>
        <x:v>0.42632897994169083</x:v>
      </x:c>
      <x:c r="K143" s="33" t="n">
        <x:f>IF(AND(ISNUMBER('Параметры'!$C$8),'Параметры'!$C$8&gt;=0),'Параметры'!$C$8*C143/365,NA())</x:f>
        <x:v>0.00636986301369863</x:v>
      </x:c>
      <x:c r="L143" s="32" t="n">
        <x:f>L142/(1+K143)</x:f>
        <x:v>0.42632897994169083</x:v>
      </x:c>
      <x:c r="M143" s="30" t="n">
        <x:f>E143*L143</x:f>
        <x:v>5869.684605967801</x:v>
      </x:c>
      <x:c r="N143" s="30" t="n">
        <x:f>F143*L143</x:f>
        <x:v>4653.926517157881</x:v>
      </x:c>
      <x:c r="O143" s="30" t="n">
        <x:f>G143*L143</x:f>
        <x:v>10523.611123125682</x:v>
      </x:c>
    </x:row>
    <x:row r="144" ht="21" customHeight="1">
      <x:c r="A144" s="28" t="n">
        <x:v>138</x:v>
      </x:c>
      <x:c r="B144" s="29" t="n">
        <x:v>48997</x:v>
      </x:c>
      <x:c r="C144" s="28" t="n">
        <x:f>B144-B143</x:f>
        <x:v>31</x:v>
      </x:c>
      <x:c r="D144" s="30" t="n">
        <x:f>H143</x:f>
        <x:v>2150507.53</x:v>
      </x:c>
      <x:c r="E144" s="30" t="n">
        <x:f>ROUND(D144*I144,2)</x:f>
        <x:v>13698.44</x:v>
      </x:c>
      <x:c r="F144" s="30" t="n">
        <x:f>MIN(D144,'Параметры'!$C$13)</x:f>
        <x:v>10916.28</x:v>
      </x:c>
      <x:c r="G144" s="30" t="n">
        <x:f>ROUND(E144+F144,2)</x:f>
        <x:v>24614.72</x:v>
      </x:c>
      <x:c r="H144" s="30" t="n">
        <x:f>ROUND(D144-F144,2)</x:f>
        <x:v>2139591.25</x:v>
      </x:c>
      <x:c r="I144" s="33" t="n">
        <x:f>IF(AND(ISNUMBER('Параметры'!$C$7),'Параметры'!$C$7&gt;=0),'Параметры'!$C$7*C144/365,NA())</x:f>
        <x:v>0.00636986301369863</x:v>
      </x:c>
      <x:c r="J144" s="32" t="n">
        <x:f>J143/(1+I144)</x:f>
        <x:v>0.4236305116142848</x:v>
      </x:c>
      <x:c r="K144" s="33" t="n">
        <x:f>IF(AND(ISNUMBER('Параметры'!$C$8),'Параметры'!$C$8&gt;=0),'Параметры'!$C$8*C144/365,NA())</x:f>
        <x:v>0.00636986301369863</x:v>
      </x:c>
      <x:c r="L144" s="32" t="n">
        <x:f>L143/(1+K144)</x:f>
        <x:v>0.4236305116142848</x:v>
      </x:c>
      <x:c r="M144" s="30" t="n">
        <x:f>E144*L144</x:f>
        <x:v>5803.077145517584</x:v>
      </x:c>
      <x:c r="N144" s="30" t="n">
        <x:f>F144*L144</x:f>
        <x:v>4624.469281324785</x:v>
      </x:c>
      <x:c r="O144" s="30" t="n">
        <x:f>G144*L144</x:f>
        <x:v>10427.546426842368</x:v>
      </x:c>
    </x:row>
    <x:row r="145" ht="21" customHeight="1">
      <x:c r="A145" s="28" t="n">
        <x:v>139</x:v>
      </x:c>
      <x:c r="B145" s="29" t="n">
        <x:v>49025</x:v>
      </x:c>
      <x:c r="C145" s="28" t="n">
        <x:f>B145-B144</x:f>
        <x:v>28</x:v>
      </x:c>
      <x:c r="D145" s="30" t="n">
        <x:f>H144</x:f>
        <x:v>2139591.25</x:v>
      </x:c>
      <x:c r="E145" s="30" t="n">
        <x:f>ROUND(D145*I145,2)</x:f>
        <x:v>12309.98</x:v>
      </x:c>
      <x:c r="F145" s="30" t="n">
        <x:f>MIN(D145,'Параметры'!$C$13)</x:f>
        <x:v>10916.28</x:v>
      </x:c>
      <x:c r="G145" s="30" t="n">
        <x:f>ROUND(E145+F145,2)</x:f>
        <x:v>23226.26</x:v>
      </x:c>
      <x:c r="H145" s="30" t="n">
        <x:f>ROUND(D145-F145,2)</x:f>
        <x:v>2128674.97</x:v>
      </x:c>
      <x:c r="I145" s="33" t="n">
        <x:f>IF(AND(ISNUMBER('Параметры'!$C$7),'Параметры'!$C$7&gt;=0),'Параметры'!$C$7*C145/365,NA())</x:f>
        <x:v>0.005753424657534247</x:v>
      </x:c>
      <x:c r="J145" s="32" t="n">
        <x:f>J144/(1+I145)</x:f>
        <x:v>0.4212071281373303</x:v>
      </x:c>
      <x:c r="K145" s="33" t="n">
        <x:f>IF(AND(ISNUMBER('Параметры'!$C$8),'Параметры'!$C$8&gt;=0),'Параметры'!$C$8*C145/365,NA())</x:f>
        <x:v>0.005753424657534247</x:v>
      </x:c>
      <x:c r="L145" s="32" t="n">
        <x:f>L144/(1+K145)</x:f>
        <x:v>0.4212071281373303</x:v>
      </x:c>
      <x:c r="M145" s="30" t="n">
        <x:f>E145*L145</x:f>
        <x:v>5185.051323227973</x:v>
      </x:c>
      <x:c r="N145" s="30" t="n">
        <x:f>F145*L145</x:f>
        <x:v>4598.014948742976</x:v>
      </x:c>
      <x:c r="O145" s="30" t="n">
        <x:f>G145*L145</x:f>
        <x:v>9783.066271970949</x:v>
      </x:c>
    </x:row>
    <x:row r="146" ht="21" customHeight="1">
      <x:c r="A146" s="28" t="n">
        <x:v>140</x:v>
      </x:c>
      <x:c r="B146" s="29" t="n">
        <x:v>49056</x:v>
      </x:c>
      <x:c r="C146" s="28" t="n">
        <x:f>B146-B145</x:f>
        <x:v>31</x:v>
      </x:c>
      <x:c r="D146" s="30" t="n">
        <x:f>H145</x:f>
        <x:v>2128674.97</x:v>
      </x:c>
      <x:c r="E146" s="30" t="n">
        <x:f>ROUND(D146*I146,2)</x:f>
        <x:v>13559.37</x:v>
      </x:c>
      <x:c r="F146" s="30" t="n">
        <x:f>MIN(D146,'Параметры'!$C$13)</x:f>
        <x:v>10916.28</x:v>
      </x:c>
      <x:c r="G146" s="30" t="n">
        <x:f>ROUND(E146+F146,2)</x:f>
        <x:v>24475.65</x:v>
      </x:c>
      <x:c r="H146" s="30" t="n">
        <x:f>ROUND(D146-F146,2)</x:f>
        <x:v>2117758.69</x:v>
      </x:c>
      <x:c r="I146" s="33" t="n">
        <x:f>IF(AND(ISNUMBER('Параметры'!$C$7),'Параметры'!$C$7&gt;=0),'Параметры'!$C$7*C146/365,NA())</x:f>
        <x:v>0.00636986301369863</x:v>
      </x:c>
      <x:c r="J146" s="32" t="n">
        <x:f>J145/(1+I146)</x:f>
        <x:v>0.41854107879977015</x:v>
      </x:c>
      <x:c r="K146" s="33" t="n">
        <x:f>IF(AND(ISNUMBER('Параметры'!$C$8),'Параметры'!$C$8&gt;=0),'Параметры'!$C$8*C146/365,NA())</x:f>
        <x:v>0.00636986301369863</x:v>
      </x:c>
      <x:c r="L146" s="32" t="n">
        <x:f>L145/(1+K146)</x:f>
        <x:v>0.41854107879977015</x:v>
      </x:c>
      <x:c r="M146" s="30" t="n">
        <x:f>E146*L146</x:f>
        <x:v>5675.15334764524</x:v>
      </x:c>
      <x:c r="N146" s="30" t="n">
        <x:f>F146*L146</x:f>
        <x:v>4568.911607680355</x:v>
      </x:c>
      <x:c r="O146" s="30" t="n">
        <x:f>G146*L146</x:f>
        <x:v>10244.064955325595</x:v>
      </x:c>
    </x:row>
    <x:row r="147" ht="21" customHeight="1">
      <x:c r="A147" s="28" t="n">
        <x:v>141</x:v>
      </x:c>
      <x:c r="B147" s="29" t="n">
        <x:v>49086</x:v>
      </x:c>
      <x:c r="C147" s="28" t="n">
        <x:f>B147-B146</x:f>
        <x:v>30</x:v>
      </x:c>
      <x:c r="D147" s="30" t="n">
        <x:f>H146</x:f>
        <x:v>2117758.69</x:v>
      </x:c>
      <x:c r="E147" s="30" t="n">
        <x:f>ROUND(D147*I147,2)</x:f>
        <x:v>13054.68</x:v>
      </x:c>
      <x:c r="F147" s="30" t="n">
        <x:f>MIN(D147,'Параметры'!$C$13)</x:f>
        <x:v>10916.28</x:v>
      </x:c>
      <x:c r="G147" s="30" t="n">
        <x:f>ROUND(E147+F147,2)</x:f>
        <x:v>23970.96</x:v>
      </x:c>
      <x:c r="H147" s="30" t="n">
        <x:f>ROUND(D147-F147,2)</x:f>
        <x:v>2106842.41</x:v>
      </x:c>
      <x:c r="I147" s="33" t="n">
        <x:f>IF(AND(ISNUMBER('Параметры'!$C$7),'Параметры'!$C$7&gt;=0),'Параметры'!$C$7*C147/365,NA())</x:f>
        <x:v>0.0061643835616438354</x:v>
      </x:c>
      <x:c r="J147" s="32" t="n">
        <x:f>J146/(1+I147)</x:f>
        <x:v>0.41597683801747065</x:v>
      </x:c>
      <x:c r="K147" s="33" t="n">
        <x:f>IF(AND(ISNUMBER('Параметры'!$C$8),'Параметры'!$C$8&gt;=0),'Параметры'!$C$8*C147/365,NA())</x:f>
        <x:v>0.0061643835616438354</x:v>
      </x:c>
      <x:c r="L147" s="32" t="n">
        <x:f>L146/(1+K147)</x:f>
        <x:v>0.41597683801747065</x:v>
      </x:c>
      <x:c r="M147" s="30" t="n">
        <x:f>E147*L147</x:f>
        <x:v>5430.444507729914</x:v>
      </x:c>
      <x:c r="N147" s="30" t="n">
        <x:f>F147*L147</x:f>
        <x:v>4540.9196373133545</x:v>
      </x:c>
      <x:c r="O147" s="30" t="n">
        <x:f>G147*L147</x:f>
        <x:v>9971.364145043268</x:v>
      </x:c>
    </x:row>
    <x:row r="148" ht="21" customHeight="1">
      <x:c r="A148" s="28" t="n">
        <x:v>142</x:v>
      </x:c>
      <x:c r="B148" s="29" t="n">
        <x:v>49117</x:v>
      </x:c>
      <x:c r="C148" s="28" t="n">
        <x:f>B148-B147</x:f>
        <x:v>31</x:v>
      </x:c>
      <x:c r="D148" s="30" t="n">
        <x:f>H147</x:f>
        <x:v>2106842.41</x:v>
      </x:c>
      <x:c r="E148" s="30" t="n">
        <x:f>ROUND(D148*I148,2)</x:f>
        <x:v>13420.3</x:v>
      </x:c>
      <x:c r="F148" s="30" t="n">
        <x:f>MIN(D148,'Параметры'!$C$13)</x:f>
        <x:v>10916.28</x:v>
      </x:c>
      <x:c r="G148" s="30" t="n">
        <x:f>ROUND(E148+F148,2)</x:f>
        <x:v>24336.58</x:v>
      </x:c>
      <x:c r="H148" s="30" t="n">
        <x:f>ROUND(D148-F148,2)</x:f>
        <x:v>2095926.13</x:v>
      </x:c>
      <x:c r="I148" s="33" t="n">
        <x:f>IF(AND(ISNUMBER('Параметры'!$C$7),'Параметры'!$C$7&gt;=0),'Параметры'!$C$7*C148/365,NA())</x:f>
        <x:v>0.00636986301369863</x:v>
      </x:c>
      <x:c r="J148" s="32" t="n">
        <x:f>J147/(1+I148)</x:f>
        <x:v>0.4133438940349195</x:v>
      </x:c>
      <x:c r="K148" s="33" t="n">
        <x:f>IF(AND(ISNUMBER('Параметры'!$C$8),'Параметры'!$C$8&gt;=0),'Параметры'!$C$8*C148/365,NA())</x:f>
        <x:v>0.00636986301369863</x:v>
      </x:c>
      <x:c r="L148" s="32" t="n">
        <x:f>L147/(1+K148)</x:f>
        <x:v>0.4133438940349195</x:v>
      </x:c>
      <x:c r="M148" s="30" t="n">
        <x:f>E148*L148</x:f>
        <x:v>5547.19906111683</x:v>
      </x:c>
      <x:c r="N148" s="30" t="n">
        <x:f>F148*L148</x:f>
        <x:v>4512.177683575512</x:v>
      </x:c>
      <x:c r="O148" s="30" t="n">
        <x:f>G148*L148</x:f>
        <x:v>10059.376744692341</x:v>
      </x:c>
    </x:row>
    <x:row r="149" ht="21" customHeight="1">
      <x:c r="A149" s="28" t="n">
        <x:v>143</x:v>
      </x:c>
      <x:c r="B149" s="29" t="n">
        <x:v>49147</x:v>
      </x:c>
      <x:c r="C149" s="28" t="n">
        <x:f>B149-B148</x:f>
        <x:v>30</x:v>
      </x:c>
      <x:c r="D149" s="30" t="n">
        <x:f>H148</x:f>
        <x:v>2095926.13</x:v>
      </x:c>
      <x:c r="E149" s="30" t="n">
        <x:f>ROUND(D149*I149,2)</x:f>
        <x:v>12920.09</x:v>
      </x:c>
      <x:c r="F149" s="30" t="n">
        <x:f>MIN(D149,'Параметры'!$C$13)</x:f>
        <x:v>10916.28</x:v>
      </x:c>
      <x:c r="G149" s="30" t="n">
        <x:f>ROUND(E149+F149,2)</x:f>
        <x:v>23836.37</x:v>
      </x:c>
      <x:c r="H149" s="30" t="n">
        <x:f>ROUND(D149-F149,2)</x:f>
        <x:v>2085009.85</x:v>
      </x:c>
      <x:c r="I149" s="33" t="n">
        <x:f>IF(AND(ISNUMBER('Параметры'!$C$7),'Параметры'!$C$7&gt;=0),'Параметры'!$C$7*C149/365,NA())</x:f>
        <x:v>0.0061643835616438354</x:v>
      </x:c>
      <x:c r="J149" s="32" t="n">
        <x:f>J148/(1+I149)</x:f>
        <x:v>0.41081149441183284</x:v>
      </x:c>
      <x:c r="K149" s="33" t="n">
        <x:f>IF(AND(ISNUMBER('Параметры'!$C$8),'Параметры'!$C$8&gt;=0),'Параметры'!$C$8*C149/365,NA())</x:f>
        <x:v>0.0061643835616438354</x:v>
      </x:c>
      <x:c r="L149" s="32" t="n">
        <x:f>L148/(1+K149)</x:f>
        <x:v>0.41081149441183284</x:v>
      </x:c>
      <x:c r="M149" s="30" t="n">
        <x:f>E149*L149</x:f>
        <x:v>5307.721480835377</x:v>
      </x:c>
      <x:c r="N149" s="30" t="n">
        <x:f>F149*L149</x:f>
        <x:v>4484.533300218003</x:v>
      </x:c>
      <x:c r="O149" s="30" t="n">
        <x:f>G149*L149</x:f>
        <x:v>9792.25478105338</x:v>
      </x:c>
    </x:row>
    <x:row r="150" ht="21" customHeight="1">
      <x:c r="A150" s="28" t="n">
        <x:v>144</x:v>
      </x:c>
      <x:c r="B150" s="29" t="n">
        <x:v>49178</x:v>
      </x:c>
      <x:c r="C150" s="28" t="n">
        <x:f>B150-B149</x:f>
        <x:v>31</x:v>
      </x:c>
      <x:c r="D150" s="30" t="n">
        <x:f>H149</x:f>
        <x:v>2085009.85</x:v>
      </x:c>
      <x:c r="E150" s="30" t="n">
        <x:f>ROUND(D150*I150,2)</x:f>
        <x:v>13281.23</x:v>
      </x:c>
      <x:c r="F150" s="30" t="n">
        <x:f>MIN(D150,'Параметры'!$C$13)</x:f>
        <x:v>10916.28</x:v>
      </x:c>
      <x:c r="G150" s="30" t="n">
        <x:f>ROUND(E150+F150,2)</x:f>
        <x:v>24197.51</x:v>
      </x:c>
      <x:c r="H150" s="30" t="n">
        <x:f>ROUND(D150-F150,2)</x:f>
        <x:v>2074093.57</x:v>
      </x:c>
      <x:c r="I150" s="33" t="n">
        <x:f>IF(AND(ISNUMBER('Параметры'!$C$7),'Параметры'!$C$7&gt;=0),'Параметры'!$C$7*C150/365,NA())</x:f>
        <x:v>0.00636986301369863</x:v>
      </x:c>
      <x:c r="J150" s="32" t="n">
        <x:f>J149/(1+I150)</x:f>
        <x:v>0.408211244702427</x:v>
      </x:c>
      <x:c r="K150" s="33" t="n">
        <x:f>IF(AND(ISNUMBER('Параметры'!$C$8),'Параметры'!$C$8&gt;=0),'Параметры'!$C$8*C150/365,NA())</x:f>
        <x:v>0.00636986301369863</x:v>
      </x:c>
      <x:c r="L150" s="32" t="n">
        <x:f>L149/(1+K150)</x:f>
        <x:v>0.408211244702427</x:v>
      </x:c>
      <x:c r="M150" s="30" t="n">
        <x:f>E150*L150</x:f>
        <x:v>5421.547429479214</x:v>
      </x:c>
      <x:c r="N150" s="30" t="n">
        <x:f>F150*L150</x:f>
        <x:v>4456.14824632021</x:v>
      </x:c>
      <x:c r="O150" s="30" t="n">
        <x:f>G150*L150</x:f>
        <x:v>9877.695675799423</x:v>
      </x:c>
    </x:row>
    <x:row r="151" ht="21" customHeight="1">
      <x:c r="A151" s="28" t="n">
        <x:v>145</x:v>
      </x:c>
      <x:c r="B151" s="29" t="n">
        <x:v>49209</x:v>
      </x:c>
      <x:c r="C151" s="28" t="n">
        <x:f>B151-B150</x:f>
        <x:v>31</x:v>
      </x:c>
      <x:c r="D151" s="30" t="n">
        <x:f>H150</x:f>
        <x:v>2074093.57</x:v>
      </x:c>
      <x:c r="E151" s="30" t="n">
        <x:f>ROUND(D151*I151,2)</x:f>
        <x:v>13211.69</x:v>
      </x:c>
      <x:c r="F151" s="30" t="n">
        <x:f>MIN(D151,'Параметры'!$C$13)</x:f>
        <x:v>10916.28</x:v>
      </x:c>
      <x:c r="G151" s="30" t="n">
        <x:f>ROUND(E151+F151,2)</x:f>
        <x:v>24127.97</x:v>
      </x:c>
      <x:c r="H151" s="30" t="n">
        <x:f>ROUND(D151-F151,2)</x:f>
        <x:v>2063177.29</x:v>
      </x:c>
      <x:c r="I151" s="33" t="n">
        <x:f>IF(AND(ISNUMBER('Параметры'!$C$7),'Параметры'!$C$7&gt;=0),'Параметры'!$C$7*C151/365,NA())</x:f>
        <x:v>0.00636986301369863</x:v>
      </x:c>
      <x:c r="J151" s="32" t="n">
        <x:f>J150/(1+I151)</x:f>
        <x:v>0.40562745338973893</x:v>
      </x:c>
      <x:c r="K151" s="33" t="n">
        <x:f>IF(AND(ISNUMBER('Параметры'!$C$8),'Параметры'!$C$8&gt;=0),'Параметры'!$C$8*C151/365,NA())</x:f>
        <x:v>0.00636986301369863</x:v>
      </x:c>
      <x:c r="L151" s="32" t="n">
        <x:f>L150/(1+K151)</x:f>
        <x:v>0.40562745338973893</x:v>
      </x:c>
      <x:c r="M151" s="30" t="n">
        <x:f>E151*L151</x:f>
        <x:v>5359.02416967468</x:v>
      </x:c>
      <x:c r="N151" s="30" t="n">
        <x:f>F151*L151</x:f>
        <x:v>4427.94285688934</x:v>
      </x:c>
      <x:c r="O151" s="30" t="n">
        <x:f>G151*L151</x:f>
        <x:v>9786.96702656402</x:v>
      </x:c>
    </x:row>
    <x:row r="152" ht="21" customHeight="1">
      <x:c r="A152" s="28" t="n">
        <x:v>146</x:v>
      </x:c>
      <x:c r="B152" s="29" t="n">
        <x:v>49239</x:v>
      </x:c>
      <x:c r="C152" s="28" t="n">
        <x:f>B152-B151</x:f>
        <x:v>30</x:v>
      </x:c>
      <x:c r="D152" s="30" t="n">
        <x:f>H151</x:f>
        <x:v>2063177.29</x:v>
      </x:c>
      <x:c r="E152" s="30" t="n">
        <x:f>ROUND(D152*I152,2)</x:f>
        <x:v>12718.22</x:v>
      </x:c>
      <x:c r="F152" s="30" t="n">
        <x:f>MIN(D152,'Параметры'!$C$13)</x:f>
        <x:v>10916.28</x:v>
      </x:c>
      <x:c r="G152" s="30" t="n">
        <x:f>ROUND(E152+F152,2)</x:f>
        <x:v>23634.5</x:v>
      </x:c>
      <x:c r="H152" s="30" t="n">
        <x:f>ROUND(D152-F152,2)</x:f>
        <x:v>2052261.01</x:v>
      </x:c>
      <x:c r="I152" s="33" t="n">
        <x:f>IF(AND(ISNUMBER('Параметры'!$C$7),'Параметры'!$C$7&gt;=0),'Параметры'!$C$7*C152/365,NA())</x:f>
        <x:v>0.0061643835616438354</x:v>
      </x:c>
      <x:c r="J152" s="32" t="n">
        <x:f>J151/(1+I152)</x:f>
        <x:v>0.4031423294411292</x:v>
      </x:c>
      <x:c r="K152" s="33" t="n">
        <x:f>IF(AND(ISNUMBER('Параметры'!$C$8),'Параметры'!$C$8&gt;=0),'Параметры'!$C$8*C152/365,NA())</x:f>
        <x:v>0.0061643835616438354</x:v>
      </x:c>
      <x:c r="L152" s="32" t="n">
        <x:f>L151/(1+K152)</x:f>
        <x:v>0.4031423294411292</x:v>
      </x:c>
      <x:c r="M152" s="30" t="n">
        <x:f>E152*L152</x:f>
        <x:v>5127.252837144758</x:v>
      </x:c>
      <x:c r="N152" s="30" t="n">
        <x:f>F152*L152</x:f>
        <x:v>4400.814548031611</x:v>
      </x:c>
      <x:c r="O152" s="30" t="n">
        <x:f>G152*L152</x:f>
        <x:v>9528.067385176368</x:v>
      </x:c>
    </x:row>
    <x:row r="153" ht="21" customHeight="1">
      <x:c r="A153" s="28" t="n">
        <x:v>147</x:v>
      </x:c>
      <x:c r="B153" s="29" t="n">
        <x:v>49270</x:v>
      </x:c>
      <x:c r="C153" s="28" t="n">
        <x:f>B153-B152</x:f>
        <x:v>31</x:v>
      </x:c>
      <x:c r="D153" s="30" t="n">
        <x:f>H152</x:f>
        <x:v>2052261.01</x:v>
      </x:c>
      <x:c r="E153" s="30" t="n">
        <x:f>ROUND(D153*I153,2)</x:f>
        <x:v>13072.62</x:v>
      </x:c>
      <x:c r="F153" s="30" t="n">
        <x:f>MIN(D153,'Параметры'!$C$13)</x:f>
        <x:v>10916.28</x:v>
      </x:c>
      <x:c r="G153" s="30" t="n">
        <x:f>ROUND(E153+F153,2)</x:f>
        <x:v>23988.9</x:v>
      </x:c>
      <x:c r="H153" s="30" t="n">
        <x:f>ROUND(D153-F153,2)</x:f>
        <x:v>2041344.73</x:v>
      </x:c>
      <x:c r="I153" s="33" t="n">
        <x:f>IF(AND(ISNUMBER('Параметры'!$C$7),'Параметры'!$C$7&gt;=0),'Параметры'!$C$7*C153/365,NA())</x:f>
        <x:v>0.00636986301369863</x:v>
      </x:c>
      <x:c r="J153" s="32" t="n">
        <x:f>J152/(1+I153)</x:f>
        <x:v>0.4005906220540725</x:v>
      </x:c>
      <x:c r="K153" s="33" t="n">
        <x:f>IF(AND(ISNUMBER('Параметры'!$C$8),'Параметры'!$C$8&gt;=0),'Параметры'!$C$8*C153/365,NA())</x:f>
        <x:v>0.00636986301369863</x:v>
      </x:c>
      <x:c r="L153" s="32" t="n">
        <x:f>L152/(1+K153)</x:f>
        <x:v>0.4005906220540725</x:v>
      </x:c>
      <x:c r="M153" s="30" t="n">
        <x:f>E153*L153</x:f>
        <x:v>5236.768977676509</x:v>
      </x:c>
      <x:c r="N153" s="30" t="n">
        <x:f>F153*L153</x:f>
        <x:v>4372.959395716431</x:v>
      </x:c>
      <x:c r="O153" s="30" t="n">
        <x:f>G153*L153</x:f>
        <x:v>9609.72837339294</x:v>
      </x:c>
    </x:row>
    <x:row r="154" ht="21" customHeight="1">
      <x:c r="A154" s="28" t="n">
        <x:v>148</x:v>
      </x:c>
      <x:c r="B154" s="29" t="n">
        <x:v>49300</x:v>
      </x:c>
      <x:c r="C154" s="28" t="n">
        <x:f>B154-B153</x:f>
        <x:v>30</x:v>
      </x:c>
      <x:c r="D154" s="30" t="n">
        <x:f>H153</x:f>
        <x:v>2041344.73</x:v>
      </x:c>
      <x:c r="E154" s="30" t="n">
        <x:f>ROUND(D154*I154,2)</x:f>
        <x:v>12583.63</x:v>
      </x:c>
      <x:c r="F154" s="30" t="n">
        <x:f>MIN(D154,'Параметры'!$C$13)</x:f>
        <x:v>10916.28</x:v>
      </x:c>
      <x:c r="G154" s="30" t="n">
        <x:f>ROUND(E154+F154,2)</x:f>
        <x:v>23499.91</x:v>
      </x:c>
      <x:c r="H154" s="30" t="n">
        <x:f>ROUND(D154-F154,2)</x:f>
        <x:v>2030428.45</x:v>
      </x:c>
      <x:c r="I154" s="33" t="n">
        <x:f>IF(AND(ISNUMBER('Параметры'!$C$7),'Параметры'!$C$7&gt;=0),'Параметры'!$C$7*C154/365,NA())</x:f>
        <x:v>0.0061643835616438354</x:v>
      </x:c>
      <x:c r="J154" s="32" t="n">
        <x:f>J153/(1+I154)</x:f>
        <x:v>0.39813635684067106</x:v>
      </x:c>
      <x:c r="K154" s="33" t="n">
        <x:f>IF(AND(ISNUMBER('Параметры'!$C$8),'Параметры'!$C$8&gt;=0),'Параметры'!$C$8*C154/365,NA())</x:f>
        <x:v>0.0061643835616438354</x:v>
      </x:c>
      <x:c r="L154" s="32" t="n">
        <x:f>L153/(1+K154)</x:f>
        <x:v>0.39813635684067106</x:v>
      </x:c>
      <x:c r="M154" s="30" t="n">
        <x:f>E154*L154</x:f>
        <x:v>5010.000604030974</x:v>
      </x:c>
      <x:c r="N154" s="30" t="n">
        <x:f>F154*L154</x:f>
        <x:v>4346.167949452681</x:v>
      </x:c>
      <x:c r="O154" s="30" t="n">
        <x:f>G154*L154</x:f>
        <x:v>9356.168553483654</x:v>
      </x:c>
    </x:row>
    <x:row r="155" ht="21" customHeight="1">
      <x:c r="A155" s="28" t="n">
        <x:v>149</x:v>
      </x:c>
      <x:c r="B155" s="29" t="n">
        <x:v>49331</x:v>
      </x:c>
      <x:c r="C155" s="28" t="n">
        <x:f>B155-B154</x:f>
        <x:v>31</x:v>
      </x:c>
      <x:c r="D155" s="30" t="n">
        <x:f>H154</x:f>
        <x:v>2030428.45</x:v>
      </x:c>
      <x:c r="E155" s="30" t="n">
        <x:f>ROUND(D155*I155,2)</x:f>
        <x:v>12933.55</x:v>
      </x:c>
      <x:c r="F155" s="30" t="n">
        <x:f>MIN(D155,'Параметры'!$C$13)</x:f>
        <x:v>10916.28</x:v>
      </x:c>
      <x:c r="G155" s="30" t="n">
        <x:f>ROUND(E155+F155,2)</x:f>
        <x:v>23849.83</x:v>
      </x:c>
      <x:c r="H155" s="30" t="n">
        <x:f>ROUND(D155-F155,2)</x:f>
        <x:v>2019512.17</x:v>
      </x:c>
      <x:c r="I155" s="33" t="n">
        <x:f>IF(AND(ISNUMBER('Параметры'!$C$7),'Параметры'!$C$7&gt;=0),'Параметры'!$C$7*C155/365,NA())</x:f>
        <x:v>0.00636986301369863</x:v>
      </x:c>
      <x:c r="J155" s="32" t="n">
        <x:f>J154/(1+I155)</x:f>
        <x:v>0.39561633498086146</x:v>
      </x:c>
      <x:c r="K155" s="33" t="n">
        <x:f>IF(AND(ISNUMBER('Параметры'!$C$8),'Параметры'!$C$8&gt;=0),'Параметры'!$C$8*C155/365,NA())</x:f>
        <x:v>0.00636986301369863</x:v>
      </x:c>
      <x:c r="L155" s="32" t="n">
        <x:f>L154/(1+K155)</x:f>
        <x:v>0.39561633498086146</x:v>
      </x:c>
      <x:c r="M155" s="30" t="n">
        <x:f>E155*L155</x:f>
        <x:v>5116.723649291721</x:v>
      </x:c>
      <x:c r="N155" s="30" t="n">
        <x:f>F155*L155</x:f>
        <x:v>4318.658685224878</x:v>
      </x:c>
      <x:c r="O155" s="30" t="n">
        <x:f>G155*L155</x:f>
        <x:v>9435.3823345166</x:v>
      </x:c>
    </x:row>
    <x:row r="156" ht="21" customHeight="1">
      <x:c r="A156" s="28" t="n">
        <x:v>150</x:v>
      </x:c>
      <x:c r="B156" s="29" t="n">
        <x:v>49362</x:v>
      </x:c>
      <x:c r="C156" s="28" t="n">
        <x:f>B156-B155</x:f>
        <x:v>31</x:v>
      </x:c>
      <x:c r="D156" s="30" t="n">
        <x:f>H155</x:f>
        <x:v>2019512.17</x:v>
      </x:c>
      <x:c r="E156" s="30" t="n">
        <x:f>ROUND(D156*I156,2)</x:f>
        <x:v>12864.02</x:v>
      </x:c>
      <x:c r="F156" s="30" t="n">
        <x:f>MIN(D156,'Параметры'!$C$13)</x:f>
        <x:v>10916.28</x:v>
      </x:c>
      <x:c r="G156" s="30" t="n">
        <x:f>ROUND(E156+F156,2)</x:f>
        <x:v>23780.3</x:v>
      </x:c>
      <x:c r="H156" s="30" t="n">
        <x:f>ROUND(D156-F156,2)</x:f>
        <x:v>2008595.89</x:v>
      </x:c>
      <x:c r="I156" s="33" t="n">
        <x:f>IF(AND(ISNUMBER('Параметры'!$C$7),'Параметры'!$C$7&gt;=0),'Параметры'!$C$7*C156/365,NA())</x:f>
        <x:v>0.00636986301369863</x:v>
      </x:c>
      <x:c r="J156" s="32" t="n">
        <x:f>J155/(1+I156)</x:f>
        <x:v>0.393112263712011</x:v>
      </x:c>
      <x:c r="K156" s="33" t="n">
        <x:f>IF(AND(ISNUMBER('Параметры'!$C$8),'Параметры'!$C$8&gt;=0),'Параметры'!$C$8*C156/365,NA())</x:f>
        <x:v>0.00636986301369863</x:v>
      </x:c>
      <x:c r="L156" s="32" t="n">
        <x:f>L155/(1+K156)</x:f>
        <x:v>0.393112263712011</x:v>
      </x:c>
      <x:c r="M156" s="30" t="n">
        <x:f>E156*L156</x:f>
        <x:v>5057.0040226365845</x:v>
      </x:c>
      <x:c r="N156" s="30" t="n">
        <x:f>F156*L156</x:f>
        <x:v>4291.323542114152</x:v>
      </x:c>
      <x:c r="O156" s="30" t="n">
        <x:f>G156*L156</x:f>
        <x:v>9348.327564750736</x:v>
      </x:c>
    </x:row>
    <x:row r="157" ht="21" customHeight="1">
      <x:c r="A157" s="28" t="n">
        <x:v>151</x:v>
      </x:c>
      <x:c r="B157" s="29" t="n">
        <x:v>49390</x:v>
      </x:c>
      <x:c r="C157" s="28" t="n">
        <x:f>B157-B156</x:f>
        <x:v>28</x:v>
      </x:c>
      <x:c r="D157" s="30" t="n">
        <x:f>H156</x:f>
        <x:v>2008595.89</x:v>
      </x:c>
      <x:c r="E157" s="30" t="n">
        <x:f>ROUND(D157*I157,2)</x:f>
        <x:v>11556.31</x:v>
      </x:c>
      <x:c r="F157" s="30" t="n">
        <x:f>MIN(D157,'Параметры'!$C$13)</x:f>
        <x:v>10916.28</x:v>
      </x:c>
      <x:c r="G157" s="30" t="n">
        <x:f>ROUND(E157+F157,2)</x:f>
        <x:v>22472.59</x:v>
      </x:c>
      <x:c r="H157" s="30" t="n">
        <x:f>ROUND(D157-F157,2)</x:f>
        <x:v>1997679.61</x:v>
      </x:c>
      <x:c r="I157" s="33" t="n">
        <x:f>IF(AND(ISNUMBER('Параметры'!$C$7),'Параметры'!$C$7&gt;=0),'Параметры'!$C$7*C157/365,NA())</x:f>
        <x:v>0.005753424657534247</x:v>
      </x:c>
      <x:c r="J157" s="32" t="n">
        <x:f>J156/(1+I157)</x:f>
        <x:v>0.39086346024212487</x:v>
      </x:c>
      <x:c r="K157" s="33" t="n">
        <x:f>IF(AND(ISNUMBER('Параметры'!$C$8),'Параметры'!$C$8&gt;=0),'Параметры'!$C$8*C157/365,NA())</x:f>
        <x:v>0.005753424657534247</x:v>
      </x:c>
      <x:c r="L157" s="32" t="n">
        <x:f>L156/(1+K157)</x:f>
        <x:v>0.39086346024212487</x:v>
      </x:c>
      <x:c r="M157" s="30" t="n">
        <x:f>E157*L157</x:f>
        <x:v>4516.93931423067</x:v>
      </x:c>
      <x:c r="N157" s="30" t="n">
        <x:f>F157*L157</x:f>
        <x:v>4266.774973771903</x:v>
      </x:c>
      <x:c r="O157" s="30" t="n">
        <x:f>G157*L157</x:f>
        <x:v>8783.714288002573</x:v>
      </x:c>
    </x:row>
    <x:row r="158" ht="21" customHeight="1">
      <x:c r="A158" s="28" t="n">
        <x:v>152</x:v>
      </x:c>
      <x:c r="B158" s="29" t="n">
        <x:v>49421</x:v>
      </x:c>
      <x:c r="C158" s="28" t="n">
        <x:f>B158-B157</x:f>
        <x:v>31</x:v>
      </x:c>
      <x:c r="D158" s="30" t="n">
        <x:f>H157</x:f>
        <x:v>1997679.61</x:v>
      </x:c>
      <x:c r="E158" s="30" t="n">
        <x:f>ROUND(D158*I158,2)</x:f>
        <x:v>12724.95</x:v>
      </x:c>
      <x:c r="F158" s="30" t="n">
        <x:f>MIN(D158,'Параметры'!$C$13)</x:f>
        <x:v>10916.28</x:v>
      </x:c>
      <x:c r="G158" s="30" t="n">
        <x:f>ROUND(E158+F158,2)</x:f>
        <x:v>23641.23</x:v>
      </x:c>
      <x:c r="H158" s="30" t="n">
        <x:f>ROUND(D158-F158,2)</x:f>
        <x:v>1986763.33</x:v>
      </x:c>
      <x:c r="I158" s="33" t="n">
        <x:f>IF(AND(ISNUMBER('Параметры'!$C$7),'Параметры'!$C$7&gt;=0),'Параметры'!$C$7*C158/365,NA())</x:f>
        <x:v>0.00636986301369863</x:v>
      </x:c>
      <x:c r="J158" s="32" t="n">
        <x:f>J157/(1+I158)</x:f>
        <x:v>0.38838947250629713</x:v>
      </x:c>
      <x:c r="K158" s="33" t="n">
        <x:f>IF(AND(ISNUMBER('Параметры'!$C$8),'Параметры'!$C$8&gt;=0),'Параметры'!$C$8*C158/365,NA())</x:f>
        <x:v>0.00636986301369863</x:v>
      </x:c>
      <x:c r="L158" s="32" t="n">
        <x:f>L157/(1+K158)</x:f>
        <x:v>0.38838947250629713</x:v>
      </x:c>
      <x:c r="M158" s="30" t="n">
        <x:f>E158*L158</x:f>
        <x:v>4942.236618169006</x:v>
      </x:c>
      <x:c r="N158" s="30" t="n">
        <x:f>F158*L158</x:f>
        <x:v>4239.768230931041</x:v>
      </x:c>
      <x:c r="O158" s="30" t="n">
        <x:f>G158*L158</x:f>
        <x:v>9182.004849100047</x:v>
      </x:c>
    </x:row>
    <x:row r="159" ht="21" customHeight="1">
      <x:c r="A159" s="28" t="n">
        <x:v>153</x:v>
      </x:c>
      <x:c r="B159" s="29" t="n">
        <x:v>49451</x:v>
      </x:c>
      <x:c r="C159" s="28" t="n">
        <x:f>B159-B158</x:f>
        <x:v>30</x:v>
      </x:c>
      <x:c r="D159" s="30" t="n">
        <x:f>H158</x:f>
        <x:v>1986763.33</x:v>
      </x:c>
      <x:c r="E159" s="30" t="n">
        <x:f>ROUND(D159*I159,2)</x:f>
        <x:v>12247.17</x:v>
      </x:c>
      <x:c r="F159" s="30" t="n">
        <x:f>MIN(D159,'Параметры'!$C$13)</x:f>
        <x:v>10916.28</x:v>
      </x:c>
      <x:c r="G159" s="30" t="n">
        <x:f>ROUND(E159+F159,2)</x:f>
        <x:v>23163.45</x:v>
      </x:c>
      <x:c r="H159" s="30" t="n">
        <x:f>ROUND(D159-F159,2)</x:f>
        <x:v>1975847.05</x:v>
      </x:c>
      <x:c r="I159" s="33" t="n">
        <x:f>IF(AND(ISNUMBER('Параметры'!$C$7),'Параметры'!$C$7&gt;=0),'Параметры'!$C$7*C159/365,NA())</x:f>
        <x:v>0.0061643835616438354</x:v>
      </x:c>
      <x:c r="J159" s="32" t="n">
        <x:f>J158/(1+I159)</x:f>
        <x:v>0.3860099590600366</x:v>
      </x:c>
      <x:c r="K159" s="33" t="n">
        <x:f>IF(AND(ISNUMBER('Параметры'!$C$8),'Параметры'!$C$8&gt;=0),'Параметры'!$C$8*C159/365,NA())</x:f>
        <x:v>0.0061643835616438354</x:v>
      </x:c>
      <x:c r="L159" s="32" t="n">
        <x:f>L158/(1+K159)</x:f>
        <x:v>0.3860099590600366</x:v>
      </x:c>
      <x:c r="M159" s="30" t="n">
        <x:f>E159*L159</x:f>
        <x:v>4727.529590301308</x:v>
      </x:c>
      <x:c r="N159" s="30" t="n">
        <x:f>F159*L159</x:f>
        <x:v>4213.792795887896</x:v>
      </x:c>
      <x:c r="O159" s="30" t="n">
        <x:f>G159*L159</x:f>
        <x:v>8941.322386189206</x:v>
      </x:c>
    </x:row>
    <x:row r="160" ht="21" customHeight="1">
      <x:c r="A160" s="28" t="n">
        <x:v>154</x:v>
      </x:c>
      <x:c r="B160" s="29" t="n">
        <x:v>49482</x:v>
      </x:c>
      <x:c r="C160" s="28" t="n">
        <x:f>B160-B159</x:f>
        <x:v>31</x:v>
      </x:c>
      <x:c r="D160" s="30" t="n">
        <x:f>H159</x:f>
        <x:v>1975847.05</x:v>
      </x:c>
      <x:c r="E160" s="30" t="n">
        <x:f>ROUND(D160*I160,2)</x:f>
        <x:v>12585.88</x:v>
      </x:c>
      <x:c r="F160" s="30" t="n">
        <x:f>MIN(D160,'Параметры'!$C$13)</x:f>
        <x:v>10916.28</x:v>
      </x:c>
      <x:c r="G160" s="30" t="n">
        <x:f>ROUND(E160+F160,2)</x:f>
        <x:v>23502.16</x:v>
      </x:c>
      <x:c r="H160" s="30" t="n">
        <x:f>ROUND(D160-F160,2)</x:f>
        <x:v>1964930.77</x:v>
      </x:c>
      <x:c r="I160" s="33" t="n">
        <x:f>IF(AND(ISNUMBER('Параметры'!$C$7),'Параметры'!$C$7&gt;=0),'Параметры'!$C$7*C160/365,NA())</x:f>
        <x:v>0.00636986301369863</x:v>
      </x:c>
      <x:c r="J160" s="32" t="n">
        <x:f>J159/(1+I160)</x:f>
        <x:v>0.38356669177680086</x:v>
      </x:c>
      <x:c r="K160" s="33" t="n">
        <x:f>IF(AND(ISNUMBER('Параметры'!$C$8),'Параметры'!$C$8&gt;=0),'Параметры'!$C$8*C160/365,NA())</x:f>
        <x:v>0.00636986301369863</x:v>
      </x:c>
      <x:c r="L160" s="32" t="n">
        <x:f>L159/(1+K160)</x:f>
        <x:v>0.38356669177680086</x:v>
      </x:c>
      <x:c r="M160" s="30" t="n">
        <x:f>E160*L160</x:f>
        <x:v>4827.524354699802</x:v>
      </x:c>
      <x:c r="N160" s="30" t="n">
        <x:f>F160*L160</x:f>
        <x:v>4187.121406109256</x:v>
      </x:c>
      <x:c r="O160" s="30" t="n">
        <x:f>G160*L160</x:f>
        <x:v>9014.645760809059</x:v>
      </x:c>
    </x:row>
    <x:row r="161" ht="21" customHeight="1">
      <x:c r="A161" s="28" t="n">
        <x:v>155</x:v>
      </x:c>
      <x:c r="B161" s="29" t="n">
        <x:v>49512</x:v>
      </x:c>
      <x:c r="C161" s="28" t="n">
        <x:f>B161-B160</x:f>
        <x:v>30</x:v>
      </x:c>
      <x:c r="D161" s="30" t="n">
        <x:f>H160</x:f>
        <x:v>1964930.77</x:v>
      </x:c>
      <x:c r="E161" s="30" t="n">
        <x:f>ROUND(D161*I161,2)</x:f>
        <x:v>12112.59</x:v>
      </x:c>
      <x:c r="F161" s="30" t="n">
        <x:f>MIN(D161,'Параметры'!$C$13)</x:f>
        <x:v>10916.28</x:v>
      </x:c>
      <x:c r="G161" s="30" t="n">
        <x:f>ROUND(E161+F161,2)</x:f>
        <x:v>23028.87</x:v>
      </x:c>
      <x:c r="H161" s="30" t="n">
        <x:f>ROUND(D161-F161,2)</x:f>
        <x:v>1954014.49</x:v>
      </x:c>
      <x:c r="I161" s="33" t="n">
        <x:f>IF(AND(ISNUMBER('Параметры'!$C$7),'Параметры'!$C$7&gt;=0),'Параметры'!$C$7*C161/365,NA())</x:f>
        <x:v>0.0061643835616438354</x:v>
      </x:c>
      <x:c r="J161" s="32" t="n">
        <x:f>J160/(1+I161)</x:f>
        <x:v>0.38121672565972037</x:v>
      </x:c>
      <x:c r="K161" s="33" t="n">
        <x:f>IF(AND(ISNUMBER('Параметры'!$C$8),'Параметры'!$C$8&gt;=0),'Параметры'!$C$8*C161/365,NA())</x:f>
        <x:v>0.0061643835616438354</x:v>
      </x:c>
      <x:c r="L161" s="32" t="n">
        <x:f>L160/(1+K161)</x:f>
        <x:v>0.38121672565972037</x:v>
      </x:c>
      <x:c r="M161" s="30" t="n">
        <x:f>E161*L161</x:f>
        <x:v>4617.521899058673</x:v>
      </x:c>
      <x:c r="N161" s="30" t="n">
        <x:f>F161*L161</x:f>
        <x:v>4161.468517984693</x:v>
      </x:c>
      <x:c r="O161" s="30" t="n">
        <x:f>G161*L161</x:f>
        <x:v>8778.990417043364</x:v>
      </x:c>
    </x:row>
    <x:row r="162" ht="21" customHeight="1">
      <x:c r="A162" s="28" t="n">
        <x:v>156</x:v>
      </x:c>
      <x:c r="B162" s="29" t="n">
        <x:v>49543</x:v>
      </x:c>
      <x:c r="C162" s="28" t="n">
        <x:f>B162-B161</x:f>
        <x:v>31</x:v>
      </x:c>
      <x:c r="D162" s="30" t="n">
        <x:f>H161</x:f>
        <x:v>1954014.49</x:v>
      </x:c>
      <x:c r="E162" s="30" t="n">
        <x:f>ROUND(D162*I162,2)</x:f>
        <x:v>12446.8</x:v>
      </x:c>
      <x:c r="F162" s="30" t="n">
        <x:f>MIN(D162,'Параметры'!$C$13)</x:f>
        <x:v>10916.28</x:v>
      </x:c>
      <x:c r="G162" s="30" t="n">
        <x:f>ROUND(E162+F162,2)</x:f>
        <x:v>23363.08</x:v>
      </x:c>
      <x:c r="H162" s="30" t="n">
        <x:f>ROUND(D162-F162,2)</x:f>
        <x:v>1943098.21</x:v>
      </x:c>
      <x:c r="I162" s="33" t="n">
        <x:f>IF(AND(ISNUMBER('Параметры'!$C$7),'Параметры'!$C$7&gt;=0),'Параметры'!$C$7*C162/365,NA())</x:f>
        <x:v>0.00636986301369863</x:v>
      </x:c>
      <x:c r="J162" s="32" t="n">
        <x:f>J161/(1+I162)</x:f>
        <x:v>0.378803797361459</x:v>
      </x:c>
      <x:c r="K162" s="33" t="n">
        <x:f>IF(AND(ISNUMBER('Параметры'!$C$8),'Параметры'!$C$8&gt;=0),'Параметры'!$C$8*C162/365,NA())</x:f>
        <x:v>0.00636986301369863</x:v>
      </x:c>
      <x:c r="L162" s="32" t="n">
        <x:f>L161/(1+K162)</x:f>
        <x:v>0.378803797361459</x:v>
      </x:c>
      <x:c r="M162" s="30" t="n">
        <x:f>E162*L162</x:f>
        <x:v>4714.895104998608</x:v>
      </x:c>
      <x:c r="N162" s="30" t="n">
        <x:f>F162*L162</x:f>
        <x:v>4135.128317060949</x:v>
      </x:c>
      <x:c r="O162" s="30" t="n">
        <x:f>G162*L162</x:f>
        <x:v>8850.023422059558</x:v>
      </x:c>
    </x:row>
    <x:row r="163" ht="21" customHeight="1">
      <x:c r="A163" s="28" t="n">
        <x:v>157</x:v>
      </x:c>
      <x:c r="B163" s="29" t="n">
        <x:v>49574</x:v>
      </x:c>
      <x:c r="C163" s="28" t="n">
        <x:f>B163-B162</x:f>
        <x:v>31</x:v>
      </x:c>
      <x:c r="D163" s="30" t="n">
        <x:f>H162</x:f>
        <x:v>1943098.21</x:v>
      </x:c>
      <x:c r="E163" s="30" t="n">
        <x:f>ROUND(D163*I163,2)</x:f>
        <x:v>12377.27</x:v>
      </x:c>
      <x:c r="F163" s="30" t="n">
        <x:f>MIN(D163,'Параметры'!$C$13)</x:f>
        <x:v>10916.28</x:v>
      </x:c>
      <x:c r="G163" s="30" t="n">
        <x:f>ROUND(E163+F163,2)</x:f>
        <x:v>23293.55</x:v>
      </x:c>
      <x:c r="H163" s="30" t="n">
        <x:f>ROUND(D163-F163,2)</x:f>
        <x:v>1932181.93</x:v>
      </x:c>
      <x:c r="I163" s="33" t="n">
        <x:f>IF(AND(ISNUMBER('Параметры'!$C$7),'Параметры'!$C$7&gt;=0),'Параметры'!$C$7*C163/365,NA())</x:f>
        <x:v>0.00636986301369863</x:v>
      </x:c>
      <x:c r="J163" s="32" t="n">
        <x:f>J162/(1+I163)</x:f>
        <x:v>0.37640614180067394</x:v>
      </x:c>
      <x:c r="K163" s="33" t="n">
        <x:f>IF(AND(ISNUMBER('Параметры'!$C$8),'Параметры'!$C$8&gt;=0),'Параметры'!$C$8*C163/365,NA())</x:f>
        <x:v>0.00636986301369863</x:v>
      </x:c>
      <x:c r="L163" s="32" t="n">
        <x:f>L162/(1+K163)</x:f>
        <x:v>0.37640614180067394</x:v>
      </x:c>
      <x:c r="M163" s="30" t="n">
        <x:f>E163*L163</x:f>
        <x:v>4658.880446725228</x:v>
      </x:c>
      <x:c r="N163" s="30" t="n">
        <x:f>F163*L163</x:f>
        <x:v>4108.954837615861</x:v>
      </x:c>
      <x:c r="O163" s="30" t="n">
        <x:f>G163*L163</x:f>
        <x:v>8767.835284341088</x:v>
      </x:c>
    </x:row>
    <x:row r="164" ht="21" customHeight="1">
      <x:c r="A164" s="28" t="n">
        <x:v>158</x:v>
      </x:c>
      <x:c r="B164" s="29" t="n">
        <x:v>49604</x:v>
      </x:c>
      <x:c r="C164" s="28" t="n">
        <x:f>B164-B163</x:f>
        <x:v>30</x:v>
      </x:c>
      <x:c r="D164" s="30" t="n">
        <x:f>H163</x:f>
        <x:v>1932181.93</x:v>
      </x:c>
      <x:c r="E164" s="30" t="n">
        <x:f>ROUND(D164*I164,2)</x:f>
        <x:v>11910.71</x:v>
      </x:c>
      <x:c r="F164" s="30" t="n">
        <x:f>MIN(D164,'Параметры'!$C$13)</x:f>
        <x:v>10916.28</x:v>
      </x:c>
      <x:c r="G164" s="30" t="n">
        <x:f>ROUND(E164+F164,2)</x:f>
        <x:v>22826.99</x:v>
      </x:c>
      <x:c r="H164" s="30" t="n">
        <x:f>ROUND(D164-F164,2)</x:f>
        <x:v>1921265.65</x:v>
      </x:c>
      <x:c r="I164" s="33" t="n">
        <x:f>IF(AND(ISNUMBER('Параметры'!$C$7),'Параметры'!$C$7&gt;=0),'Параметры'!$C$7*C164/365,NA())</x:f>
        <x:v>0.0061643835616438354</x:v>
      </x:c>
      <x:c r="J164" s="32" t="n">
        <x:f>J163/(1+I164)</x:f>
        <x:v>0.3741000456289884</x:v>
      </x:c>
      <x:c r="K164" s="33" t="n">
        <x:f>IF(AND(ISNUMBER('Параметры'!$C$8),'Параметры'!$C$8&gt;=0),'Параметры'!$C$8*C164/365,NA())</x:f>
        <x:v>0.0061643835616438354</x:v>
      </x:c>
      <x:c r="L164" s="32" t="n">
        <x:f>L163/(1+K164)</x:f>
        <x:v>0.3741000456289884</x:v>
      </x:c>
      <x:c r="M164" s="30" t="n">
        <x:f>E164*L164</x:f>
        <x:v>4455.797154473648</x:v>
      </x:c>
      <x:c r="N164" s="30" t="n">
        <x:f>F164*L164</x:f>
        <x:v>4083.780846098814</x:v>
      </x:c>
      <x:c r="O164" s="30" t="n">
        <x:f>G164*L164</x:f>
        <x:v>8539.578000572463</x:v>
      </x:c>
    </x:row>
    <x:row r="165" ht="21" customHeight="1">
      <x:c r="A165" s="28" t="n">
        <x:v>159</x:v>
      </x:c>
      <x:c r="B165" s="29" t="n">
        <x:v>49635</x:v>
      </x:c>
      <x:c r="C165" s="28" t="n">
        <x:f>B165-B164</x:f>
        <x:v>31</x:v>
      </x:c>
      <x:c r="D165" s="30" t="n">
        <x:f>H164</x:f>
        <x:v>1921265.65</x:v>
      </x:c>
      <x:c r="E165" s="30" t="n">
        <x:f>ROUND(D165*I165,2)</x:f>
        <x:v>12238.2</x:v>
      </x:c>
      <x:c r="F165" s="30" t="n">
        <x:f>MIN(D165,'Параметры'!$C$13)</x:f>
        <x:v>10916.28</x:v>
      </x:c>
      <x:c r="G165" s="30" t="n">
        <x:f>ROUND(E165+F165,2)</x:f>
        <x:v>23154.48</x:v>
      </x:c>
      <x:c r="H165" s="30" t="n">
        <x:f>ROUND(D165-F165,2)</x:f>
        <x:v>1910349.37</x:v>
      </x:c>
      <x:c r="I165" s="33" t="n">
        <x:f>IF(AND(ISNUMBER('Параметры'!$C$7),'Параметры'!$C$7&gt;=0),'Параметры'!$C$7*C165/365,NA())</x:f>
        <x:v>0.00636986301369863</x:v>
      </x:c>
      <x:c r="J165" s="32" t="n">
        <x:f>J164/(1+I165)</x:f>
        <x:v>0.371732162674963</x:v>
      </x:c>
      <x:c r="K165" s="33" t="n">
        <x:f>IF(AND(ISNUMBER('Параметры'!$C$8),'Параметры'!$C$8&gt;=0),'Параметры'!$C$8*C165/365,NA())</x:f>
        <x:v>0.00636986301369863</x:v>
      </x:c>
      <x:c r="L165" s="32" t="n">
        <x:f>L164/(1+K165)</x:f>
        <x:v>0.371732162674963</x:v>
      </x:c>
      <x:c r="M165" s="30" t="n">
        <x:f>E165*L165</x:f>
        <x:v>4549.332553248732</x:v>
      </x:c>
      <x:c r="N165" s="30" t="n">
        <x:f>F165*L165</x:f>
        <x:v>4057.9323727654455</x:v>
      </x:c>
      <x:c r="O165" s="30" t="n">
        <x:f>G165*L165</x:f>
        <x:v>8607.264926014177</x:v>
      </x:c>
    </x:row>
    <x:row r="166" ht="21" customHeight="1">
      <x:c r="A166" s="28" t="n">
        <x:v>160</x:v>
      </x:c>
      <x:c r="B166" s="29" t="n">
        <x:v>49665</x:v>
      </x:c>
      <x:c r="C166" s="28" t="n">
        <x:f>B166-B165</x:f>
        <x:v>30</x:v>
      </x:c>
      <x:c r="D166" s="30" t="n">
        <x:f>H165</x:f>
        <x:v>1910349.37</x:v>
      </x:c>
      <x:c r="E166" s="30" t="n">
        <x:f>ROUND(D166*I166,2)</x:f>
        <x:v>11776.13</x:v>
      </x:c>
      <x:c r="F166" s="30" t="n">
        <x:f>MIN(D166,'Параметры'!$C$13)</x:f>
        <x:v>10916.28</x:v>
      </x:c>
      <x:c r="G166" s="30" t="n">
        <x:f>ROUND(E166+F166,2)</x:f>
        <x:v>22692.41</x:v>
      </x:c>
      <x:c r="H166" s="30" t="n">
        <x:f>ROUND(D166-F166,2)</x:f>
        <x:v>1899433.09</x:v>
      </x:c>
      <x:c r="I166" s="33" t="n">
        <x:f>IF(AND(ISNUMBER('Параметры'!$C$7),'Параметры'!$C$7&gt;=0),'Параметры'!$C$7*C166/365,NA())</x:f>
        <x:v>0.0061643835616438354</x:v>
      </x:c>
      <x:c r="J166" s="32" t="n">
        <x:f>J165/(1+I166)</x:f>
        <x:v>0.3694547021820599</x:v>
      </x:c>
      <x:c r="K166" s="33" t="n">
        <x:f>IF(AND(ISNUMBER('Параметры'!$C$8),'Параметры'!$C$8&gt;=0),'Параметры'!$C$8*C166/365,NA())</x:f>
        <x:v>0.0061643835616438354</x:v>
      </x:c>
      <x:c r="L166" s="32" t="n">
        <x:f>L165/(1+K166)</x:f>
        <x:v>0.3694547021820599</x:v>
      </x:c>
      <x:c r="M166" s="30" t="n">
        <x:f>E166*L166</x:f>
        <x:v>4350.746602007221</x:v>
      </x:c>
      <x:c r="N166" s="30" t="n">
        <x:f>F166*L166</x:f>
        <x:v>4033.070976335977</x:v>
      </x:c>
      <x:c r="O166" s="30" t="n">
        <x:f>G166*L166</x:f>
        <x:v>8383.817578343198</x:v>
      </x:c>
    </x:row>
    <x:row r="167" ht="21" customHeight="1">
      <x:c r="A167" s="28" t="n">
        <x:v>161</x:v>
      </x:c>
      <x:c r="B167" s="29" t="n">
        <x:v>49696</x:v>
      </x:c>
      <x:c r="C167" s="28" t="n">
        <x:f>B167-B166</x:f>
        <x:v>31</x:v>
      </x:c>
      <x:c r="D167" s="30" t="n">
        <x:f>H166</x:f>
        <x:v>1899433.09</x:v>
      </x:c>
      <x:c r="E167" s="30" t="n">
        <x:f>ROUND(D167*I167,2)</x:f>
        <x:v>12099.13</x:v>
      </x:c>
      <x:c r="F167" s="30" t="n">
        <x:f>MIN(D167,'Параметры'!$C$13)</x:f>
        <x:v>10916.28</x:v>
      </x:c>
      <x:c r="G167" s="30" t="n">
        <x:f>ROUND(E167+F167,2)</x:f>
        <x:v>23015.41</x:v>
      </x:c>
      <x:c r="H167" s="30" t="n">
        <x:f>ROUND(D167-F167,2)</x:f>
        <x:v>1888516.81</x:v>
      </x:c>
      <x:c r="I167" s="33" t="n">
        <x:f>IF(AND(ISNUMBER('Параметры'!$C$7),'Параметры'!$C$7&gt;=0),'Параметры'!$C$7*C167/365,NA())</x:f>
        <x:v>0.00636986301369863</x:v>
      </x:c>
      <x:c r="J167" s="32" t="n">
        <x:f>J166/(1+I167)</x:f>
        <x:v>0.36711622213694106</x:v>
      </x:c>
      <x:c r="K167" s="33" t="n">
        <x:f>IF(AND(ISNUMBER('Параметры'!$C$8),'Параметры'!$C$8&gt;=0),'Параметры'!$C$8*C167/365,NA())</x:f>
        <x:v>0.00636986301369863</x:v>
      </x:c>
      <x:c r="L167" s="32" t="n">
        <x:f>L166/(1+K167)</x:f>
        <x:v>0.36711622213694106</x:v>
      </x:c>
      <x:c r="M167" s="30" t="n">
        <x:f>E167*L167</x:f>
        <x:v>4441.786896743727</x:v>
      </x:c>
      <x:c r="N167" s="30" t="n">
        <x:f>F167*L167</x:f>
        <x:v>4007.543473389047</x:v>
      </x:c>
      <x:c r="O167" s="30" t="n">
        <x:f>G167*L167</x:f>
        <x:v>8449.330370132775</x:v>
      </x:c>
    </x:row>
    <x:row r="168" ht="21" customHeight="1">
      <x:c r="A168" s="28" t="n">
        <x:v>162</x:v>
      </x:c>
      <x:c r="B168" s="29" t="n">
        <x:v>49727</x:v>
      </x:c>
      <x:c r="C168" s="28" t="n">
        <x:f>B168-B167</x:f>
        <x:v>31</x:v>
      </x:c>
      <x:c r="D168" s="30" t="n">
        <x:f>H167</x:f>
        <x:v>1888516.81</x:v>
      </x:c>
      <x:c r="E168" s="30" t="n">
        <x:f>ROUND(D168*I168,2)</x:f>
        <x:v>12029.59</x:v>
      </x:c>
      <x:c r="F168" s="30" t="n">
        <x:f>MIN(D168,'Параметры'!$C$13)</x:f>
        <x:v>10916.28</x:v>
      </x:c>
      <x:c r="G168" s="30" t="n">
        <x:f>ROUND(E168+F168,2)</x:f>
        <x:v>22945.87</x:v>
      </x:c>
      <x:c r="H168" s="30" t="n">
        <x:f>ROUND(D168-F168,2)</x:f>
        <x:v>1877600.53</x:v>
      </x:c>
      <x:c r="I168" s="33" t="n">
        <x:f>IF(AND(ISNUMBER('Параметры'!$C$7),'Параметры'!$C$7&gt;=0),'Параметры'!$C$7*C168/365,NA())</x:f>
        <x:v>0.00636986301369863</x:v>
      </x:c>
      <x:c r="J168" s="32" t="n">
        <x:f>J167/(1+I168)</x:f>
        <x:v>0.36479254360575375</x:v>
      </x:c>
      <x:c r="K168" s="33" t="n">
        <x:f>IF(AND(ISNUMBER('Параметры'!$C$8),'Параметры'!$C$8&gt;=0),'Параметры'!$C$8*C168/365,NA())</x:f>
        <x:v>0.00636986301369863</x:v>
      </x:c>
      <x:c r="L168" s="32" t="n">
        <x:f>L167/(1+K168)</x:f>
        <x:v>0.36479254360575375</x:v>
      </x:c>
      <x:c r="M168" s="30" t="n">
        <x:f>E168*L168</x:f>
        <x:v>4388.304734634339</x:v>
      </x:c>
      <x:c r="N168" s="30" t="n">
        <x:f>F168*L168</x:f>
        <x:v>3982.1775479126177</x:v>
      </x:c>
      <x:c r="O168" s="30" t="n">
        <x:f>G168*L168</x:f>
        <x:v>8370.482282546956</x:v>
      </x:c>
    </x:row>
    <x:row r="169" ht="21" customHeight="1">
      <x:c r="A169" s="28" t="n">
        <x:v>163</x:v>
      </x:c>
      <x:c r="B169" s="29" t="n">
        <x:v>49756</x:v>
      </x:c>
      <x:c r="C169" s="28" t="n">
        <x:f>B169-B168</x:f>
        <x:v>29</x:v>
      </x:c>
      <x:c r="D169" s="30" t="n">
        <x:f>H168</x:f>
        <x:v>1877600.53</x:v>
      </x:c>
      <x:c r="E169" s="30" t="n">
        <x:f>ROUND(D169*I169,2)</x:f>
        <x:v>11188.44</x:v>
      </x:c>
      <x:c r="F169" s="30" t="n">
        <x:f>MIN(D169,'Параметры'!$C$13)</x:f>
        <x:v>10916.28</x:v>
      </x:c>
      <x:c r="G169" s="30" t="n">
        <x:f>ROUND(E169+F169,2)</x:f>
        <x:v>22104.72</x:v>
      </x:c>
      <x:c r="H169" s="30" t="n">
        <x:f>ROUND(D169-F169,2)</x:f>
        <x:v>1866684.25</x:v>
      </x:c>
      <x:c r="I169" s="33" t="n">
        <x:f>IF(AND(ISNUMBER('Параметры'!$C$7),'Параметры'!$C$7&gt;=0),'Параметры'!$C$7*C169/365,NA())</x:f>
        <x:v>0.00595890410958904</x:v>
      </x:c>
      <x:c r="J169" s="32" t="n">
        <x:f>J168/(1+I169)</x:f>
        <x:v>0.36263165633853095</x:v>
      </x:c>
      <x:c r="K169" s="33" t="n">
        <x:f>IF(AND(ISNUMBER('Параметры'!$C$8),'Параметры'!$C$8&gt;=0),'Параметры'!$C$8*C169/365,NA())</x:f>
        <x:v>0.00595890410958904</x:v>
      </x:c>
      <x:c r="L169" s="32" t="n">
        <x:f>L168/(1+K169)</x:f>
        <x:v>0.36263165633853095</x:v>
      </x:c>
      <x:c r="M169" s="30" t="n">
        <x:f>E169*L169</x:f>
        <x:v>4057.2825290442734</x:v>
      </x:c>
      <x:c r="N169" s="30" t="n">
        <x:f>F169*L169</x:f>
        <x:v>3958.588697455179</x:v>
      </x:c>
      <x:c r="O169" s="30" t="n">
        <x:f>G169*L169</x:f>
        <x:v>8015.871226499452</x:v>
      </x:c>
    </x:row>
    <x:row r="170" ht="21" customHeight="1">
      <x:c r="A170" s="28" t="n">
        <x:v>164</x:v>
      </x:c>
      <x:c r="B170" s="29" t="n">
        <x:v>49787</x:v>
      </x:c>
      <x:c r="C170" s="28" t="n">
        <x:f>B170-B169</x:f>
        <x:v>31</x:v>
      </x:c>
      <x:c r="D170" s="30" t="n">
        <x:f>H169</x:f>
        <x:v>1866684.25</x:v>
      </x:c>
      <x:c r="E170" s="30" t="n">
        <x:f>ROUND(D170*I170,2)</x:f>
        <x:v>11890.52</x:v>
      </x:c>
      <x:c r="F170" s="30" t="n">
        <x:f>MIN(D170,'Параметры'!$C$13)</x:f>
        <x:v>10916.28</x:v>
      </x:c>
      <x:c r="G170" s="30" t="n">
        <x:f>ROUND(E170+F170,2)</x:f>
        <x:v>22806.8</x:v>
      </x:c>
      <x:c r="H170" s="30" t="n">
        <x:f>ROUND(D170-F170,2)</x:f>
        <x:v>1855767.97</x:v>
      </x:c>
      <x:c r="I170" s="33" t="n">
        <x:f>IF(AND(ISNUMBER('Параметры'!$C$7),'Параметры'!$C$7&gt;=0),'Параметры'!$C$7*C170/365,NA())</x:f>
        <x:v>0.00636986301369863</x:v>
      </x:c>
      <x:c r="J170" s="32" t="n">
        <x:f>J169/(1+I170)</x:f>
        <x:v>0.36033636306694017</x:v>
      </x:c>
      <x:c r="K170" s="33" t="n">
        <x:f>IF(AND(ISNUMBER('Параметры'!$C$8),'Параметры'!$C$8&gt;=0),'Параметры'!$C$8*C170/365,NA())</x:f>
        <x:v>0.00636986301369863</x:v>
      </x:c>
      <x:c r="L170" s="32" t="n">
        <x:f>L169/(1+K170)</x:f>
        <x:v>0.36033636306694017</x:v>
      </x:c>
      <x:c r="M170" s="30" t="n">
        <x:f>E170*L170</x:f>
        <x:v>4284.586731774713</x:v>
      </x:c>
      <x:c r="N170" s="30" t="n">
        <x:f>F170*L170</x:f>
        <x:v>3933.532633420378</x:v>
      </x:c>
      <x:c r="O170" s="30" t="n">
        <x:f>G170*L170</x:f>
        <x:v>8218.11936519509</x:v>
      </x:c>
    </x:row>
    <x:row r="171" ht="21" customHeight="1">
      <x:c r="A171" s="28" t="n">
        <x:v>165</x:v>
      </x:c>
      <x:c r="B171" s="29" t="n">
        <x:v>49817</x:v>
      </x:c>
      <x:c r="C171" s="28" t="n">
        <x:f>B171-B170</x:f>
        <x:v>30</x:v>
      </x:c>
      <x:c r="D171" s="30" t="n">
        <x:f>H170</x:f>
        <x:v>1855767.97</x:v>
      </x:c>
      <x:c r="E171" s="30" t="n">
        <x:f>ROUND(D171*I171,2)</x:f>
        <x:v>11439.67</x:v>
      </x:c>
      <x:c r="F171" s="30" t="n">
        <x:f>MIN(D171,'Параметры'!$C$13)</x:f>
        <x:v>10916.28</x:v>
      </x:c>
      <x:c r="G171" s="30" t="n">
        <x:f>ROUND(E171+F171,2)</x:f>
        <x:v>22355.95</x:v>
      </x:c>
      <x:c r="H171" s="30" t="n">
        <x:f>ROUND(D171-F171,2)</x:f>
        <x:v>1844851.69</x:v>
      </x:c>
      <x:c r="I171" s="33" t="n">
        <x:f>IF(AND(ISNUMBER('Параметры'!$C$7),'Параметры'!$C$7&gt;=0),'Параметры'!$C$7*C171/365,NA())</x:f>
        <x:v>0.0061643835616438354</x:v>
      </x:c>
      <x:c r="J171" s="32" t="n">
        <x:f>J170/(1+I171)</x:f>
        <x:v>0.3581287202707506</x:v>
      </x:c>
      <x:c r="K171" s="33" t="n">
        <x:f>IF(AND(ISNUMBER('Параметры'!$C$8),'Параметры'!$C$8&gt;=0),'Параметры'!$C$8*C171/365,NA())</x:f>
        <x:v>0.0061643835616438354</x:v>
      </x:c>
      <x:c r="L171" s="32" t="n">
        <x:f>L170/(1+K171)</x:f>
        <x:v>0.3581287202707506</x:v>
      </x:c>
      <x:c r="M171" s="30" t="n">
        <x:f>E171*L171</x:f>
        <x:v>4096.874377419697</x:v>
      </x:c>
      <x:c r="N171" s="30" t="n">
        <x:f>F171*L171</x:f>
        <x:v>3909.43338651719</x:v>
      </x:c>
      <x:c r="O171" s="30" t="n">
        <x:f>G171*L171</x:f>
        <x:v>8006.307763936888</x:v>
      </x:c>
    </x:row>
    <x:row r="172" ht="21" customHeight="1">
      <x:c r="A172" s="28" t="n">
        <x:v>166</x:v>
      </x:c>
      <x:c r="B172" s="29" t="n">
        <x:v>49848</x:v>
      </x:c>
      <x:c r="C172" s="28" t="n">
        <x:f>B172-B171</x:f>
        <x:v>31</x:v>
      </x:c>
      <x:c r="D172" s="30" t="n">
        <x:f>H171</x:f>
        <x:v>1844851.69</x:v>
      </x:c>
      <x:c r="E172" s="30" t="n">
        <x:f>ROUND(D172*I172,2)</x:f>
        <x:v>11751.45</x:v>
      </x:c>
      <x:c r="F172" s="30" t="n">
        <x:f>MIN(D172,'Параметры'!$C$13)</x:f>
        <x:v>10916.28</x:v>
      </x:c>
      <x:c r="G172" s="30" t="n">
        <x:f>ROUND(E172+F172,2)</x:f>
        <x:v>22667.73</x:v>
      </x:c>
      <x:c r="H172" s="30" t="n">
        <x:f>ROUND(D172-F172,2)</x:f>
        <x:v>1833935.41</x:v>
      </x:c>
      <x:c r="I172" s="33" t="n">
        <x:f>IF(AND(ISNUMBER('Параметры'!$C$7),'Параметры'!$C$7&gt;=0),'Параметры'!$C$7*C172/365,NA())</x:f>
        <x:v>0.00636986301369863</x:v>
      </x:c>
      <x:c r="J172" s="32" t="n">
        <x:f>J171/(1+I172)</x:f>
        <x:v>0.3558619285341972</x:v>
      </x:c>
      <x:c r="K172" s="33" t="n">
        <x:f>IF(AND(ISNUMBER('Параметры'!$C$8),'Параметры'!$C$8&gt;=0),'Параметры'!$C$8*C172/365,NA())</x:f>
        <x:v>0.00636986301369863</x:v>
      </x:c>
      <x:c r="L172" s="32" t="n">
        <x:f>L171/(1+K172)</x:f>
        <x:v>0.3558619285341972</x:v>
      </x:c>
      <x:c r="M172" s="30" t="n">
        <x:f>E172*L172</x:f>
        <x:v>4181.893660073191</x:v>
      </x:c>
      <x:c r="N172" s="30" t="n">
        <x:f>F172*L172</x:f>
        <x:v>3884.688453219286</x:v>
      </x:c>
      <x:c r="O172" s="30" t="n">
        <x:f>G172*L172</x:f>
        <x:v>8066.5821132924775</x:v>
      </x:c>
    </x:row>
    <x:row r="173" ht="21" customHeight="1">
      <x:c r="A173" s="28" t="n">
        <x:v>167</x:v>
      </x:c>
      <x:c r="B173" s="29" t="n">
        <x:v>49878</x:v>
      </x:c>
      <x:c r="C173" s="28" t="n">
        <x:f>B173-B172</x:f>
        <x:v>30</x:v>
      </x:c>
      <x:c r="D173" s="30" t="n">
        <x:f>H172</x:f>
        <x:v>1833935.41</x:v>
      </x:c>
      <x:c r="E173" s="30" t="n">
        <x:f>ROUND(D173*I173,2)</x:f>
        <x:v>11305.08</x:v>
      </x:c>
      <x:c r="F173" s="30" t="n">
        <x:f>MIN(D173,'Параметры'!$C$13)</x:f>
        <x:v>10916.28</x:v>
      </x:c>
      <x:c r="G173" s="30" t="n">
        <x:f>ROUND(E173+F173,2)</x:f>
        <x:v>22221.36</x:v>
      </x:c>
      <x:c r="H173" s="30" t="n">
        <x:f>ROUND(D173-F173,2)</x:f>
        <x:v>1823019.13</x:v>
      </x:c>
      <x:c r="I173" s="33" t="n">
        <x:f>IF(AND(ISNUMBER('Параметры'!$C$7),'Параметры'!$C$7&gt;=0),'Параметры'!$C$7*C173/365,NA())</x:f>
        <x:v>0.0061643835616438354</x:v>
      </x:c>
      <x:c r="J173" s="32" t="n">
        <x:f>J172/(1+I173)</x:f>
        <x:v>0.35368169888354517</x:v>
      </x:c>
      <x:c r="K173" s="33" t="n">
        <x:f>IF(AND(ISNUMBER('Параметры'!$C$8),'Параметры'!$C$8&gt;=0),'Параметры'!$C$8*C173/365,NA())</x:f>
        <x:v>0.0061643835616438354</x:v>
      </x:c>
      <x:c r="L173" s="32" t="n">
        <x:f>L172/(1+K173)</x:f>
        <x:v>0.35368169888354517</x:v>
      </x:c>
      <x:c r="M173" s="30" t="n">
        <x:f>E173*L173</x:f>
        <x:v>3998.399900414389</x:v>
      </x:c>
      <x:c r="N173" s="30" t="n">
        <x:f>F173*L173</x:f>
        <x:v>3860.8884558884665</x:v>
      </x:c>
      <x:c r="O173" s="30" t="n">
        <x:f>G173*L173</x:f>
        <x:v>7859.288356302855</x:v>
      </x:c>
    </x:row>
    <x:row r="174" ht="21" customHeight="1">
      <x:c r="A174" s="28" t="n">
        <x:v>168</x:v>
      </x:c>
      <x:c r="B174" s="29" t="n">
        <x:v>49909</x:v>
      </x:c>
      <x:c r="C174" s="28" t="n">
        <x:f>B174-B173</x:f>
        <x:v>31</x:v>
      </x:c>
      <x:c r="D174" s="30" t="n">
        <x:f>H173</x:f>
        <x:v>1823019.13</x:v>
      </x:c>
      <x:c r="E174" s="30" t="n">
        <x:f>ROUND(D174*I174,2)</x:f>
        <x:v>11612.38</x:v>
      </x:c>
      <x:c r="F174" s="30" t="n">
        <x:f>MIN(D174,'Параметры'!$C$13)</x:f>
        <x:v>10916.28</x:v>
      </x:c>
      <x:c r="G174" s="30" t="n">
        <x:f>ROUND(E174+F174,2)</x:f>
        <x:v>22528.66</x:v>
      </x:c>
      <x:c r="H174" s="30" t="n">
        <x:f>ROUND(D174-F174,2)</x:f>
        <x:v>1812102.85</x:v>
      </x:c>
      <x:c r="I174" s="33" t="n">
        <x:f>IF(AND(ISNUMBER('Параметры'!$C$7),'Параметры'!$C$7&gt;=0),'Параметры'!$C$7*C174/365,NA())</x:f>
        <x:v>0.00636986301369863</x:v>
      </x:c>
      <x:c r="J174" s="32" t="n">
        <x:f>J173/(1+I174)</x:f>
        <x:v>0.35144305476756005</x:v>
      </x:c>
      <x:c r="K174" s="33" t="n">
        <x:f>IF(AND(ISNUMBER('Параметры'!$C$8),'Параметры'!$C$8&gt;=0),'Параметры'!$C$8*C174/365,NA())</x:f>
        <x:v>0.00636986301369863</x:v>
      </x:c>
      <x:c r="L174" s="32" t="n">
        <x:f>L173/(1+K174)</x:f>
        <x:v>0.35144305476756005</x:v>
      </x:c>
      <x:c r="M174" s="30" t="n">
        <x:f>E174*L174</x:f>
        <x:v>4081.0903003217186</x:v>
      </x:c>
      <x:c r="N174" s="30" t="n">
        <x:f>F174*L174</x:f>
        <x:v>3836.4507898980205</x:v>
      </x:c>
      <x:c r="O174" s="30" t="n">
        <x:f>G174*L174</x:f>
        <x:v>7917.541090219739</x:v>
      </x:c>
    </x:row>
    <x:row r="175" ht="21" customHeight="1">
      <x:c r="A175" s="28" t="n">
        <x:v>169</x:v>
      </x:c>
      <x:c r="B175" s="29" t="n">
        <x:v>49940</x:v>
      </x:c>
      <x:c r="C175" s="28" t="n">
        <x:f>B175-B174</x:f>
        <x:v>31</x:v>
      </x:c>
      <x:c r="D175" s="30" t="n">
        <x:f>H174</x:f>
        <x:v>1812102.85</x:v>
      </x:c>
      <x:c r="E175" s="30" t="n">
        <x:f>ROUND(D175*I175,2)</x:f>
        <x:v>11542.85</x:v>
      </x:c>
      <x:c r="F175" s="30" t="n">
        <x:f>MIN(D175,'Параметры'!$C$13)</x:f>
        <x:v>10916.28</x:v>
      </x:c>
      <x:c r="G175" s="30" t="n">
        <x:f>ROUND(E175+F175,2)</x:f>
        <x:v>22459.13</x:v>
      </x:c>
      <x:c r="H175" s="30" t="n">
        <x:f>ROUND(D175-F175,2)</x:f>
        <x:v>1801186.57</x:v>
      </x:c>
      <x:c r="I175" s="33" t="n">
        <x:f>IF(AND(ISNUMBER('Параметры'!$C$7),'Параметры'!$C$7&gt;=0),'Параметры'!$C$7*C175/365,NA())</x:f>
        <x:v>0.00636986301369863</x:v>
      </x:c>
      <x:c r="J175" s="32" t="n">
        <x:f>J174/(1+I175)</x:f>
        <x:v>0.34921858024953223</x:v>
      </x:c>
      <x:c r="K175" s="33" t="n">
        <x:f>IF(AND(ISNUMBER('Параметры'!$C$8),'Параметры'!$C$8&gt;=0),'Параметры'!$C$8*C175/365,NA())</x:f>
        <x:v>0.00636986301369863</x:v>
      </x:c>
      <x:c r="L175" s="32" t="n">
        <x:f>L174/(1+K175)</x:f>
        <x:v>0.34921858024953223</x:v>
      </x:c>
      <x:c r="M175" s="30" t="n">
        <x:f>E175*L175</x:f>
        <x:v>4030.9776890333133</x:v>
      </x:c>
      <x:c r="N175" s="30" t="n">
        <x:f>F175*L175</x:f>
        <x:v>3812.1678032063637</x:v>
      </x:c>
      <x:c r="O175" s="30" t="n">
        <x:f>G175*L175</x:f>
        <x:v>7843.145492239677</x:v>
      </x:c>
    </x:row>
    <x:row r="176" ht="21" customHeight="1">
      <x:c r="A176" s="28" t="n">
        <x:v>170</x:v>
      </x:c>
      <x:c r="B176" s="29" t="n">
        <x:v>49970</x:v>
      </x:c>
      <x:c r="C176" s="28" t="n">
        <x:f>B176-B175</x:f>
        <x:v>30</x:v>
      </x:c>
      <x:c r="D176" s="30" t="n">
        <x:f>H175</x:f>
        <x:v>1801186.57</x:v>
      </x:c>
      <x:c r="E176" s="30" t="n">
        <x:f>ROUND(D176*I176,2)</x:f>
        <x:v>11103.2</x:v>
      </x:c>
      <x:c r="F176" s="30" t="n">
        <x:f>MIN(D176,'Параметры'!$C$13)</x:f>
        <x:v>10916.28</x:v>
      </x:c>
      <x:c r="G176" s="30" t="n">
        <x:f>ROUND(E176+F176,2)</x:f>
        <x:v>22019.48</x:v>
      </x:c>
      <x:c r="H176" s="30" t="n">
        <x:f>ROUND(D176-F176,2)</x:f>
        <x:v>1790270.29</x:v>
      </x:c>
      <x:c r="I176" s="33" t="n">
        <x:f>IF(AND(ISNUMBER('Параметры'!$C$7),'Параметры'!$C$7&gt;=0),'Параметры'!$C$7*C176/365,NA())</x:f>
        <x:v>0.0061643835616438354</x:v>
      </x:c>
      <x:c r="J176" s="32" t="n">
        <x:f>J175/(1+I176)</x:f>
        <x:v>0.34707905184773113</x:v>
      </x:c>
      <x:c r="K176" s="33" t="n">
        <x:f>IF(AND(ISNUMBER('Параметры'!$C$8),'Параметры'!$C$8&gt;=0),'Параметры'!$C$8*C176/365,NA())</x:f>
        <x:v>0.0061643835616438354</x:v>
      </x:c>
      <x:c r="L176" s="32" t="n">
        <x:f>L175/(1+K176)</x:f>
        <x:v>0.34707905184773113</x:v>
      </x:c>
      <x:c r="M176" s="30" t="n">
        <x:f>E176*L176</x:f>
        <x:v>3853.6881284757287</x:v>
      </x:c>
      <x:c r="N176" s="30" t="n">
        <x:f>F176*L176</x:f>
        <x:v>3788.8121121043505</x:v>
      </x:c>
      <x:c r="O176" s="30" t="n">
        <x:f>G176*L176</x:f>
        <x:v>7642.500240580079</x:v>
      </x:c>
    </x:row>
    <x:row r="177" ht="21" customHeight="1">
      <x:c r="A177" s="28" t="n">
        <x:v>171</x:v>
      </x:c>
      <x:c r="B177" s="29" t="n">
        <x:v>50001</x:v>
      </x:c>
      <x:c r="C177" s="28" t="n">
        <x:f>B177-B176</x:f>
        <x:v>31</x:v>
      </x:c>
      <x:c r="D177" s="30" t="n">
        <x:f>H176</x:f>
        <x:v>1790270.29</x:v>
      </x:c>
      <x:c r="E177" s="30" t="n">
        <x:f>ROUND(D177*I177,2)</x:f>
        <x:v>11403.78</x:v>
      </x:c>
      <x:c r="F177" s="30" t="n">
        <x:f>MIN(D177,'Параметры'!$C$13)</x:f>
        <x:v>10916.28</x:v>
      </x:c>
      <x:c r="G177" s="30" t="n">
        <x:f>ROUND(E177+F177,2)</x:f>
        <x:v>22320.06</x:v>
      </x:c>
      <x:c r="H177" s="30" t="n">
        <x:f>ROUND(D177-F177,2)</x:f>
        <x:v>1779354.01</x:v>
      </x:c>
      <x:c r="I177" s="33" t="n">
        <x:f>IF(AND(ISNUMBER('Параметры'!$C$7),'Параметры'!$C$7&gt;=0),'Параметры'!$C$7*C177/365,NA())</x:f>
        <x:v>0.00636986301369863</x:v>
      </x:c>
      <x:c r="J177" s="32" t="n">
        <x:f>J176/(1+I177)</x:f>
        <x:v>0.344882199481173</x:v>
      </x:c>
      <x:c r="K177" s="33" t="n">
        <x:f>IF(AND(ISNUMBER('Параметры'!$C$8),'Параметры'!$C$8&gt;=0),'Параметры'!$C$8*C177/365,NA())</x:f>
        <x:v>0.00636986301369863</x:v>
      </x:c>
      <x:c r="L177" s="32" t="n">
        <x:f>L176/(1+K177)</x:f>
        <x:v>0.344882199481173</x:v>
      </x:c>
      <x:c r="M177" s="30" t="n">
        <x:f>E177*L177</x:f>
        <x:v>3932.9607287994113</x:v>
      </x:c>
      <x:c r="N177" s="30" t="n">
        <x:f>F177*L177</x:f>
        <x:v>3764.8306565523394</x:v>
      </x:c>
      <x:c r="O177" s="30" t="n">
        <x:f>G177*L177</x:f>
        <x:v>7697.79138535175</x:v>
      </x:c>
    </x:row>
    <x:row r="178" ht="21" customHeight="1">
      <x:c r="A178" s="28" t="n">
        <x:v>172</x:v>
      </x:c>
      <x:c r="B178" s="29" t="n">
        <x:v>50031</x:v>
      </x:c>
      <x:c r="C178" s="28" t="n">
        <x:f>B178-B177</x:f>
        <x:v>30</x:v>
      </x:c>
      <x:c r="D178" s="30" t="n">
        <x:f>H177</x:f>
        <x:v>1779354.01</x:v>
      </x:c>
      <x:c r="E178" s="30" t="n">
        <x:f>ROUND(D178*I178,2)</x:f>
        <x:v>10968.62</x:v>
      </x:c>
      <x:c r="F178" s="30" t="n">
        <x:f>MIN(D178,'Параметры'!$C$13)</x:f>
        <x:v>10916.28</x:v>
      </x:c>
      <x:c r="G178" s="30" t="n">
        <x:f>ROUND(E178+F178,2)</x:f>
        <x:v>21884.9</x:v>
      </x:c>
      <x:c r="H178" s="30" t="n">
        <x:f>ROUND(D178-F178,2)</x:f>
        <x:v>1768437.73</x:v>
      </x:c>
      <x:c r="I178" s="33" t="n">
        <x:f>IF(AND(ISNUMBER('Параметры'!$C$7),'Параметры'!$C$7&gt;=0),'Параметры'!$C$7*C178/365,NA())</x:f>
        <x:v>0.0061643835616438354</x:v>
      </x:c>
      <x:c r="J178" s="32" t="n">
        <x:f>J177/(1+I178)</x:f>
        <x:v>0.34276923842240475</x:v>
      </x:c>
      <x:c r="K178" s="33" t="n">
        <x:f>IF(AND(ISNUMBER('Параметры'!$C$8),'Параметры'!$C$8&gt;=0),'Параметры'!$C$8*C178/365,NA())</x:f>
        <x:v>0.0061643835616438354</x:v>
      </x:c>
      <x:c r="L178" s="32" t="n">
        <x:f>L177/(1+K178)</x:f>
        <x:v>0.34276923842240475</x:v>
      </x:c>
      <x:c r="M178" s="30" t="n">
        <x:f>E178*L178</x:f>
        <x:v>3759.7055239447577</x:v>
      </x:c>
      <x:c r="N178" s="30" t="n">
        <x:f>F178*L178</x:f>
        <x:v>3741.7649820057286</x:v>
      </x:c>
      <x:c r="O178" s="30" t="n">
        <x:f>G178*L178</x:f>
        <x:v>7501.470505950486</x:v>
      </x:c>
    </x:row>
    <x:row r="179" ht="21" customHeight="1">
      <x:c r="A179" s="28" t="n">
        <x:v>173</x:v>
      </x:c>
      <x:c r="B179" s="29" t="n">
        <x:v>50062</x:v>
      </x:c>
      <x:c r="C179" s="28" t="n">
        <x:f>B179-B178</x:f>
        <x:v>31</x:v>
      </x:c>
      <x:c r="D179" s="30" t="n">
        <x:f>H178</x:f>
        <x:v>1768437.73</x:v>
      </x:c>
      <x:c r="E179" s="30" t="n">
        <x:f>ROUND(D179*I179,2)</x:f>
        <x:v>11264.71</x:v>
      </x:c>
      <x:c r="F179" s="30" t="n">
        <x:f>MIN(D179,'Параметры'!$C$13)</x:f>
        <x:v>10916.28</x:v>
      </x:c>
      <x:c r="G179" s="30" t="n">
        <x:f>ROUND(E179+F179,2)</x:f>
        <x:v>22180.99</x:v>
      </x:c>
      <x:c r="H179" s="30" t="n">
        <x:f>ROUND(D179-F179,2)</x:f>
        <x:v>1757521.45</x:v>
      </x:c>
      <x:c r="I179" s="33" t="n">
        <x:f>IF(AND(ISNUMBER('Параметры'!$C$7),'Параметры'!$C$7&gt;=0),'Параметры'!$C$7*C179/365,NA())</x:f>
        <x:v>0.00636986301369863</x:v>
      </x:c>
      <x:c r="J179" s="32" t="n">
        <x:f>J178/(1+I179)</x:f>
        <x:v>0.3405996652124896</x:v>
      </x:c>
      <x:c r="K179" s="33" t="n">
        <x:f>IF(AND(ISNUMBER('Параметры'!$C$8),'Параметры'!$C$8&gt;=0),'Параметры'!$C$8*C179/365,NA())</x:f>
        <x:v>0.00636986301369863</x:v>
      </x:c>
      <x:c r="L179" s="32" t="n">
        <x:f>L178/(1+K179)</x:f>
        <x:v>0.3405996652124896</x:v>
      </x:c>
      <x:c r="M179" s="30" t="n">
        <x:f>E179*L179</x:f>
        <x:v>3836.756454715783</x:v>
      </x:c>
      <x:c r="N179" s="30" t="n">
        <x:f>F179*L179</x:f>
        <x:v>3718.0813133657957</x:v>
      </x:c>
      <x:c r="O179" s="30" t="n">
        <x:f>G179*L179</x:f>
        <x:v>7554.83776808158</x:v>
      </x:c>
    </x:row>
    <x:row r="180" ht="21" customHeight="1">
      <x:c r="A180" s="28" t="n">
        <x:v>174</x:v>
      </x:c>
      <x:c r="B180" s="29" t="n">
        <x:v>50093</x:v>
      </x:c>
      <x:c r="C180" s="28" t="n">
        <x:f>B180-B179</x:f>
        <x:v>31</x:v>
      </x:c>
      <x:c r="D180" s="30" t="n">
        <x:f>H179</x:f>
        <x:v>1757521.45</x:v>
      </x:c>
      <x:c r="E180" s="30" t="n">
        <x:f>ROUND(D180*I180,2)</x:f>
        <x:v>11195.17</x:v>
      </x:c>
      <x:c r="F180" s="30" t="n">
        <x:f>MIN(D180,'Параметры'!$C$13)</x:f>
        <x:v>10916.28</x:v>
      </x:c>
      <x:c r="G180" s="30" t="n">
        <x:f>ROUND(E180+F180,2)</x:f>
        <x:v>22111.45</x:v>
      </x:c>
      <x:c r="H180" s="30" t="n">
        <x:f>ROUND(D180-F180,2)</x:f>
        <x:v>1746605.17</x:v>
      </x:c>
      <x:c r="I180" s="33" t="n">
        <x:f>IF(AND(ISNUMBER('Параметры'!$C$7),'Параметры'!$C$7&gt;=0),'Параметры'!$C$7*C180/365,NA())</x:f>
        <x:v>0.00636986301369863</x:v>
      </x:c>
      <x:c r="J180" s="32" t="n">
        <x:f>J179/(1+I180)</x:f>
        <x:v>0.3384438244131456</x:v>
      </x:c>
      <x:c r="K180" s="33" t="n">
        <x:f>IF(AND(ISNUMBER('Параметры'!$C$8),'Параметры'!$C$8&gt;=0),'Параметры'!$C$8*C180/365,NA())</x:f>
        <x:v>0.00636986301369863</x:v>
      </x:c>
      <x:c r="L180" s="32" t="n">
        <x:f>L179/(1+K180)</x:f>
        <x:v>0.3384438244131456</x:v>
      </x:c>
      <x:c r="M180" s="30" t="n">
        <x:f>E180*L180</x:f>
        <x:v>3788.936149755315</x:v>
      </x:c>
      <x:c r="N180" s="30" t="n">
        <x:f>F180*L180</x:f>
        <x:v>3694.547551564733</x:v>
      </x:c>
      <x:c r="O180" s="30" t="n">
        <x:f>G180*L180</x:f>
        <x:v>7483.483701320048</x:v>
      </x:c>
    </x:row>
    <x:row r="181" ht="21" customHeight="1">
      <x:c r="A181" s="28" t="n">
        <x:v>175</x:v>
      </x:c>
      <x:c r="B181" s="29" t="n">
        <x:v>50121</x:v>
      </x:c>
      <x:c r="C181" s="28" t="n">
        <x:f>B181-B180</x:f>
        <x:v>28</x:v>
      </x:c>
      <x:c r="D181" s="30" t="n">
        <x:f>H180</x:f>
        <x:v>1746605.17</x:v>
      </x:c>
      <x:c r="E181" s="30" t="n">
        <x:f>ROUND(D181*I181,2)</x:f>
        <x:v>10048.96</x:v>
      </x:c>
      <x:c r="F181" s="30" t="n">
        <x:f>MIN(D181,'Параметры'!$C$13)</x:f>
        <x:v>10916.28</x:v>
      </x:c>
      <x:c r="G181" s="30" t="n">
        <x:f>ROUND(E181+F181,2)</x:f>
        <x:v>20965.24</x:v>
      </x:c>
      <x:c r="H181" s="30" t="n">
        <x:f>ROUND(D181-F181,2)</x:f>
        <x:v>1735688.89</x:v>
      </x:c>
      <x:c r="I181" s="33" t="n">
        <x:f>IF(AND(ISNUMBER('Параметры'!$C$7),'Параметры'!$C$7&gt;=0),'Параметры'!$C$7*C181/365,NA())</x:f>
        <x:v>0.005753424657534247</x:v>
      </x:c>
      <x:c r="J181" s="32" t="n">
        <x:f>J180/(1+I181)</x:f>
        <x:v>0.33650775241296144</x:v>
      </x:c>
      <x:c r="K181" s="33" t="n">
        <x:f>IF(AND(ISNUMBER('Параметры'!$C$8),'Параметры'!$C$8&gt;=0),'Параметры'!$C$8*C181/365,NA())</x:f>
        <x:v>0.005753424657534247</x:v>
      </x:c>
      <x:c r="L181" s="32" t="n">
        <x:f>L180/(1+K181)</x:f>
        <x:v>0.33650775241296144</x:v>
      </x:c>
      <x:c r="M181" s="30" t="n">
        <x:f>E181*L181</x:f>
        <x:v>3381.5529436877528</x:v>
      </x:c>
      <x:c r="N181" s="30" t="n">
        <x:f>F181*L181</x:f>
        <x:v>3673.412847510563</x:v>
      </x:c>
      <x:c r="O181" s="30" t="n">
        <x:f>G181*L181</x:f>
        <x:v>7054.965791198316</x:v>
      </x:c>
    </x:row>
    <x:row r="182" ht="21" customHeight="1">
      <x:c r="A182" s="28" t="n">
        <x:v>176</x:v>
      </x:c>
      <x:c r="B182" s="29" t="n">
        <x:v>50152</x:v>
      </x:c>
      <x:c r="C182" s="28" t="n">
        <x:f>B182-B181</x:f>
        <x:v>31</x:v>
      </x:c>
      <x:c r="D182" s="30" t="n">
        <x:f>H181</x:f>
        <x:v>1735688.89</x:v>
      </x:c>
      <x:c r="E182" s="30" t="n">
        <x:f>ROUND(D182*I182,2)</x:f>
        <x:v>11056.1</x:v>
      </x:c>
      <x:c r="F182" s="30" t="n">
        <x:f>MIN(D182,'Параметры'!$C$13)</x:f>
        <x:v>10916.28</x:v>
      </x:c>
      <x:c r="G182" s="30" t="n">
        <x:f>ROUND(E182+F182,2)</x:f>
        <x:v>21972.38</x:v>
      </x:c>
      <x:c r="H182" s="30" t="n">
        <x:f>ROUND(D182-F182,2)</x:f>
        <x:v>1724772.61</x:v>
      </x:c>
      <x:c r="I182" s="33" t="n">
        <x:f>IF(AND(ISNUMBER('Параметры'!$C$7),'Параметры'!$C$7&gt;=0),'Параметры'!$C$7*C182/365,NA())</x:f>
        <x:v>0.00636986301369863</x:v>
      </x:c>
      <x:c r="J182" s="32" t="n">
        <x:f>J181/(1+I182)</x:f>
        <x:v>0.33437781155851337</x:v>
      </x:c>
      <x:c r="K182" s="33" t="n">
        <x:f>IF(AND(ISNUMBER('Параметры'!$C$8),'Параметры'!$C$8&gt;=0),'Параметры'!$C$8*C182/365,NA())</x:f>
        <x:v>0.00636986301369863</x:v>
      </x:c>
      <x:c r="L182" s="32" t="n">
        <x:f>L181/(1+K182)</x:f>
        <x:v>0.33437781155851337</x:v>
      </x:c>
      <x:c r="M182" s="30" t="n">
        <x:f>E182*L182</x:f>
        <x:v>3696.91452237208</x:v>
      </x:c>
      <x:c r="N182" s="30" t="n">
        <x:f>F182*L182</x:f>
        <x:v>3650.1618167599686</x:v>
      </x:c>
      <x:c r="O182" s="30" t="n">
        <x:f>G182*L182</x:f>
        <x:v>7347.076339132049</x:v>
      </x:c>
    </x:row>
    <x:row r="183" ht="21" customHeight="1">
      <x:c r="A183" s="28" t="n">
        <x:v>177</x:v>
      </x:c>
      <x:c r="B183" s="29" t="n">
        <x:v>50182</x:v>
      </x:c>
      <x:c r="C183" s="28" t="n">
        <x:f>B183-B182</x:f>
        <x:v>30</x:v>
      </x:c>
      <x:c r="D183" s="30" t="n">
        <x:f>H182</x:f>
        <x:v>1724772.61</x:v>
      </x:c>
      <x:c r="E183" s="30" t="n">
        <x:f>ROUND(D183*I183,2)</x:f>
        <x:v>10632.16</x:v>
      </x:c>
      <x:c r="F183" s="30" t="n">
        <x:f>MIN(D183,'Параметры'!$C$13)</x:f>
        <x:v>10916.28</x:v>
      </x:c>
      <x:c r="G183" s="30" t="n">
        <x:f>ROUND(E183+F183,2)</x:f>
        <x:v>21548.44</x:v>
      </x:c>
      <x:c r="H183" s="30" t="n">
        <x:f>ROUND(D183-F183,2)</x:f>
        <x:v>1713856.33</x:v>
      </x:c>
      <x:c r="I183" s="33" t="n">
        <x:f>IF(AND(ISNUMBER('Параметры'!$C$7),'Параметры'!$C$7&gt;=0),'Параметры'!$C$7*C183/365,NA())</x:f>
        <x:v>0.0061643835616438354</x:v>
      </x:c>
      <x:c r="J183" s="32" t="n">
        <x:f>J182/(1+I183)</x:f>
        <x:v>0.3323292068586995</x:v>
      </x:c>
      <x:c r="K183" s="33" t="n">
        <x:f>IF(AND(ISNUMBER('Параметры'!$C$8),'Параметры'!$C$8&gt;=0),'Параметры'!$C$8*C183/365,NA())</x:f>
        <x:v>0.0061643835616438354</x:v>
      </x:c>
      <x:c r="L183" s="32" t="n">
        <x:f>L182/(1+K183)</x:f>
        <x:v>0.3323292068586995</x:v>
      </x:c>
      <x:c r="M183" s="30" t="n">
        <x:f>E183*L183</x:f>
        <x:v>3533.3772999947905</x:v>
      </x:c>
      <x:c r="N183" s="30" t="n">
        <x:f>F183*L183</x:f>
        <x:v>3627.798674247484</x:v>
      </x:c>
      <x:c r="O183" s="30" t="n">
        <x:f>G183*L183</x:f>
        <x:v>7161.175974242274</x:v>
      </x:c>
    </x:row>
    <x:row r="184" ht="21" customHeight="1">
      <x:c r="A184" s="28" t="n">
        <x:v>178</x:v>
      </x:c>
      <x:c r="B184" s="29" t="n">
        <x:v>50213</x:v>
      </x:c>
      <x:c r="C184" s="28" t="n">
        <x:f>B184-B183</x:f>
        <x:v>31</x:v>
      </x:c>
      <x:c r="D184" s="30" t="n">
        <x:f>H183</x:f>
        <x:v>1713856.33</x:v>
      </x:c>
      <x:c r="E184" s="30" t="n">
        <x:f>ROUND(D184*I184,2)</x:f>
        <x:v>10917.03</x:v>
      </x:c>
      <x:c r="F184" s="30" t="n">
        <x:f>MIN(D184,'Параметры'!$C$13)</x:f>
        <x:v>10916.28</x:v>
      </x:c>
      <x:c r="G184" s="30" t="n">
        <x:f>ROUND(E184+F184,2)</x:f>
        <x:v>21833.31</x:v>
      </x:c>
      <x:c r="H184" s="30" t="n">
        <x:f>ROUND(D184-F184,2)</x:f>
        <x:v>1702940.05</x:v>
      </x:c>
      <x:c r="I184" s="33" t="n">
        <x:f>IF(AND(ISNUMBER('Параметры'!$C$7),'Параметры'!$C$7&gt;=0),'Параметры'!$C$7*C184/365,NA())</x:f>
        <x:v>0.00636986301369863</x:v>
      </x:c>
      <x:c r="J184" s="32" t="n">
        <x:f>J183/(1+I184)</x:f>
        <x:v>0.33022571429503933</x:v>
      </x:c>
      <x:c r="K184" s="33" t="n">
        <x:f>IF(AND(ISNUMBER('Параметры'!$C$8),'Параметры'!$C$8&gt;=0),'Параметры'!$C$8*C184/365,NA())</x:f>
        <x:v>0.00636986301369863</x:v>
      </x:c>
      <x:c r="L184" s="32" t="n">
        <x:f>L183/(1+K184)</x:f>
        <x:v>0.33022571429503933</x:v>
      </x:c>
      <x:c r="M184" s="30" t="n">
        <x:f>E184*L184</x:f>
        <x:v>3605.0840297303735</x:v>
      </x:c>
      <x:c r="N184" s="30" t="n">
        <x:f>F184*L184</x:f>
        <x:v>3604.836360444652</x:v>
      </x:c>
      <x:c r="O184" s="30" t="n">
        <x:f>G184*L184</x:f>
        <x:v>7209.920390175025</x:v>
      </x:c>
    </x:row>
    <x:row r="185" ht="21" customHeight="1">
      <x:c r="A185" s="28" t="n">
        <x:v>179</x:v>
      </x:c>
      <x:c r="B185" s="29" t="n">
        <x:v>50243</x:v>
      </x:c>
      <x:c r="C185" s="28" t="n">
        <x:f>B185-B184</x:f>
        <x:v>30</x:v>
      </x:c>
      <x:c r="D185" s="30" t="n">
        <x:f>H184</x:f>
        <x:v>1702940.05</x:v>
      </x:c>
      <x:c r="E185" s="30" t="n">
        <x:f>ROUND(D185*I185,2)</x:f>
        <x:v>10497.58</x:v>
      </x:c>
      <x:c r="F185" s="30" t="n">
        <x:f>MIN(D185,'Параметры'!$C$13)</x:f>
        <x:v>10916.28</x:v>
      </x:c>
      <x:c r="G185" s="30" t="n">
        <x:f>ROUND(E185+F185,2)</x:f>
        <x:v>21413.86</x:v>
      </x:c>
      <x:c r="H185" s="30" t="n">
        <x:f>ROUND(D185-F185,2)</x:f>
        <x:v>1692023.77</x:v>
      </x:c>
      <x:c r="I185" s="33" t="n">
        <x:f>IF(AND(ISNUMBER('Параметры'!$C$7),'Параметры'!$C$7&gt;=0),'Параметры'!$C$7*C185/365,NA())</x:f>
        <x:v>0.0061643835616438354</x:v>
      </x:c>
      <x:c r="J185" s="32" t="n">
        <x:f>J184/(1+I185)</x:f>
        <x:v>0.3282025479038512</x:v>
      </x:c>
      <x:c r="K185" s="33" t="n">
        <x:f>IF(AND(ISNUMBER('Параметры'!$C$8),'Параметры'!$C$8&gt;=0),'Параметры'!$C$8*C185/365,NA())</x:f>
        <x:v>0.0061643835616438354</x:v>
      </x:c>
      <x:c r="L185" s="32" t="n">
        <x:f>L184/(1+K185)</x:f>
        <x:v>0.3282025479038512</x:v>
      </x:c>
      <x:c r="M185" s="30" t="n">
        <x:f>E185*L185</x:f>
        <x:v>3445.3325028245104</x:v>
      </x:c>
      <x:c r="N185" s="30" t="n">
        <x:f>F185*L185</x:f>
        <x:v>3582.750909631853</x:v>
      </x:c>
      <x:c r="O185" s="30" t="n">
        <x:f>G185*L185</x:f>
        <x:v>7028.0834124563635</x:v>
      </x:c>
    </x:row>
    <x:row r="186" ht="21" customHeight="1">
      <x:c r="A186" s="28" t="n">
        <x:v>180</x:v>
      </x:c>
      <x:c r="B186" s="29" t="n">
        <x:v>50274</x:v>
      </x:c>
      <x:c r="C186" s="28" t="n">
        <x:f>B186-B185</x:f>
        <x:v>31</x:v>
      </x:c>
      <x:c r="D186" s="30" t="n">
        <x:f>H185</x:f>
        <x:v>1692023.77</x:v>
      </x:c>
      <x:c r="E186" s="30" t="n">
        <x:f>ROUND(D186*I186,2)</x:f>
        <x:v>10777.96</x:v>
      </x:c>
      <x:c r="F186" s="30" t="n">
        <x:f>MIN(D186,'Параметры'!$C$13)</x:f>
        <x:v>10916.28</x:v>
      </x:c>
      <x:c r="G186" s="30" t="n">
        <x:f>ROUND(E186+F186,2)</x:f>
        <x:v>21694.24</x:v>
      </x:c>
      <x:c r="H186" s="30" t="n">
        <x:f>ROUND(D186-F186,2)</x:f>
        <x:v>1681107.49</x:v>
      </x:c>
      <x:c r="I186" s="33" t="n">
        <x:f>IF(AND(ISNUMBER('Параметры'!$C$7),'Параметры'!$C$7&gt;=0),'Параметры'!$C$7*C186/365,NA())</x:f>
        <x:v>0.00636986301369863</x:v>
      </x:c>
      <x:c r="J186" s="32" t="n">
        <x:f>J185/(1+I186)</x:f>
        <x:v>0.3261251752124296</x:v>
      </x:c>
      <x:c r="K186" s="33" t="n">
        <x:f>IF(AND(ISNUMBER('Параметры'!$C$8),'Параметры'!$C$8&gt;=0),'Параметры'!$C$8*C186/365,NA())</x:f>
        <x:v>0.00636986301369863</x:v>
      </x:c>
      <x:c r="L186" s="32" t="n">
        <x:f>L185/(1+K186)</x:f>
        <x:v>0.3261251752124296</x:v>
      </x:c>
      <x:c r="M186" s="30" t="n">
        <x:f>E186*L186</x:f>
        <x:v>3514.9640934325575</x:v>
      </x:c>
      <x:c r="N186" s="30" t="n">
        <x:f>F186*L186</x:f>
        <x:v>3560.0737276679415</x:v>
      </x:c>
      <x:c r="O186" s="30" t="n">
        <x:f>G186*L186</x:f>
        <x:v>7075.0378211005</x:v>
      </x:c>
    </x:row>
    <x:row r="187" ht="21" customHeight="1">
      <x:c r="A187" s="28" t="n">
        <x:v>181</x:v>
      </x:c>
      <x:c r="B187" s="29" t="n">
        <x:v>50305</x:v>
      </x:c>
      <x:c r="C187" s="28" t="n">
        <x:f>B187-B186</x:f>
        <x:v>31</x:v>
      </x:c>
      <x:c r="D187" s="30" t="n">
        <x:f>H186</x:f>
        <x:v>1681107.49</x:v>
      </x:c>
      <x:c r="E187" s="30" t="n">
        <x:f>ROUND(D187*I187,2)</x:f>
        <x:v>10708.42</x:v>
      </x:c>
      <x:c r="F187" s="30" t="n">
        <x:f>MIN(D187,'Параметры'!$C$13)</x:f>
        <x:v>10916.28</x:v>
      </x:c>
      <x:c r="G187" s="30" t="n">
        <x:f>ROUND(E187+F187,2)</x:f>
        <x:v>21624.7</x:v>
      </x:c>
      <x:c r="H187" s="30" t="n">
        <x:f>ROUND(D187-F187,2)</x:f>
        <x:v>1670191.21</x:v>
      </x:c>
      <x:c r="I187" s="33" t="n">
        <x:f>IF(AND(ISNUMBER('Параметры'!$C$7),'Параметры'!$C$7&gt;=0),'Параметры'!$C$7*C187/365,NA())</x:f>
        <x:v>0.00636986301369863</x:v>
      </x:c>
      <x:c r="J187" s="32" t="n">
        <x:f>J186/(1+I187)</x:f>
        <x:v>0.3240609513442777</x:v>
      </x:c>
      <x:c r="K187" s="33" t="n">
        <x:f>IF(AND(ISNUMBER('Параметры'!$C$8),'Параметры'!$C$8&gt;=0),'Параметры'!$C$8*C187/365,NA())</x:f>
        <x:v>0.00636986301369863</x:v>
      </x:c>
      <x:c r="L187" s="32" t="n">
        <x:f>L186/(1+K187)</x:f>
        <x:v>0.3240609513442777</x:v>
      </x:c>
      <x:c r="M187" s="30" t="n">
        <x:f>E187*L187</x:f>
        <x:v>3470.1807725940903</x:v>
      </x:c>
      <x:c r="N187" s="30" t="n">
        <x:f>F187*L187</x:f>
        <x:v>3537.540081940512</x:v>
      </x:c>
      <x:c r="O187" s="30" t="n">
        <x:f>G187*L187</x:f>
        <x:v>7007.720854534602</x:v>
      </x:c>
    </x:row>
    <x:row r="188" ht="21" customHeight="1">
      <x:c r="A188" s="28" t="n">
        <x:v>182</x:v>
      </x:c>
      <x:c r="B188" s="29" t="n">
        <x:v>50335</x:v>
      </x:c>
      <x:c r="C188" s="28" t="n">
        <x:f>B188-B187</x:f>
        <x:v>30</x:v>
      </x:c>
      <x:c r="D188" s="30" t="n">
        <x:f>H187</x:f>
        <x:v>1670191.21</x:v>
      </x:c>
      <x:c r="E188" s="30" t="n">
        <x:f>ROUND(D188*I188,2)</x:f>
        <x:v>10295.7</x:v>
      </x:c>
      <x:c r="F188" s="30" t="n">
        <x:f>MIN(D188,'Параметры'!$C$13)</x:f>
        <x:v>10916.28</x:v>
      </x:c>
      <x:c r="G188" s="30" t="n">
        <x:f>ROUND(E188+F188,2)</x:f>
        <x:v>21211.98</x:v>
      </x:c>
      <x:c r="H188" s="30" t="n">
        <x:f>ROUND(D188-F188,2)</x:f>
        <x:v>1659274.93</x:v>
      </x:c>
      <x:c r="I188" s="33" t="n">
        <x:f>IF(AND(ISNUMBER('Параметры'!$C$7),'Параметры'!$C$7&gt;=0),'Параметры'!$C$7*C188/365,NA())</x:f>
        <x:v>0.0061643835616438354</x:v>
      </x:c>
      <x:c r="J188" s="32" t="n">
        <x:f>J187/(1+I188)</x:f>
        <x:v>0.32207555409301936</x:v>
      </x:c>
      <x:c r="K188" s="33" t="n">
        <x:f>IF(AND(ISNUMBER('Параметры'!$C$8),'Параметры'!$C$8&gt;=0),'Параметры'!$C$8*C188/365,NA())</x:f>
        <x:v>0.0061643835616438354</x:v>
      </x:c>
      <x:c r="L188" s="32" t="n">
        <x:f>L187/(1+K188)</x:f>
        <x:v>0.32207555409301936</x:v>
      </x:c>
      <x:c r="M188" s="30" t="n">
        <x:f>E188*L188</x:f>
        <x:v>3315.9932822754995</x:v>
      </x:c>
      <x:c r="N188" s="30" t="n">
        <x:f>F188*L188</x:f>
        <x:v>3515.8669296345456</x:v>
      </x:c>
      <x:c r="O188" s="30" t="n">
        <x:f>G188*L188</x:f>
        <x:v>6831.860211910044</x:v>
      </x:c>
    </x:row>
    <x:row r="189" ht="21" customHeight="1">
      <x:c r="A189" s="28" t="n">
        <x:v>183</x:v>
      </x:c>
      <x:c r="B189" s="29" t="n">
        <x:v>50366</x:v>
      </x:c>
      <x:c r="C189" s="28" t="n">
        <x:f>B189-B188</x:f>
        <x:v>31</x:v>
      </x:c>
      <x:c r="D189" s="30" t="n">
        <x:f>H188</x:f>
        <x:v>1659274.93</x:v>
      </x:c>
      <x:c r="E189" s="30" t="n">
        <x:f>ROUND(D189*I189,2)</x:f>
        <x:v>10569.35</x:v>
      </x:c>
      <x:c r="F189" s="30" t="n">
        <x:f>MIN(D189,'Параметры'!$C$13)</x:f>
        <x:v>10916.28</x:v>
      </x:c>
      <x:c r="G189" s="30" t="n">
        <x:f>ROUND(E189+F189,2)</x:f>
        <x:v>21485.63</x:v>
      </x:c>
      <x:c r="H189" s="30" t="n">
        <x:f>ROUND(D189-F189,2)</x:f>
        <x:v>1648358.65</x:v>
      </x:c>
      <x:c r="I189" s="33" t="n">
        <x:f>IF(AND(ISNUMBER('Параметры'!$C$7),'Параметры'!$C$7&gt;=0),'Параметры'!$C$7*C189/365,NA())</x:f>
        <x:v>0.00636986301369863</x:v>
      </x:c>
      <x:c r="J189" s="32" t="n">
        <x:f>J188/(1+I189)</x:f>
        <x:v>0.3200369624826845</x:v>
      </x:c>
      <x:c r="K189" s="33" t="n">
        <x:f>IF(AND(ISNUMBER('Параметры'!$C$8),'Параметры'!$C$8&gt;=0),'Параметры'!$C$8*C189/365,NA())</x:f>
        <x:v>0.00636986301369863</x:v>
      </x:c>
      <x:c r="L189" s="32" t="n">
        <x:f>L188/(1+K189)</x:f>
        <x:v>0.3200369624826845</x:v>
      </x:c>
      <x:c r="M189" s="30" t="n">
        <x:f>E189*L189</x:f>
        <x:v>3382.5826694163616</x:v>
      </x:c>
      <x:c r="N189" s="30" t="n">
        <x:f>F189*L189</x:f>
        <x:v>3493.613092810479</x:v>
      </x:c>
      <x:c r="O189" s="30" t="n">
        <x:f>G189*L189</x:f>
        <x:v>6876.195762226841</x:v>
      </x:c>
    </x:row>
    <x:row r="190" ht="21" customHeight="1">
      <x:c r="A190" s="28" t="n">
        <x:v>184</x:v>
      </x:c>
      <x:c r="B190" s="29" t="n">
        <x:v>50396</x:v>
      </x:c>
      <x:c r="C190" s="28" t="n">
        <x:f>B190-B189</x:f>
        <x:v>30</x:v>
      </x:c>
      <x:c r="D190" s="30" t="n">
        <x:f>H189</x:f>
        <x:v>1648358.65</x:v>
      </x:c>
      <x:c r="E190" s="30" t="n">
        <x:f>ROUND(D190*I190,2)</x:f>
        <x:v>10161.11</x:v>
      </x:c>
      <x:c r="F190" s="30" t="n">
        <x:f>MIN(D190,'Параметры'!$C$13)</x:f>
        <x:v>10916.28</x:v>
      </x:c>
      <x:c r="G190" s="30" t="n">
        <x:f>ROUND(E190+F190,2)</x:f>
        <x:v>21077.39</x:v>
      </x:c>
      <x:c r="H190" s="30" t="n">
        <x:f>ROUND(D190-F190,2)</x:f>
        <x:v>1637442.37</x:v>
      </x:c>
      <x:c r="I190" s="33" t="n">
        <x:f>IF(AND(ISNUMBER('Параметры'!$C$7),'Параметры'!$C$7&gt;=0),'Параметры'!$C$7*C190/365,NA())</x:f>
        <x:v>0.0061643835616438354</x:v>
      </x:c>
      <x:c r="J190" s="32" t="n">
        <x:f>J189/(1+I190)</x:f>
        <x:v>0.3180762186689716</x:v>
      </x:c>
      <x:c r="K190" s="33" t="n">
        <x:f>IF(AND(ISNUMBER('Параметры'!$C$8),'Параметры'!$C$8&gt;=0),'Параметры'!$C$8*C190/365,NA())</x:f>
        <x:v>0.0061643835616438354</x:v>
      </x:c>
      <x:c r="L190" s="32" t="n">
        <x:f>L189/(1+K190)</x:f>
        <x:v>0.3180762186689716</x:v>
      </x:c>
      <x:c r="M190" s="30" t="n">
        <x:f>E190*L190</x:f>
        <x:v>3232.0074462794746</x:v>
      </x:c>
      <x:c r="N190" s="30" t="n">
        <x:f>F190*L190</x:f>
        <x:v>3472.209064331722</x:v>
      </x:c>
      <x:c r="O190" s="30" t="n">
        <x:f>G190*L190</x:f>
        <x:v>6704.216510611195</x:v>
      </x:c>
    </x:row>
    <x:row r="191" ht="21" customHeight="1">
      <x:c r="A191" s="28" t="n">
        <x:v>185</x:v>
      </x:c>
      <x:c r="B191" s="29" t="n">
        <x:v>50427</x:v>
      </x:c>
      <x:c r="C191" s="28" t="n">
        <x:f>B191-B190</x:f>
        <x:v>31</x:v>
      </x:c>
      <x:c r="D191" s="30" t="n">
        <x:f>H190</x:f>
        <x:v>1637442.37</x:v>
      </x:c>
      <x:c r="E191" s="30" t="n">
        <x:f>ROUND(D191*I191,2)</x:f>
        <x:v>10430.28</x:v>
      </x:c>
      <x:c r="F191" s="30" t="n">
        <x:f>MIN(D191,'Параметры'!$C$13)</x:f>
        <x:v>10916.28</x:v>
      </x:c>
      <x:c r="G191" s="30" t="n">
        <x:f>ROUND(E191+F191,2)</x:f>
        <x:v>21346.56</x:v>
      </x:c>
      <x:c r="H191" s="30" t="n">
        <x:f>ROUND(D191-F191,2)</x:f>
        <x:v>1626526.09</x:v>
      </x:c>
      <x:c r="I191" s="33" t="n">
        <x:f>IF(AND(ISNUMBER('Параметры'!$C$7),'Параметры'!$C$7&gt;=0),'Параметры'!$C$7*C191/365,NA())</x:f>
        <x:v>0.00636986301369863</x:v>
      </x:c>
      <x:c r="J191" s="32" t="n">
        <x:f>J190/(1+I191)</x:f>
        <x:v>0.3160629410308981</x:v>
      </x:c>
      <x:c r="K191" s="33" t="n">
        <x:f>IF(AND(ISNUMBER('Параметры'!$C$8),'Параметры'!$C$8&gt;=0),'Параметры'!$C$8*C191/365,NA())</x:f>
        <x:v>0.00636986301369863</x:v>
      </x:c>
      <x:c r="L191" s="32" t="n">
        <x:f>L190/(1+K191)</x:f>
        <x:v>0.3160629410308981</x:v>
      </x:c>
      <x:c r="M191" s="30" t="n">
        <x:f>E191*L191</x:f>
        <x:v>3296.624972575756</x:v>
      </x:c>
      <x:c r="N191" s="30" t="n">
        <x:f>F191*L191</x:f>
        <x:v>3450.2315619167725</x:v>
      </x:c>
      <x:c r="O191" s="30" t="n">
        <x:f>G191*L191</x:f>
        <x:v>6746.856534492528</x:v>
      </x:c>
    </x:row>
    <x:row r="192" ht="21" customHeight="1">
      <x:c r="A192" s="28" t="n">
        <x:v>186</x:v>
      </x:c>
      <x:c r="B192" s="29" t="n">
        <x:v>50458</x:v>
      </x:c>
      <x:c r="C192" s="28" t="n">
        <x:f>B192-B191</x:f>
        <x:v>31</x:v>
      </x:c>
      <x:c r="D192" s="30" t="n">
        <x:f>H191</x:f>
        <x:v>1626526.09</x:v>
      </x:c>
      <x:c r="E192" s="30" t="n">
        <x:f>ROUND(D192*I192,2)</x:f>
        <x:v>10360.75</x:v>
      </x:c>
      <x:c r="F192" s="30" t="n">
        <x:f>MIN(D192,'Параметры'!$C$13)</x:f>
        <x:v>10916.28</x:v>
      </x:c>
      <x:c r="G192" s="30" t="n">
        <x:f>ROUND(E192+F192,2)</x:f>
        <x:v>21277.03</x:v>
      </x:c>
      <x:c r="H192" s="30" t="n">
        <x:f>ROUND(D192-F192,2)</x:f>
        <x:v>1615609.81</x:v>
      </x:c>
      <x:c r="I192" s="33" t="n">
        <x:f>IF(AND(ISNUMBER('Параметры'!$C$7),'Параметры'!$C$7&gt;=0),'Параметры'!$C$7*C192/365,NA())</x:f>
        <x:v>0.00636986301369863</x:v>
      </x:c>
      <x:c r="J192" s="32" t="n">
        <x:f>J191/(1+I192)</x:f>
        <x:v>0.3140624065235903</x:v>
      </x:c>
      <x:c r="K192" s="33" t="n">
        <x:f>IF(AND(ISNUMBER('Параметры'!$C$8),'Параметры'!$C$8&gt;=0),'Параметры'!$C$8*C192/365,NA())</x:f>
        <x:v>0.00636986301369863</x:v>
      </x:c>
      <x:c r="L192" s="32" t="n">
        <x:f>L191/(1+K192)</x:f>
        <x:v>0.3140624065235903</x:v>
      </x:c>
      <x:c r="M192" s="30" t="n">
        <x:f>E192*L192</x:f>
        <x:v>3253.9220783892883</x:v>
      </x:c>
      <x:c r="N192" s="30" t="n">
        <x:f>F192*L192</x:f>
        <x:v>3428.3931670853385</x:v>
      </x:c>
      <x:c r="O192" s="30" t="n">
        <x:f>G192*L192</x:f>
        <x:v>6682.315245474626</x:v>
      </x:c>
    </x:row>
    <x:row r="193" ht="21" customHeight="1">
      <x:c r="A193" s="28" t="n">
        <x:v>187</x:v>
      </x:c>
      <x:c r="B193" s="29" t="n">
        <x:v>50486</x:v>
      </x:c>
      <x:c r="C193" s="28" t="n">
        <x:f>B193-B192</x:f>
        <x:v>28</x:v>
      </x:c>
      <x:c r="D193" s="30" t="n">
        <x:f>H192</x:f>
        <x:v>1615609.81</x:v>
      </x:c>
      <x:c r="E193" s="30" t="n">
        <x:f>ROUND(D193*I193,2)</x:f>
        <x:v>9295.29</x:v>
      </x:c>
      <x:c r="F193" s="30" t="n">
        <x:f>MIN(D193,'Параметры'!$C$13)</x:f>
        <x:v>10916.28</x:v>
      </x:c>
      <x:c r="G193" s="30" t="n">
        <x:f>ROUND(E193+F193,2)</x:f>
        <x:v>20211.57</x:v>
      </x:c>
      <x:c r="H193" s="30" t="n">
        <x:f>ROUND(D193-F193,2)</x:f>
        <x:v>1604693.53</x:v>
      </x:c>
      <x:c r="I193" s="33" t="n">
        <x:f>IF(AND(ISNUMBER('Параметры'!$C$7),'Параметры'!$C$7&gt;=0),'Параметры'!$C$7*C193/365,NA())</x:f>
        <x:v>0.005753424657534247</x:v>
      </x:c>
      <x:c r="J193" s="32" t="n">
        <x:f>J192/(1+I193)</x:f>
        <x:v>0.3122658087199958</x:v>
      </x:c>
      <x:c r="K193" s="33" t="n">
        <x:f>IF(AND(ISNUMBER('Параметры'!$C$8),'Параметры'!$C$8&gt;=0),'Параметры'!$C$8*C193/365,NA())</x:f>
        <x:v>0.005753424657534247</x:v>
      </x:c>
      <x:c r="L193" s="32" t="n">
        <x:f>L192/(1+K193)</x:f>
        <x:v>0.3122658087199958</x:v>
      </x:c>
      <x:c r="M193" s="30" t="n">
        <x:f>E193*L193</x:f>
        <x:v>2902.60124913689</x:v>
      </x:c>
      <x:c r="N193" s="30" t="n">
        <x:f>F193*L193</x:f>
        <x:v>3408.781002413916</x:v>
      </x:c>
      <x:c r="O193" s="30" t="n">
        <x:f>G193*L193</x:f>
        <x:v>6311.382251550805</x:v>
      </x:c>
    </x:row>
    <x:row r="194" ht="21" customHeight="1">
      <x:c r="A194" s="28" t="n">
        <x:v>188</x:v>
      </x:c>
      <x:c r="B194" s="29" t="n">
        <x:v>50517</x:v>
      </x:c>
      <x:c r="C194" s="28" t="n">
        <x:f>B194-B193</x:f>
        <x:v>31</x:v>
      </x:c>
      <x:c r="D194" s="30" t="n">
        <x:f>H193</x:f>
        <x:v>1604693.53</x:v>
      </x:c>
      <x:c r="E194" s="30" t="n">
        <x:f>ROUND(D194*I194,2)</x:f>
        <x:v>10221.68</x:v>
      </x:c>
      <x:c r="F194" s="30" t="n">
        <x:f>MIN(D194,'Параметры'!$C$13)</x:f>
        <x:v>10916.28</x:v>
      </x:c>
      <x:c r="G194" s="30" t="n">
        <x:f>ROUND(E194+F194,2)</x:f>
        <x:v>21137.96</x:v>
      </x:c>
      <x:c r="H194" s="30" t="n">
        <x:f>ROUND(D194-F194,2)</x:f>
        <x:v>1593777.25</x:v>
      </x:c>
      <x:c r="I194" s="33" t="n">
        <x:f>IF(AND(ISNUMBER('Параметры'!$C$7),'Параметры'!$C$7&gt;=0),'Параметры'!$C$7*C194/365,NA())</x:f>
        <x:v>0.00636986301369863</x:v>
      </x:c>
      <x:c r="J194" s="32" t="n">
        <x:f>J193/(1+I194)</x:f>
        <x:v>0.3102893083313101</x:v>
      </x:c>
      <x:c r="K194" s="33" t="n">
        <x:f>IF(AND(ISNUMBER('Параметры'!$C$8),'Параметры'!$C$8&gt;=0),'Параметры'!$C$8*C194/365,NA())</x:f>
        <x:v>0.00636986301369863</x:v>
      </x:c>
      <x:c r="L194" s="32" t="n">
        <x:f>L193/(1+K194)</x:f>
        <x:v>0.3102893083313101</x:v>
      </x:c>
      <x:c r="M194" s="30" t="n">
        <x:f>E194*L194</x:f>
        <x:v>3171.6780171839855</x:v>
      </x:c>
      <x:c r="N194" s="30" t="n">
        <x:f>F194*L194</x:f>
        <x:v>3387.2049707509136</x:v>
      </x:c>
      <x:c r="O194" s="30" t="n">
        <x:f>G194*L194</x:f>
        <x:v>6558.882987934899</x:v>
      </x:c>
    </x:row>
    <x:row r="195" ht="21" customHeight="1">
      <x:c r="A195" s="28" t="n">
        <x:v>189</x:v>
      </x:c>
      <x:c r="B195" s="29" t="n">
        <x:v>50547</x:v>
      </x:c>
      <x:c r="C195" s="28" t="n">
        <x:f>B195-B194</x:f>
        <x:v>30</x:v>
      </x:c>
      <x:c r="D195" s="30" t="n">
        <x:f>H194</x:f>
        <x:v>1593777.25</x:v>
      </x:c>
      <x:c r="E195" s="30" t="n">
        <x:f>ROUND(D195*I195,2)</x:f>
        <x:v>9824.65</x:v>
      </x:c>
      <x:c r="F195" s="30" t="n">
        <x:f>MIN(D195,'Параметры'!$C$13)</x:f>
        <x:v>10916.28</x:v>
      </x:c>
      <x:c r="G195" s="30" t="n">
        <x:f>ROUND(E195+F195,2)</x:f>
        <x:v>20740.93</x:v>
      </x:c>
      <x:c r="H195" s="30" t="n">
        <x:f>ROUND(D195-F195,2)</x:f>
        <x:v>1582860.97</x:v>
      </x:c>
      <x:c r="I195" s="33" t="n">
        <x:f>IF(AND(ISNUMBER('Параметры'!$C$7),'Параметры'!$C$7&gt;=0),'Параметры'!$C$7*C195/365,NA())</x:f>
        <x:v>0.0061643835616438354</x:v>
      </x:c>
      <x:c r="J195" s="32" t="n">
        <x:f>J194/(1+I195)</x:f>
        <x:v>0.3083882846587561</x:v>
      </x:c>
      <x:c r="K195" s="33" t="n">
        <x:f>IF(AND(ISNUMBER('Параметры'!$C$8),'Параметры'!$C$8&gt;=0),'Параметры'!$C$8*C195/365,NA())</x:f>
        <x:v>0.0061643835616438354</x:v>
      </x:c>
      <x:c r="L195" s="32" t="n">
        <x:f>L194/(1+K195)</x:f>
        <x:v>0.3083882846587561</x:v>
      </x:c>
      <x:c r="M195" s="30" t="n">
        <x:f>E195*L195</x:f>
        <x:v>3029.8069608726482</x:v>
      </x:c>
      <x:c r="N195" s="30" t="n">
        <x:f>F195*L195</x:f>
        <x:v>3366.4528640546864</x:v>
      </x:c>
      <x:c r="O195" s="30" t="n">
        <x:f>G195*L195</x:f>
        <x:v>6396.259824927334</x:v>
      </x:c>
    </x:row>
    <x:row r="196" ht="21" customHeight="1">
      <x:c r="A196" s="28" t="n">
        <x:v>190</x:v>
      </x:c>
      <x:c r="B196" s="29" t="n">
        <x:v>50578</x:v>
      </x:c>
      <x:c r="C196" s="28" t="n">
        <x:f>B196-B195</x:f>
        <x:v>31</x:v>
      </x:c>
      <x:c r="D196" s="30" t="n">
        <x:f>H195</x:f>
        <x:v>1582860.97</x:v>
      </x:c>
      <x:c r="E196" s="30" t="n">
        <x:f>ROUND(D196*I196,2)</x:f>
        <x:v>10082.61</x:v>
      </x:c>
      <x:c r="F196" s="30" t="n">
        <x:f>MIN(D196,'Параметры'!$C$13)</x:f>
        <x:v>10916.28</x:v>
      </x:c>
      <x:c r="G196" s="30" t="n">
        <x:f>ROUND(E196+F196,2)</x:f>
        <x:v>20998.89</x:v>
      </x:c>
      <x:c r="H196" s="30" t="n">
        <x:f>ROUND(D196-F196,2)</x:f>
        <x:v>1571944.69</x:v>
      </x:c>
      <x:c r="I196" s="33" t="n">
        <x:f>IF(AND(ISNUMBER('Параметры'!$C$7),'Параметры'!$C$7&gt;=0),'Параметры'!$C$7*C196/365,NA())</x:f>
        <x:v>0.00636986301369863</x:v>
      </x:c>
      <x:c r="J196" s="32" t="n">
        <x:f>J195/(1+I196)</x:f>
        <x:v>0.3064363272318682</x:v>
      </x:c>
      <x:c r="K196" s="33" t="n">
        <x:f>IF(AND(ISNUMBER('Параметры'!$C$8),'Параметры'!$C$8&gt;=0),'Параметры'!$C$8*C196/365,NA())</x:f>
        <x:v>0.00636986301369863</x:v>
      </x:c>
      <x:c r="L196" s="32" t="n">
        <x:f>L195/(1+K196)</x:f>
        <x:v>0.3064363272318682</x:v>
      </x:c>
      <x:c r="M196" s="30" t="n">
        <x:f>E196*L196</x:f>
        <x:v>3089.6779773113067</x:v>
      </x:c>
      <x:c r="N196" s="30" t="n">
        <x:f>F196*L196</x:f>
        <x:v>3345.144750234698</x:v>
      </x:c>
      <x:c r="O196" s="30" t="n">
        <x:f>G196*L196</x:f>
        <x:v>6434.822727546005</x:v>
      </x:c>
    </x:row>
    <x:row r="197" ht="21" customHeight="1">
      <x:c r="A197" s="28" t="n">
        <x:v>191</x:v>
      </x:c>
      <x:c r="B197" s="29" t="n">
        <x:v>50608</x:v>
      </x:c>
      <x:c r="C197" s="28" t="n">
        <x:f>B197-B196</x:f>
        <x:v>30</x:v>
      </x:c>
      <x:c r="D197" s="30" t="n">
        <x:f>H196</x:f>
        <x:v>1571944.69</x:v>
      </x:c>
      <x:c r="E197" s="30" t="n">
        <x:f>ROUND(D197*I197,2)</x:f>
        <x:v>9690.07</x:v>
      </x:c>
      <x:c r="F197" s="30" t="n">
        <x:f>MIN(D197,'Параметры'!$C$13)</x:f>
        <x:v>10916.28</x:v>
      </x:c>
      <x:c r="G197" s="30" t="n">
        <x:f>ROUND(E197+F197,2)</x:f>
        <x:v>20606.35</x:v>
      </x:c>
      <x:c r="H197" s="30" t="n">
        <x:f>ROUND(D197-F197,2)</x:f>
        <x:v>1561028.41</x:v>
      </x:c>
      <x:c r="I197" s="33" t="n">
        <x:f>IF(AND(ISNUMBER('Параметры'!$C$7),'Параметры'!$C$7&gt;=0),'Параметры'!$C$7*C197/365,NA())</x:f>
        <x:v>0.0061643835616438354</x:v>
      </x:c>
      <x:c r="J197" s="32" t="n">
        <x:f>J196/(1+I197)</x:f>
        <x:v>0.3045589092978404</x:v>
      </x:c>
      <x:c r="K197" s="33" t="n">
        <x:f>IF(AND(ISNUMBER('Параметры'!$C$8),'Параметры'!$C$8&gt;=0),'Параметры'!$C$8*C197/365,NA())</x:f>
        <x:v>0.0061643835616438354</x:v>
      </x:c>
      <x:c r="L197" s="32" t="n">
        <x:f>L196/(1+K197)</x:f>
        <x:v>0.3045589092978404</x:v>
      </x:c>
      <x:c r="M197" s="30" t="n">
        <x:f>E197*L197</x:f>
        <x:v>2951.1971502197243</x:v>
      </x:c>
      <x:c r="N197" s="30" t="n">
        <x:f>F197*L197</x:f>
        <x:v>3324.6503303898294</x:v>
      </x:c>
      <x:c r="O197" s="30" t="n">
        <x:f>G197*L197</x:f>
        <x:v>6275.847480609553</x:v>
      </x:c>
    </x:row>
    <x:row r="198" ht="21" customHeight="1">
      <x:c r="A198" s="28" t="n">
        <x:v>192</x:v>
      </x:c>
      <x:c r="B198" s="29" t="n">
        <x:v>50639</x:v>
      </x:c>
      <x:c r="C198" s="28" t="n">
        <x:f>B198-B197</x:f>
        <x:v>31</x:v>
      </x:c>
      <x:c r="D198" s="30" t="n">
        <x:f>H197</x:f>
        <x:v>1561028.41</x:v>
      </x:c>
      <x:c r="E198" s="30" t="n">
        <x:f>ROUND(D198*I198,2)</x:f>
        <x:v>9943.54</x:v>
      </x:c>
      <x:c r="F198" s="30" t="n">
        <x:f>MIN(D198,'Параметры'!$C$13)</x:f>
        <x:v>10916.28</x:v>
      </x:c>
      <x:c r="G198" s="30" t="n">
        <x:f>ROUND(E198+F198,2)</x:f>
        <x:v>20859.82</x:v>
      </x:c>
      <x:c r="H198" s="30" t="n">
        <x:f>ROUND(D198-F198,2)</x:f>
        <x:v>1550112.13</x:v>
      </x:c>
      <x:c r="I198" s="33" t="n">
        <x:f>IF(AND(ISNUMBER('Параметры'!$C$7),'Параметры'!$C$7&gt;=0),'Параметры'!$C$7*C198/365,NA())</x:f>
        <x:v>0.00636986301369863</x:v>
      </x:c>
      <x:c r="J198" s="32" t="n">
        <x:f>J197/(1+I198)</x:f>
        <x:v>0.3026311900734003</x:v>
      </x:c>
      <x:c r="K198" s="33" t="n">
        <x:f>IF(AND(ISNUMBER('Параметры'!$C$8),'Параметры'!$C$8&gt;=0),'Параметры'!$C$8*C198/365,NA())</x:f>
        <x:v>0.00636986301369863</x:v>
      </x:c>
      <x:c r="L198" s="32" t="n">
        <x:f>L197/(1+K198)</x:f>
        <x:v>0.3026311900734003</x:v>
      </x:c>
      <x:c r="M198" s="30" t="n">
        <x:f>E198*L198</x:f>
        <x:v>3009.225343742459</x:v>
      </x:c>
      <x:c r="N198" s="30" t="n">
        <x:f>F198*L198</x:f>
        <x:v>3303.6068075744583</x:v>
      </x:c>
      <x:c r="O198" s="30" t="n">
        <x:f>G198*L198</x:f>
        <x:v>6312.832151316917</x:v>
      </x:c>
    </x:row>
    <x:row r="199" ht="21" customHeight="1">
      <x:c r="A199" s="28" t="n">
        <x:v>193</x:v>
      </x:c>
      <x:c r="B199" s="29" t="n">
        <x:v>50670</x:v>
      </x:c>
      <x:c r="C199" s="28" t="n">
        <x:f>B199-B198</x:f>
        <x:v>31</x:v>
      </x:c>
      <x:c r="D199" s="30" t="n">
        <x:f>H198</x:f>
        <x:v>1550112.13</x:v>
      </x:c>
      <x:c r="E199" s="30" t="n">
        <x:f>ROUND(D199*I199,2)</x:f>
        <x:v>9874</x:v>
      </x:c>
      <x:c r="F199" s="30" t="n">
        <x:f>MIN(D199,'Параметры'!$C$13)</x:f>
        <x:v>10916.28</x:v>
      </x:c>
      <x:c r="G199" s="30" t="n">
        <x:f>ROUND(E199+F199,2)</x:f>
        <x:v>20790.28</x:v>
      </x:c>
      <x:c r="H199" s="30" t="n">
        <x:f>ROUND(D199-F199,2)</x:f>
        <x:v>1539195.85</x:v>
      </x:c>
      <x:c r="I199" s="33" t="n">
        <x:f>IF(AND(ISNUMBER('Параметры'!$C$7),'Параметры'!$C$7&gt;=0),'Параметры'!$C$7*C199/365,NA())</x:f>
        <x:v>0.00636986301369863</x:v>
      </x:c>
      <x:c r="J199" s="32" t="n">
        <x:f>J198/(1+I199)</x:f>
        <x:v>0.30071567243392394</x:v>
      </x:c>
      <x:c r="K199" s="33" t="n">
        <x:f>IF(AND(ISNUMBER('Параметры'!$C$8),'Параметры'!$C$8&gt;=0),'Параметры'!$C$8*C199/365,NA())</x:f>
        <x:v>0.00636986301369863</x:v>
      </x:c>
      <x:c r="L199" s="32" t="n">
        <x:f>L198/(1+K199)</x:f>
        <x:v>0.30071567243392394</x:v>
      </x:c>
      <x:c r="M199" s="30" t="n">
        <x:f>E199*L199</x:f>
        <x:v>2969.266549612565</x:v>
      </x:c>
      <x:c r="N199" s="30" t="n">
        <x:f>F199*L199</x:f>
        <x:v>3282.6964806769956</x:v>
      </x:c>
      <x:c r="O199" s="30" t="n">
        <x:f>G199*L199</x:f>
        <x:v>6251.96303028956</x:v>
      </x:c>
    </x:row>
    <x:row r="200" ht="21" customHeight="1">
      <x:c r="A200" s="28" t="n">
        <x:v>194</x:v>
      </x:c>
      <x:c r="B200" s="29" t="n">
        <x:v>50700</x:v>
      </x:c>
      <x:c r="C200" s="28" t="n">
        <x:f>B200-B199</x:f>
        <x:v>30</x:v>
      </x:c>
      <x:c r="D200" s="30" t="n">
        <x:f>H199</x:f>
        <x:v>1539195.85</x:v>
      </x:c>
      <x:c r="E200" s="30" t="n">
        <x:f>ROUND(D200*I200,2)</x:f>
        <x:v>9488.19</x:v>
      </x:c>
      <x:c r="F200" s="30" t="n">
        <x:f>MIN(D200,'Параметры'!$C$13)</x:f>
        <x:v>10916.28</x:v>
      </x:c>
      <x:c r="G200" s="30" t="n">
        <x:f>ROUND(E200+F200,2)</x:f>
        <x:v>20404.47</x:v>
      </x:c>
      <x:c r="H200" s="30" t="n">
        <x:f>ROUND(D200-F200,2)</x:f>
        <x:v>1528279.57</x:v>
      </x:c>
      <x:c r="I200" s="33" t="n">
        <x:f>IF(AND(ISNUMBER('Параметры'!$C$7),'Параметры'!$C$7&gt;=0),'Параметры'!$C$7*C200/365,NA())</x:f>
        <x:v>0.0061643835616438354</x:v>
      </x:c>
      <x:c r="J200" s="32" t="n">
        <x:f>J199/(1+I200)</x:f>
        <x:v>0.29887330275937984</x:v>
      </x:c>
      <x:c r="K200" s="33" t="n">
        <x:f>IF(AND(ISNUMBER('Параметры'!$C$8),'Параметры'!$C$8&gt;=0),'Параметры'!$C$8*C200/365,NA())</x:f>
        <x:v>0.0061643835616438354</x:v>
      </x:c>
      <x:c r="L200" s="32" t="n">
        <x:f>L199/(1+K200)</x:f>
        <x:v>0.29887330275937984</x:v>
      </x:c>
      <x:c r="M200" s="30" t="n">
        <x:f>E200*L200</x:f>
        <x:v>2835.7666825085203</x:v>
      </x:c>
      <x:c r="N200" s="30" t="n">
        <x:f>F200*L200</x:f>
        <x:v>3262.5846574461634</x:v>
      </x:c>
      <x:c r="O200" s="30" t="n">
        <x:f>G200*L200</x:f>
        <x:v>6098.351339954684</x:v>
      </x:c>
    </x:row>
    <x:row r="201" ht="21" customHeight="1">
      <x:c r="A201" s="28" t="n">
        <x:v>195</x:v>
      </x:c>
      <x:c r="B201" s="29" t="n">
        <x:v>50731</x:v>
      </x:c>
      <x:c r="C201" s="28" t="n">
        <x:f>B201-B200</x:f>
        <x:v>31</x:v>
      </x:c>
      <x:c r="D201" s="30" t="n">
        <x:f>H200</x:f>
        <x:v>1528279.57</x:v>
      </x:c>
      <x:c r="E201" s="30" t="n">
        <x:f>ROUND(D201*I201,2)</x:f>
        <x:v>9734.93</x:v>
      </x:c>
      <x:c r="F201" s="30" t="n">
        <x:f>MIN(D201,'Параметры'!$C$13)</x:f>
        <x:v>10916.28</x:v>
      </x:c>
      <x:c r="G201" s="30" t="n">
        <x:f>ROUND(E201+F201,2)</x:f>
        <x:v>20651.21</x:v>
      </x:c>
      <x:c r="H201" s="30" t="n">
        <x:f>ROUND(D201-F201,2)</x:f>
        <x:v>1517363.29</x:v>
      </x:c>
      <x:c r="I201" s="33" t="n">
        <x:f>IF(AND(ISNUMBER('Параметры'!$C$7),'Параметры'!$C$7&gt;=0),'Параметры'!$C$7*C201/365,NA())</x:f>
        <x:v>0.00636986301369863</x:v>
      </x:c>
      <x:c r="J201" s="32" t="n">
        <x:f>J200/(1+I201)</x:f>
        <x:v>0.29698157083556426</x:v>
      </x:c>
      <x:c r="K201" s="33" t="n">
        <x:f>IF(AND(ISNUMBER('Параметры'!$C$8),'Параметры'!$C$8&gt;=0),'Параметры'!$C$8*C201/365,NA())</x:f>
        <x:v>0.00636986301369863</x:v>
      </x:c>
      <x:c r="L201" s="32" t="n">
        <x:f>L200/(1+K201)</x:f>
        <x:v>0.29698157083556426</x:v>
      </x:c>
      <x:c r="M201" s="30" t="n">
        <x:f>E201*L201</x:f>
        <x:v>2891.0948033742598</x:v>
      </x:c>
      <x:c r="N201" s="30" t="n">
        <x:f>F201*L201</x:f>
        <x:v>3241.9339820808536</x:v>
      </x:c>
      <x:c r="O201" s="30" t="n">
        <x:f>G201*L201</x:f>
        <x:v>6133.0287854551125</x:v>
      </x:c>
    </x:row>
    <x:row r="202" ht="21" customHeight="1">
      <x:c r="A202" s="28" t="n">
        <x:v>196</x:v>
      </x:c>
      <x:c r="B202" s="29" t="n">
        <x:v>50761</x:v>
      </x:c>
      <x:c r="C202" s="28" t="n">
        <x:f>B202-B201</x:f>
        <x:v>30</x:v>
      </x:c>
      <x:c r="D202" s="30" t="n">
        <x:f>H201</x:f>
        <x:v>1517363.29</x:v>
      </x:c>
      <x:c r="E202" s="30" t="n">
        <x:f>ROUND(D202*I202,2)</x:f>
        <x:v>9353.61</x:v>
      </x:c>
      <x:c r="F202" s="30" t="n">
        <x:f>MIN(D202,'Параметры'!$C$13)</x:f>
        <x:v>10916.28</x:v>
      </x:c>
      <x:c r="G202" s="30" t="n">
        <x:f>ROUND(E202+F202,2)</x:f>
        <x:v>20269.89</x:v>
      </x:c>
      <x:c r="H202" s="30" t="n">
        <x:f>ROUND(D202-F202,2)</x:f>
        <x:v>1506447.01</x:v>
      </x:c>
      <x:c r="I202" s="33" t="n">
        <x:f>IF(AND(ISNUMBER('Параметры'!$C$7),'Параметры'!$C$7&gt;=0),'Параметры'!$C$7*C202/365,NA())</x:f>
        <x:v>0.0061643835616438354</x:v>
      </x:c>
      <x:c r="J202" s="32" t="n">
        <x:f>J201/(1+I202)</x:f>
        <x:v>0.2951620785704042</x:v>
      </x:c>
      <x:c r="K202" s="33" t="n">
        <x:f>IF(AND(ISNUMBER('Параметры'!$C$8),'Параметры'!$C$8&gt;=0),'Параметры'!$C$8*C202/365,NA())</x:f>
        <x:v>0.0061643835616438354</x:v>
      </x:c>
      <x:c r="L202" s="32" t="n">
        <x:f>L201/(1+K202)</x:f>
        <x:v>0.2951620785704042</x:v>
      </x:c>
      <x:c r="M202" s="30" t="n">
        <x:f>E202*L202</x:f>
        <x:v>2760.8309697369186</x:v>
      </x:c>
      <x:c r="N202" s="30" t="n">
        <x:f>F202*L202</x:f>
        <x:v>3222.0718950565324</x:v>
      </x:c>
      <x:c r="O202" s="30" t="n">
        <x:f>G202*L202</x:f>
        <x:v>5982.90286479345</x:v>
      </x:c>
    </x:row>
    <x:row r="203" ht="21" customHeight="1">
      <x:c r="A203" s="28" t="n">
        <x:v>197</x:v>
      </x:c>
      <x:c r="B203" s="29" t="n">
        <x:v>50792</x:v>
      </x:c>
      <x:c r="C203" s="28" t="n">
        <x:f>B203-B202</x:f>
        <x:v>31</x:v>
      </x:c>
      <x:c r="D203" s="30" t="n">
        <x:f>H202</x:f>
        <x:v>1506447.01</x:v>
      </x:c>
      <x:c r="E203" s="30" t="n">
        <x:f>ROUND(D203*I203,2)</x:f>
        <x:v>9595.86</x:v>
      </x:c>
      <x:c r="F203" s="30" t="n">
        <x:f>MIN(D203,'Параметры'!$C$13)</x:f>
        <x:v>10916.28</x:v>
      </x:c>
      <x:c r="G203" s="30" t="n">
        <x:f>ROUND(E203+F203,2)</x:f>
        <x:v>20512.14</x:v>
      </x:c>
      <x:c r="H203" s="30" t="n">
        <x:f>ROUND(D203-F203,2)</x:f>
        <x:v>1495530.73</x:v>
      </x:c>
      <x:c r="I203" s="33" t="n">
        <x:f>IF(AND(ISNUMBER('Параметры'!$C$7),'Параметры'!$C$7&gt;=0),'Параметры'!$C$7*C203/365,NA())</x:f>
        <x:v>0.00636986301369863</x:v>
      </x:c>
      <x:c r="J203" s="32" t="n">
        <x:f>J202/(1+I203)</x:f>
        <x:v>0.2932938370059145</x:v>
      </x:c>
      <x:c r="K203" s="33" t="n">
        <x:f>IF(AND(ISNUMBER('Параметры'!$C$8),'Параметры'!$C$8&gt;=0),'Параметры'!$C$8*C203/365,NA())</x:f>
        <x:v>0.00636986301369863</x:v>
      </x:c>
      <x:c r="L203" s="32" t="n">
        <x:f>L202/(1+K203)</x:f>
        <x:v>0.2932938370059145</x:v>
      </x:c>
      <x:c r="M203" s="30" t="n">
        <x:f>E203*L203</x:f>
        <x:v>2814.406598771575</x:v>
      </x:c>
      <x:c r="N203" s="30" t="n">
        <x:f>F203*L203</x:f>
        <x:v>3201.6776470309246</x:v>
      </x:c>
      <x:c r="O203" s="30" t="n">
        <x:f>G203*L203</x:f>
        <x:v>6016.084245802499</x:v>
      </x:c>
    </x:row>
    <x:row r="204" ht="21" customHeight="1">
      <x:c r="A204" s="28" t="n">
        <x:v>198</x:v>
      </x:c>
      <x:c r="B204" s="29" t="n">
        <x:v>50823</x:v>
      </x:c>
      <x:c r="C204" s="28" t="n">
        <x:f>B204-B203</x:f>
        <x:v>31</x:v>
      </x:c>
      <x:c r="D204" s="30" t="n">
        <x:f>H203</x:f>
        <x:v>1495530.73</x:v>
      </x:c>
      <x:c r="E204" s="30" t="n">
        <x:f>ROUND(D204*I204,2)</x:f>
        <x:v>9526.33</x:v>
      </x:c>
      <x:c r="F204" s="30" t="n">
        <x:f>MIN(D204,'Параметры'!$C$13)</x:f>
        <x:v>10916.28</x:v>
      </x:c>
      <x:c r="G204" s="30" t="n">
        <x:f>ROUND(E204+F204,2)</x:f>
        <x:v>20442.61</x:v>
      </x:c>
      <x:c r="H204" s="30" t="n">
        <x:f>ROUND(D204-F204,2)</x:f>
        <x:v>1484614.45</x:v>
      </x:c>
      <x:c r="I204" s="33" t="n">
        <x:f>IF(AND(ISNUMBER('Параметры'!$C$7),'Параметры'!$C$7&gt;=0),'Параметры'!$C$7*C204/365,NA())</x:f>
        <x:v>0.00636986301369863</x:v>
      </x:c>
      <x:c r="J204" s="32" t="n">
        <x:f>J203/(1+I204)</x:f>
        <x:v>0.29143742055988237</x:v>
      </x:c>
      <x:c r="K204" s="33" t="n">
        <x:f>IF(AND(ISNUMBER('Параметры'!$C$8),'Параметры'!$C$8&gt;=0),'Параметры'!$C$8*C204/365,NA())</x:f>
        <x:v>0.00636986301369863</x:v>
      </x:c>
      <x:c r="L204" s="32" t="n">
        <x:f>L203/(1+K204)</x:f>
        <x:v>0.29143742055988237</x:v>
      </x:c>
      <x:c r="M204" s="30" t="n">
        <x:f>E204*L204</x:f>
        <x:v>2776.329042602224</x:v>
      </x:c>
      <x:c r="N204" s="30" t="n">
        <x:f>F204*L204</x:f>
        <x:v>3181.4124853094327</x:v>
      </x:c>
      <x:c r="O204" s="30" t="n">
        <x:f>G204*L204</x:f>
        <x:v>5957.741527911657</x:v>
      </x:c>
    </x:row>
    <x:row r="205" ht="21" customHeight="1">
      <x:c r="A205" s="28" t="n">
        <x:v>199</x:v>
      </x:c>
      <x:c r="B205" s="29" t="n">
        <x:v>50851</x:v>
      </x:c>
      <x:c r="C205" s="28" t="n">
        <x:f>B205-B204</x:f>
        <x:v>28</x:v>
      </x:c>
      <x:c r="D205" s="30" t="n">
        <x:f>H204</x:f>
        <x:v>1484614.45</x:v>
      </x:c>
      <x:c r="E205" s="30" t="n">
        <x:f>ROUND(D205*I205,2)</x:f>
        <x:v>8541.62</x:v>
      </x:c>
      <x:c r="F205" s="30" t="n">
        <x:f>MIN(D205,'Параметры'!$C$13)</x:f>
        <x:v>10916.28</x:v>
      </x:c>
      <x:c r="G205" s="30" t="n">
        <x:f>ROUND(E205+F205,2)</x:f>
        <x:v>19457.9</x:v>
      </x:c>
      <x:c r="H205" s="30" t="n">
        <x:f>ROUND(D205-F205,2)</x:f>
        <x:v>1473698.17</x:v>
      </x:c>
      <x:c r="I205" s="33" t="n">
        <x:f>IF(AND(ISNUMBER('Параметры'!$C$7),'Параметры'!$C$7&gt;=0),'Параметры'!$C$7*C205/365,NA())</x:f>
        <x:v>0.005753424657534247</x:v>
      </x:c>
      <x:c r="J205" s="32" t="n">
        <x:f>J204/(1+I205)</x:f>
        <x:v>0.28977024926275424</x:v>
      </x:c>
      <x:c r="K205" s="33" t="n">
        <x:f>IF(AND(ISNUMBER('Параметры'!$C$8),'Параметры'!$C$8&gt;=0),'Параметры'!$C$8*C205/365,NA())</x:f>
        <x:v>0.005753424657534247</x:v>
      </x:c>
      <x:c r="L205" s="32" t="n">
        <x:f>L204/(1+K205)</x:f>
        <x:v>0.28977024926275424</x:v>
      </x:c>
      <x:c r="M205" s="30" t="n">
        <x:f>E205*L205</x:f>
        <x:v>2475.107356507727</x:v>
      </x:c>
      <x:c r="N205" s="30" t="n">
        <x:f>F205*L205</x:f>
        <x:v>3163.213176622019</x:v>
      </x:c>
      <x:c r="O205" s="30" t="n">
        <x:f>G205*L205</x:f>
        <x:v>5638.320533129746</x:v>
      </x:c>
    </x:row>
    <x:row r="206" ht="21" customHeight="1">
      <x:c r="A206" s="28" t="n">
        <x:v>200</x:v>
      </x:c>
      <x:c r="B206" s="29" t="n">
        <x:v>50882</x:v>
      </x:c>
      <x:c r="C206" s="28" t="n">
        <x:f>B206-B205</x:f>
        <x:v>31</x:v>
      </x:c>
      <x:c r="D206" s="30" t="n">
        <x:f>H205</x:f>
        <x:v>1473698.17</x:v>
      </x:c>
      <x:c r="E206" s="30" t="n">
        <x:f>ROUND(D206*I206,2)</x:f>
        <x:v>9387.26</x:v>
      </x:c>
      <x:c r="F206" s="30" t="n">
        <x:f>MIN(D206,'Параметры'!$C$13)</x:f>
        <x:v>10916.28</x:v>
      </x:c>
      <x:c r="G206" s="30" t="n">
        <x:f>ROUND(E206+F206,2)</x:f>
        <x:v>20303.54</x:v>
      </x:c>
      <x:c r="H206" s="30" t="n">
        <x:f>ROUND(D206-F206,2)</x:f>
        <x:v>1462781.89</x:v>
      </x:c>
      <x:c r="I206" s="33" t="n">
        <x:f>IF(AND(ISNUMBER('Параметры'!$C$7),'Параметры'!$C$7&gt;=0),'Параметры'!$C$7*C206/365,NA())</x:f>
        <x:v>0.00636986301369863</x:v>
      </x:c>
      <x:c r="J206" s="32" t="n">
        <x:f>J205/(1+I206)</x:f>
        <x:v>0.28793613552278036</x:v>
      </x:c>
      <x:c r="K206" s="33" t="n">
        <x:f>IF(AND(ISNUMBER('Параметры'!$C$8),'Параметры'!$C$8&gt;=0),'Параметры'!$C$8*C206/365,NA())</x:f>
        <x:v>0.00636986301369863</x:v>
      </x:c>
      <x:c r="L206" s="32" t="n">
        <x:f>L205/(1+K206)</x:f>
        <x:v>0.28793613552278036</x:v>
      </x:c>
      <x:c r="M206" s="30" t="n">
        <x:f>E206*L206</x:f>
        <x:v>2702.931367547575</x:v>
      </x:c>
      <x:c r="N206" s="30" t="n">
        <x:f>F206*L206</x:f>
        <x:v>3143.191477484617</x:v>
      </x:c>
      <x:c r="O206" s="30" t="n">
        <x:f>G206*L206</x:f>
        <x:v>5846.122845032192</x:v>
      </x:c>
    </x:row>
    <x:row r="207" ht="21" customHeight="1">
      <x:c r="A207" s="28" t="n">
        <x:v>201</x:v>
      </x:c>
      <x:c r="B207" s="29" t="n">
        <x:v>50912</x:v>
      </x:c>
      <x:c r="C207" s="28" t="n">
        <x:f>B207-B206</x:f>
        <x:v>30</x:v>
      </x:c>
      <x:c r="D207" s="30" t="n">
        <x:f>H206</x:f>
        <x:v>1462781.89</x:v>
      </x:c>
      <x:c r="E207" s="30" t="n">
        <x:f>ROUND(D207*I207,2)</x:f>
        <x:v>9017.15</x:v>
      </x:c>
      <x:c r="F207" s="30" t="n">
        <x:f>MIN(D207,'Параметры'!$C$13)</x:f>
        <x:v>10916.28</x:v>
      </x:c>
      <x:c r="G207" s="30" t="n">
        <x:f>ROUND(E207+F207,2)</x:f>
        <x:v>19933.43</x:v>
      </x:c>
      <x:c r="H207" s="30" t="n">
        <x:f>ROUND(D207-F207,2)</x:f>
        <x:v>1451865.61</x:v>
      </x:c>
      <x:c r="I207" s="33" t="n">
        <x:f>IF(AND(ISNUMBER('Параметры'!$C$7),'Параметры'!$C$7&gt;=0),'Параметры'!$C$7*C207/365,NA())</x:f>
        <x:v>0.0061643835616438354</x:v>
      </x:c>
      <x:c r="J207" s="32" t="n">
        <x:f>J206/(1+I207)</x:f>
        <x:v>0.28617206117308325</x:v>
      </x:c>
      <x:c r="K207" s="33" t="n">
        <x:f>IF(AND(ISNUMBER('Параметры'!$C$8),'Параметры'!$C$8&gt;=0),'Параметры'!$C$8*C207/365,NA())</x:f>
        <x:v>0.0061643835616438354</x:v>
      </x:c>
      <x:c r="L207" s="32" t="n">
        <x:f>L206/(1+K207)</x:f>
        <x:v>0.28617206117308325</x:v>
      </x:c>
      <x:c r="M207" s="30" t="n">
        <x:f>E207*L207</x:f>
        <x:v>2580.4564014068674</x:v>
      </x:c>
      <x:c r="N207" s="30" t="n">
        <x:f>F207*L207</x:f>
        <x:v>3123.934347942505</x:v>
      </x:c>
      <x:c r="O207" s="30" t="n">
        <x:f>G207*L207</x:f>
        <x:v>5704.3907493493725</x:v>
      </x:c>
    </x:row>
    <x:row r="208" ht="21" customHeight="1">
      <x:c r="A208" s="28" t="n">
        <x:v>202</x:v>
      </x:c>
      <x:c r="B208" s="29" t="n">
        <x:v>50943</x:v>
      </x:c>
      <x:c r="C208" s="28" t="n">
        <x:f>B208-B207</x:f>
        <x:v>31</x:v>
      </x:c>
      <x:c r="D208" s="30" t="n">
        <x:f>H207</x:f>
        <x:v>1451865.61</x:v>
      </x:c>
      <x:c r="E208" s="30" t="n">
        <x:f>ROUND(D208*I208,2)</x:f>
        <x:v>9248.19</x:v>
      </x:c>
      <x:c r="F208" s="30" t="n">
        <x:f>MIN(D208,'Параметры'!$C$13)</x:f>
        <x:v>10916.28</x:v>
      </x:c>
      <x:c r="G208" s="30" t="n">
        <x:f>ROUND(E208+F208,2)</x:f>
        <x:v>20164.47</x:v>
      </x:c>
      <x:c r="H208" s="30" t="n">
        <x:f>ROUND(D208-F208,2)</x:f>
        <x:v>1440949.33</x:v>
      </x:c>
      <x:c r="I208" s="33" t="n">
        <x:f>IF(AND(ISNUMBER('Параметры'!$C$7),'Параметры'!$C$7&gt;=0),'Параметры'!$C$7*C208/365,NA())</x:f>
        <x:v>0.00636986301369863</x:v>
      </x:c>
      <x:c r="J208" s="32" t="n">
        <x:f>J207/(1+I208)</x:f>
        <x:v>0.2843607223253941</x:v>
      </x:c>
      <x:c r="K208" s="33" t="n">
        <x:f>IF(AND(ISNUMBER('Параметры'!$C$8),'Параметры'!$C$8&gt;=0),'Параметры'!$C$8*C208/365,NA())</x:f>
        <x:v>0.00636986301369863</x:v>
      </x:c>
      <x:c r="L208" s="32" t="n">
        <x:f>L207/(1+K208)</x:f>
        <x:v>0.2843607223253941</x:v>
      </x:c>
      <x:c r="M208" s="30" t="n">
        <x:f>E208*L208</x:f>
        <x:v>2629.8219886024867</x:v>
      </x:c>
      <x:c r="N208" s="30" t="n">
        <x:f>F208*L208</x:f>
        <x:v>3104.1612659062534</x:v>
      </x:c>
      <x:c r="O208" s="30" t="n">
        <x:f>G208*L208</x:f>
        <x:v>5733.98325450874</x:v>
      </x:c>
    </x:row>
    <x:row r="209" ht="21" customHeight="1">
      <x:c r="A209" s="28" t="n">
        <x:v>203</x:v>
      </x:c>
      <x:c r="B209" s="29" t="n">
        <x:v>50973</x:v>
      </x:c>
      <x:c r="C209" s="28" t="n">
        <x:f>B209-B208</x:f>
        <x:v>30</x:v>
      </x:c>
      <x:c r="D209" s="30" t="n">
        <x:f>H208</x:f>
        <x:v>1440949.33</x:v>
      </x:c>
      <x:c r="E209" s="30" t="n">
        <x:f>ROUND(D209*I209,2)</x:f>
        <x:v>8882.56</x:v>
      </x:c>
      <x:c r="F209" s="30" t="n">
        <x:f>MIN(D209,'Параметры'!$C$13)</x:f>
        <x:v>10916.28</x:v>
      </x:c>
      <x:c r="G209" s="30" t="n">
        <x:f>ROUND(E209+F209,2)</x:f>
        <x:v>19798.84</x:v>
      </x:c>
      <x:c r="H209" s="30" t="n">
        <x:f>ROUND(D209-F209,2)</x:f>
        <x:v>1430033.05</x:v>
      </x:c>
      <x:c r="I209" s="33" t="n">
        <x:f>IF(AND(ISNUMBER('Параметры'!$C$7),'Параметры'!$C$7&gt;=0),'Параметры'!$C$7*C209/365,NA())</x:f>
        <x:v>0.0061643835616438354</x:v>
      </x:c>
      <x:c r="J209" s="32" t="n">
        <x:f>J208/(1+I209)</x:f>
        <x:v>0.2826185531620663</x:v>
      </x:c>
      <x:c r="K209" s="33" t="n">
        <x:f>IF(AND(ISNUMBER('Параметры'!$C$8),'Параметры'!$C$8&gt;=0),'Параметры'!$C$8*C209/365,NA())</x:f>
        <x:v>0.0061643835616438354</x:v>
      </x:c>
      <x:c r="L209" s="32" t="n">
        <x:f>L208/(1+K209)</x:f>
        <x:v>0.2826185531620663</x:v>
      </x:c>
      <x:c r="M209" s="30" t="n">
        <x:f>E209*L209</x:f>
        <x:v>2510.3762555752437</x:v>
      </x:c>
      <x:c r="N209" s="30" t="n">
        <x:f>F209*L209</x:f>
        <x:v>3085.1432595120014</x:v>
      </x:c>
      <x:c r="O209" s="30" t="n">
        <x:f>G209*L209</x:f>
        <x:v>5595.519515087245</x:v>
      </x:c>
    </x:row>
    <x:row r="210" ht="21" customHeight="1">
      <x:c r="A210" s="28" t="n">
        <x:v>204</x:v>
      </x:c>
      <x:c r="B210" s="29" t="n">
        <x:v>51004</x:v>
      </x:c>
      <x:c r="C210" s="28" t="n">
        <x:f>B210-B209</x:f>
        <x:v>31</x:v>
      </x:c>
      <x:c r="D210" s="30" t="n">
        <x:f>H209</x:f>
        <x:v>1430033.05</x:v>
      </x:c>
      <x:c r="E210" s="30" t="n">
        <x:f>ROUND(D210*I210,2)</x:f>
        <x:v>9109.11</x:v>
      </x:c>
      <x:c r="F210" s="30" t="n">
        <x:f>MIN(D210,'Параметры'!$C$13)</x:f>
        <x:v>10916.28</x:v>
      </x:c>
      <x:c r="G210" s="30" t="n">
        <x:f>ROUND(E210+F210,2)</x:f>
        <x:v>20025.39</x:v>
      </x:c>
      <x:c r="H210" s="30" t="n">
        <x:f>ROUND(D210-F210,2)</x:f>
        <x:v>1419116.77</x:v>
      </x:c>
      <x:c r="I210" s="33" t="n">
        <x:f>IF(AND(ISNUMBER('Параметры'!$C$7),'Параметры'!$C$7&gt;=0),'Параметры'!$C$7*C210/365,NA())</x:f>
        <x:v>0.00636986301369863</x:v>
      </x:c>
      <x:c r="J210" s="32" t="n">
        <x:f>J209/(1+I210)</x:f>
        <x:v>0.2808297064021077</x:v>
      </x:c>
      <x:c r="K210" s="33" t="n">
        <x:f>IF(AND(ISNUMBER('Параметры'!$C$8),'Параметры'!$C$8&gt;=0),'Параметры'!$C$8*C210/365,NA())</x:f>
        <x:v>0.00636986301369863</x:v>
      </x:c>
      <x:c r="L210" s="32" t="n">
        <x:f>L209/(1+K210)</x:f>
        <x:v>0.2808297064021077</x:v>
      </x:c>
      <x:c r="M210" s="30" t="n">
        <x:f>E210*L210</x:f>
        <x:v>2558.108686884503</x:v>
      </x:c>
      <x:c r="N210" s="30" t="n">
        <x:f>F210*L210</x:f>
        <x:v>3065.6157074032003</x:v>
      </x:c>
      <x:c r="O210" s="30" t="n">
        <x:f>G210*L210</x:f>
        <x:v>5623.724394287703</x:v>
      </x:c>
    </x:row>
    <x:row r="211" ht="21" customHeight="1">
      <x:c r="A211" s="28" t="n">
        <x:v>205</x:v>
      </x:c>
      <x:c r="B211" s="29" t="n">
        <x:v>51035</x:v>
      </x:c>
      <x:c r="C211" s="28" t="n">
        <x:f>B211-B210</x:f>
        <x:v>31</x:v>
      </x:c>
      <x:c r="D211" s="30" t="n">
        <x:f>H210</x:f>
        <x:v>1419116.77</x:v>
      </x:c>
      <x:c r="E211" s="30" t="n">
        <x:f>ROUND(D211*I211,2)</x:f>
        <x:v>9039.58</x:v>
      </x:c>
      <x:c r="F211" s="30" t="n">
        <x:f>MIN(D211,'Параметры'!$C$13)</x:f>
        <x:v>10916.28</x:v>
      </x:c>
      <x:c r="G211" s="30" t="n">
        <x:f>ROUND(E211+F211,2)</x:f>
        <x:v>19955.86</x:v>
      </x:c>
      <x:c r="H211" s="30" t="n">
        <x:f>ROUND(D211-F211,2)</x:f>
        <x:v>1408200.49</x:v>
      </x:c>
      <x:c r="I211" s="33" t="n">
        <x:f>IF(AND(ISNUMBER('Параметры'!$C$7),'Параметры'!$C$7&gt;=0),'Параметры'!$C$7*C211/365,NA())</x:f>
        <x:v>0.00636986301369863</x:v>
      </x:c>
      <x:c r="J211" s="32" t="n">
        <x:f>J210/(1+I211)</x:f>
        <x:v>0.27905218222764394</x:v>
      </x:c>
      <x:c r="K211" s="33" t="n">
        <x:f>IF(AND(ISNUMBER('Параметры'!$C$8),'Параметры'!$C$8&gt;=0),'Параметры'!$C$8*C211/365,NA())</x:f>
        <x:v>0.00636986301369863</x:v>
      </x:c>
      <x:c r="L211" s="32" t="n">
        <x:f>L210/(1+K211)</x:f>
        <x:v>0.27905218222764394</x:v>
      </x:c>
      <x:c r="M211" s="30" t="n">
        <x:f>E211*L211</x:f>
        <x:v>2522.5145254213658</x:v>
      </x:c>
      <x:c r="N211" s="30" t="n">
        <x:f>F211*L211</x:f>
        <x:v>3046.2117558079854</x:v>
      </x:c>
      <x:c r="O211" s="30" t="n">
        <x:f>G211*L211</x:f>
        <x:v>5568.726281229351</x:v>
      </x:c>
    </x:row>
    <x:row r="212" ht="21" customHeight="1">
      <x:c r="A212" s="28" t="n">
        <x:v>206</x:v>
      </x:c>
      <x:c r="B212" s="29" t="n">
        <x:v>51065</x:v>
      </x:c>
      <x:c r="C212" s="28" t="n">
        <x:f>B212-B211</x:f>
        <x:v>30</x:v>
      </x:c>
      <x:c r="D212" s="30" t="n">
        <x:f>H211</x:f>
        <x:v>1408200.49</x:v>
      </x:c>
      <x:c r="E212" s="30" t="n">
        <x:f>ROUND(D212*I212,2)</x:f>
        <x:v>8680.69</x:v>
      </x:c>
      <x:c r="F212" s="30" t="n">
        <x:f>MIN(D212,'Параметры'!$C$13)</x:f>
        <x:v>10916.28</x:v>
      </x:c>
      <x:c r="G212" s="30" t="n">
        <x:f>ROUND(E212+F212,2)</x:f>
        <x:v>19596.97</x:v>
      </x:c>
      <x:c r="H212" s="30" t="n">
        <x:f>ROUND(D212-F212,2)</x:f>
        <x:v>1397284.21</x:v>
      </x:c>
      <x:c r="I212" s="33" t="n">
        <x:f>IF(AND(ISNUMBER('Параметры'!$C$7),'Параметры'!$C$7&gt;=0),'Параметры'!$C$7*C212/365,NA())</x:f>
        <x:v>0.0061643835616438354</x:v>
      </x:c>
      <x:c r="J212" s="32" t="n">
        <x:f>J211/(1+I212)</x:f>
        <x:v>0.27734253645497625</x:v>
      </x:c>
      <x:c r="K212" s="33" t="n">
        <x:f>IF(AND(ISNUMBER('Параметры'!$C$8),'Параметры'!$C$8&gt;=0),'Параметры'!$C$8*C212/365,NA())</x:f>
        <x:v>0.0061643835616438354</x:v>
      </x:c>
      <x:c r="L212" s="32" t="n">
        <x:f>L211/(1+K212)</x:f>
        <x:v>0.27734253645497625</x:v>
      </x:c>
      <x:c r="M212" s="30" t="n">
        <x:f>E212*L212</x:f>
        <x:v>2407.524582779348</x:v>
      </x:c>
      <x:c r="N212" s="30" t="n">
        <x:f>F212*L212</x:f>
        <x:v>3027.5487838527283</x:v>
      </x:c>
      <x:c r="O212" s="30" t="n">
        <x:f>G212*L212</x:f>
        <x:v>5435.073366632077</x:v>
      </x:c>
    </x:row>
    <x:row r="213" ht="21" customHeight="1">
      <x:c r="A213" s="28" t="n">
        <x:v>207</x:v>
      </x:c>
      <x:c r="B213" s="29" t="n">
        <x:v>51096</x:v>
      </x:c>
      <x:c r="C213" s="28" t="n">
        <x:f>B213-B212</x:f>
        <x:v>31</x:v>
      </x:c>
      <x:c r="D213" s="30" t="n">
        <x:f>H212</x:f>
        <x:v>1397284.21</x:v>
      </x:c>
      <x:c r="E213" s="30" t="n">
        <x:f>ROUND(D213*I213,2)</x:f>
        <x:v>8900.51</x:v>
      </x:c>
      <x:c r="F213" s="30" t="n">
        <x:f>MIN(D213,'Параметры'!$C$13)</x:f>
        <x:v>10916.28</x:v>
      </x:c>
      <x:c r="G213" s="30" t="n">
        <x:f>ROUND(E213+F213,2)</x:f>
        <x:v>19816.79</x:v>
      </x:c>
      <x:c r="H213" s="30" t="n">
        <x:f>ROUND(D213-F213,2)</x:f>
        <x:v>1386367.93</x:v>
      </x:c>
      <x:c r="I213" s="33" t="n">
        <x:f>IF(AND(ISNUMBER('Параметры'!$C$7),'Параметры'!$C$7&gt;=0),'Параметры'!$C$7*C213/365,NA())</x:f>
        <x:v>0.00636986301369863</x:v>
      </x:c>
      <x:c r="J213" s="32" t="n">
        <x:f>J212/(1+I213)</x:f>
        <x:v>0.2755870844785036</x:v>
      </x:c>
      <x:c r="K213" s="33" t="n">
        <x:f>IF(AND(ISNUMBER('Параметры'!$C$8),'Параметры'!$C$8&gt;=0),'Параметры'!$C$8*C213/365,NA())</x:f>
        <x:v>0.00636986301369863</x:v>
      </x:c>
      <x:c r="L213" s="32" t="n">
        <x:f>L212/(1+K213)</x:f>
        <x:v>0.2755870844785036</x:v>
      </x:c>
      <x:c r="M213" s="30" t="n">
        <x:f>E213*L213</x:f>
        <x:v>2452.865601271766</x:v>
      </x:c>
      <x:c r="N213" s="30" t="n">
        <x:f>F213*L213</x:f>
        <x:v>3008.3857785509995</x:v>
      </x:c>
      <x:c r="O213" s="30" t="n">
        <x:f>G213*L213</x:f>
        <x:v>5461.251379822766</x:v>
      </x:c>
    </x:row>
    <x:row r="214" ht="21" customHeight="1">
      <x:c r="A214" s="28" t="n">
        <x:v>208</x:v>
      </x:c>
      <x:c r="B214" s="29" t="n">
        <x:v>51126</x:v>
      </x:c>
      <x:c r="C214" s="28" t="n">
        <x:f>B214-B213</x:f>
        <x:v>30</x:v>
      </x:c>
      <x:c r="D214" s="30" t="n">
        <x:f>H213</x:f>
        <x:v>1386367.93</x:v>
      </x:c>
      <x:c r="E214" s="30" t="n">
        <x:f>ROUND(D214*I214,2)</x:f>
        <x:v>8546.1</x:v>
      </x:c>
      <x:c r="F214" s="30" t="n">
        <x:f>MIN(D214,'Параметры'!$C$13)</x:f>
        <x:v>10916.28</x:v>
      </x:c>
      <x:c r="G214" s="30" t="n">
        <x:f>ROUND(E214+F214,2)</x:f>
        <x:v>19462.38</x:v>
      </x:c>
      <x:c r="H214" s="30" t="n">
        <x:f>ROUND(D214-F214,2)</x:f>
        <x:v>1375451.65</x:v>
      </x:c>
      <x:c r="I214" s="33" t="n">
        <x:f>IF(AND(ISNUMBER('Параметры'!$C$7),'Параметры'!$C$7&gt;=0),'Параметры'!$C$7*C214/365,NA())</x:f>
        <x:v>0.0061643835616438354</x:v>
      </x:c>
      <x:c r="J214" s="32" t="n">
        <x:f>J213/(1+I214)</x:f>
        <x:v>0.27389866803173263</x:v>
      </x:c>
      <x:c r="K214" s="33" t="n">
        <x:f>IF(AND(ISNUMBER('Параметры'!$C$8),'Параметры'!$C$8&gt;=0),'Параметры'!$C$8*C214/365,NA())</x:f>
        <x:v>0.0061643835616438354</x:v>
      </x:c>
      <x:c r="L214" s="32" t="n">
        <x:f>L213/(1+K214)</x:f>
        <x:v>0.27389866803173263</x:v>
      </x:c>
      <x:c r="M214" s="30" t="n">
        <x:f>E214*L214</x:f>
        <x:v>2340.7654068659904</x:v>
      </x:c>
      <x:c r="N214" s="30" t="n">
        <x:f>F214*L214</x:f>
        <x:v>2989.9545518614423</x:v>
      </x:c>
      <x:c r="O214" s="30" t="n">
        <x:f>G214*L214</x:f>
        <x:v>5330.719958727433</x:v>
      </x:c>
    </x:row>
    <x:row r="215" ht="21" customHeight="1">
      <x:c r="A215" s="28" t="n">
        <x:v>209</x:v>
      </x:c>
      <x:c r="B215" s="29" t="n">
        <x:v>51157</x:v>
      </x:c>
      <x:c r="C215" s="28" t="n">
        <x:f>B215-B214</x:f>
        <x:v>31</x:v>
      </x:c>
      <x:c r="D215" s="30" t="n">
        <x:f>H214</x:f>
        <x:v>1375451.65</x:v>
      </x:c>
      <x:c r="E215" s="30" t="n">
        <x:f>ROUND(D215*I215,2)</x:f>
        <x:v>8761.44</x:v>
      </x:c>
      <x:c r="F215" s="30" t="n">
        <x:f>MIN(D215,'Параметры'!$C$13)</x:f>
        <x:v>10916.28</x:v>
      </x:c>
      <x:c r="G215" s="30" t="n">
        <x:f>ROUND(E215+F215,2)</x:f>
        <x:v>19677.72</x:v>
      </x:c>
      <x:c r="H215" s="30" t="n">
        <x:f>ROUND(D215-F215,2)</x:f>
        <x:v>1364535.37</x:v>
      </x:c>
      <x:c r="I215" s="33" t="n">
        <x:f>IF(AND(ISNUMBER('Параметры'!$C$7),'Параметры'!$C$7&gt;=0),'Параметры'!$C$7*C215/365,NA())</x:f>
        <x:v>0.00636986301369863</x:v>
      </x:c>
      <x:c r="J215" s="32" t="n">
        <x:f>J214/(1+I215)</x:f>
        <x:v>0.2721650141743209</x:v>
      </x:c>
      <x:c r="K215" s="33" t="n">
        <x:f>IF(AND(ISNUMBER('Параметры'!$C$8),'Параметры'!$C$8&gt;=0),'Параметры'!$C$8*C215/365,NA())</x:f>
        <x:v>0.00636986301369863</x:v>
      </x:c>
      <x:c r="L215" s="32" t="n">
        <x:f>L214/(1+K215)</x:f>
        <x:v>0.2721650141743209</x:v>
      </x:c>
      <x:c r="M215" s="30" t="n">
        <x:f>E215*L215</x:f>
        <x:v>2384.557441787462</x:v>
      </x:c>
      <x:c r="N215" s="30" t="n">
        <x:f>F215*L215</x:f>
        <x:v>2971.0295009308556</x:v>
      </x:c>
      <x:c r="O215" s="30" t="n">
        <x:f>G215*L215</x:f>
        <x:v>5355.586942718318</x:v>
      </x:c>
    </x:row>
    <x:row r="216" ht="21" customHeight="1">
      <x:c r="A216" s="28" t="n">
        <x:v>210</x:v>
      </x:c>
      <x:c r="B216" s="29" t="n">
        <x:v>51188</x:v>
      </x:c>
      <x:c r="C216" s="28" t="n">
        <x:f>B216-B215</x:f>
        <x:v>31</x:v>
      </x:c>
      <x:c r="D216" s="30" t="n">
        <x:f>H215</x:f>
        <x:v>1364535.37</x:v>
      </x:c>
      <x:c r="E216" s="30" t="n">
        <x:f>ROUND(D216*I216,2)</x:f>
        <x:v>8691.9</x:v>
      </x:c>
      <x:c r="F216" s="30" t="n">
        <x:f>MIN(D216,'Параметры'!$C$13)</x:f>
        <x:v>10916.28</x:v>
      </x:c>
      <x:c r="G216" s="30" t="n">
        <x:f>ROUND(E216+F216,2)</x:f>
        <x:v>19608.18</x:v>
      </x:c>
      <x:c r="H216" s="30" t="n">
        <x:f>ROUND(D216-F216,2)</x:f>
        <x:v>1353619.09</x:v>
      </x:c>
      <x:c r="I216" s="33" t="n">
        <x:f>IF(AND(ISNUMBER('Параметры'!$C$7),'Параметры'!$C$7&gt;=0),'Параметры'!$C$7*C216/365,NA())</x:f>
        <x:v>0.00636986301369863</x:v>
      </x:c>
      <x:c r="J216" s="32" t="n">
        <x:f>J215/(1+I216)</x:f>
        <x:v>0.27044233355646125</x:v>
      </x:c>
      <x:c r="K216" s="33" t="n">
        <x:f>IF(AND(ISNUMBER('Параметры'!$C$8),'Параметры'!$C$8&gt;=0),'Параметры'!$C$8*C216/365,NA())</x:f>
        <x:v>0.00636986301369863</x:v>
      </x:c>
      <x:c r="L216" s="32" t="n">
        <x:f>L215/(1+K216)</x:f>
        <x:v>0.27044233355646125</x:v>
      </x:c>
      <x:c r="M216" s="30" t="n">
        <x:f>E216*L216</x:f>
        <x:v>2350.6577190394055</x:v>
      </x:c>
      <x:c r="N216" s="30" t="n">
        <x:f>F216*L216</x:f>
        <x:v>2952.224236955727</x:v>
      </x:c>
      <x:c r="O216" s="30" t="n">
        <x:f>G216*L216</x:f>
        <x:v>5302.881955995133</x:v>
      </x:c>
    </x:row>
    <x:row r="217" ht="21" customHeight="1">
      <x:c r="A217" s="28" t="n">
        <x:v>211</x:v>
      </x:c>
      <x:c r="B217" s="29" t="n">
        <x:v>51217</x:v>
      </x:c>
      <x:c r="C217" s="28" t="n">
        <x:f>B217-B216</x:f>
        <x:v>29</x:v>
      </x:c>
      <x:c r="D217" s="30" t="n">
        <x:f>H216</x:f>
        <x:v>1353619.09</x:v>
      </x:c>
      <x:c r="E217" s="30" t="n">
        <x:f>ROUND(D217*I217,2)</x:f>
        <x:v>8066.09</x:v>
      </x:c>
      <x:c r="F217" s="30" t="n">
        <x:f>MIN(D217,'Параметры'!$C$13)</x:f>
        <x:v>10916.28</x:v>
      </x:c>
      <x:c r="G217" s="30" t="n">
        <x:f>ROUND(E217+F217,2)</x:f>
        <x:v>18982.37</x:v>
      </x:c>
      <x:c r="H217" s="30" t="n">
        <x:f>ROUND(D217-F217,2)</x:f>
        <x:v>1342702.81</x:v>
      </x:c>
      <x:c r="I217" s="33" t="n">
        <x:f>IF(AND(ISNUMBER('Параметры'!$C$7),'Параметры'!$C$7&gt;=0),'Параметры'!$C$7*C217/365,NA())</x:f>
        <x:v>0.00595890410958904</x:v>
      </x:c>
      <x:c r="J217" s="32" t="n">
        <x:f>J216/(1+I217)</x:f>
        <x:v>0.2688403397510951</x:v>
      </x:c>
      <x:c r="K217" s="33" t="n">
        <x:f>IF(AND(ISNUMBER('Параметры'!$C$8),'Параметры'!$C$8&gt;=0),'Параметры'!$C$8*C217/365,NA())</x:f>
        <x:v>0.00595890410958904</x:v>
      </x:c>
      <x:c r="L217" s="32" t="n">
        <x:f>L216/(1+K217)</x:f>
        <x:v>0.2688403397510951</x:v>
      </x:c>
      <x:c r="M217" s="30" t="n">
        <x:f>E217*L217</x:f>
        <x:v>2168.490376062911</x:v>
      </x:c>
      <x:c r="N217" s="30" t="n">
        <x:f>F217*L217</x:f>
        <x:v>2934.7364240180846</x:v>
      </x:c>
      <x:c r="O217" s="30" t="n">
        <x:f>G217*L217</x:f>
        <x:v>5103.226800080995</x:v>
      </x:c>
    </x:row>
    <x:row r="218" ht="21" customHeight="1">
      <x:c r="A218" s="28" t="n">
        <x:v>212</x:v>
      </x:c>
      <x:c r="B218" s="29" t="n">
        <x:v>51248</x:v>
      </x:c>
      <x:c r="C218" s="28" t="n">
        <x:f>B218-B217</x:f>
        <x:v>31</x:v>
      </x:c>
      <x:c r="D218" s="30" t="n">
        <x:f>H217</x:f>
        <x:v>1342702.81</x:v>
      </x:c>
      <x:c r="E218" s="30" t="n">
        <x:f>ROUND(D218*I218,2)</x:f>
        <x:v>8552.83</x:v>
      </x:c>
      <x:c r="F218" s="30" t="n">
        <x:f>MIN(D218,'Параметры'!$C$13)</x:f>
        <x:v>10916.28</x:v>
      </x:c>
      <x:c r="G218" s="30" t="n">
        <x:f>ROUND(E218+F218,2)</x:f>
        <x:v>19469.11</x:v>
      </x:c>
      <x:c r="H218" s="30" t="n">
        <x:f>ROUND(D218-F218,2)</x:f>
        <x:v>1331786.53</x:v>
      </x:c>
      <x:c r="I218" s="33" t="n">
        <x:f>IF(AND(ISNUMBER('Параметры'!$C$7),'Параметры'!$C$7&gt;=0),'Параметры'!$C$7*C218/365,NA())</x:f>
        <x:v>0.00636986301369863</x:v>
      </x:c>
      <x:c r="J218" s="32" t="n">
        <x:f>J217/(1+I218)</x:f>
        <x:v>0.2671387028085475</x:v>
      </x:c>
      <x:c r="K218" s="33" t="n">
        <x:f>IF(AND(ISNUMBER('Параметры'!$C$8),'Параметры'!$C$8&gt;=0),'Параметры'!$C$8*C218/365,NA())</x:f>
        <x:v>0.00636986301369863</x:v>
      </x:c>
      <x:c r="L218" s="32" t="n">
        <x:f>L217/(1+K218)</x:f>
        <x:v>0.2671387028085475</x:v>
      </x:c>
      <x:c r="M218" s="30" t="n">
        <x:f>E218*L218</x:f>
        <x:v>2284.7919115420295</x:v>
      </x:c>
      <x:c r="N218" s="30" t="n">
        <x:f>F218*L218</x:f>
        <x:v>2916.1608786948914</x:v>
      </x:c>
      <x:c r="O218" s="30" t="n">
        <x:f>G218*L218</x:f>
        <x:v>5200.952790236921</x:v>
      </x:c>
    </x:row>
    <x:row r="219" ht="21" customHeight="1">
      <x:c r="A219" s="28" t="n">
        <x:v>213</x:v>
      </x:c>
      <x:c r="B219" s="29" t="n">
        <x:v>51278</x:v>
      </x:c>
      <x:c r="C219" s="28" t="n">
        <x:f>B219-B218</x:f>
        <x:v>30</x:v>
      </x:c>
      <x:c r="D219" s="30" t="n">
        <x:f>H218</x:f>
        <x:v>1331786.53</x:v>
      </x:c>
      <x:c r="E219" s="30" t="n">
        <x:f>ROUND(D219*I219,2)</x:f>
        <x:v>8209.64</x:v>
      </x:c>
      <x:c r="F219" s="30" t="n">
        <x:f>MIN(D219,'Параметры'!$C$13)</x:f>
        <x:v>10916.28</x:v>
      </x:c>
      <x:c r="G219" s="30" t="n">
        <x:f>ROUND(E219+F219,2)</x:f>
        <x:v>19125.92</x:v>
      </x:c>
      <x:c r="H219" s="30" t="n">
        <x:f>ROUND(D219-F219,2)</x:f>
        <x:v>1320870.25</x:v>
      </x:c>
      <x:c r="I219" s="33" t="n">
        <x:f>IF(AND(ISNUMBER('Параметры'!$C$7),'Параметры'!$C$7&gt;=0),'Параметры'!$C$7*C219/365,NA())</x:f>
        <x:v>0.0061643835616438354</x:v>
      </x:c>
      <x:c r="J219" s="32" t="n">
        <x:f>J218/(1+I219)</x:f>
        <x:v>0.26550204635839303</x:v>
      </x:c>
      <x:c r="K219" s="33" t="n">
        <x:f>IF(AND(ISNUMBER('Параметры'!$C$8),'Параметры'!$C$8&gt;=0),'Параметры'!$C$8*C219/365,NA())</x:f>
        <x:v>0.0061643835616438354</x:v>
      </x:c>
      <x:c r="L219" s="32" t="n">
        <x:f>L218/(1+K219)</x:f>
        <x:v>0.26550204635839303</x:v>
      </x:c>
      <x:c r="M219" s="30" t="n">
        <x:f>E219*L219</x:f>
        <x:v>2179.6762198657175</x:v>
      </x:c>
      <x:c r="N219" s="30" t="n">
        <x:f>F219*L219</x:f>
        <x:v>2898.2946786211987</x:v>
      </x:c>
      <x:c r="O219" s="30" t="n">
        <x:f>G219*L219</x:f>
        <x:v>5077.970898486916</x:v>
      </x:c>
    </x:row>
    <x:row r="220" ht="21" customHeight="1">
      <x:c r="A220" s="28" t="n">
        <x:v>214</x:v>
      </x:c>
      <x:c r="B220" s="29" t="n">
        <x:v>51309</x:v>
      </x:c>
      <x:c r="C220" s="28" t="n">
        <x:f>B220-B219</x:f>
        <x:v>31</x:v>
      </x:c>
      <x:c r="D220" s="30" t="n">
        <x:f>H219</x:f>
        <x:v>1320870.25</x:v>
      </x:c>
      <x:c r="E220" s="30" t="n">
        <x:f>ROUND(D220*I220,2)</x:f>
        <x:v>8413.76</x:v>
      </x:c>
      <x:c r="F220" s="30" t="n">
        <x:f>MIN(D220,'Параметры'!$C$13)</x:f>
        <x:v>10916.28</x:v>
      </x:c>
      <x:c r="G220" s="30" t="n">
        <x:f>ROUND(E220+F220,2)</x:f>
        <x:v>19330.04</x:v>
      </x:c>
      <x:c r="H220" s="30" t="n">
        <x:f>ROUND(D220-F220,2)</x:f>
        <x:v>1309953.97</x:v>
      </x:c>
      <x:c r="I220" s="33" t="n">
        <x:f>IF(AND(ISNUMBER('Параметры'!$C$7),'Параметры'!$C$7&gt;=0),'Параметры'!$C$7*C220/365,NA())</x:f>
        <x:v>0.00636986301369863</x:v>
      </x:c>
      <x:c r="J220" s="32" t="n">
        <x:f>J219/(1+I220)</x:f>
        <x:v>0.2638215392930333</x:v>
      </x:c>
      <x:c r="K220" s="33" t="n">
        <x:f>IF(AND(ISNUMBER('Параметры'!$C$8),'Параметры'!$C$8&gt;=0),'Параметры'!$C$8*C220/365,NA())</x:f>
        <x:v>0.00636986301369863</x:v>
      </x:c>
      <x:c r="L220" s="32" t="n">
        <x:f>L219/(1+K220)</x:f>
        <x:v>0.2638215392930333</x:v>
      </x:c>
      <x:c r="M220" s="30" t="n">
        <x:f>E220*L220</x:f>
        <x:v>2219.731114442152</x:v>
      </x:c>
      <x:c r="N220" s="30" t="n">
        <x:f>F220*L220</x:f>
        <x:v>2879.949792953754</x:v>
      </x:c>
      <x:c r="O220" s="30" t="n">
        <x:f>G220*L220</x:f>
        <x:v>5099.680907395906</x:v>
      </x:c>
    </x:row>
    <x:row r="221" ht="21" customHeight="1">
      <x:c r="A221" s="28" t="n">
        <x:v>215</x:v>
      </x:c>
      <x:c r="B221" s="29" t="n">
        <x:v>51339</x:v>
      </x:c>
      <x:c r="C221" s="28" t="n">
        <x:f>B221-B220</x:f>
        <x:v>30</x:v>
      </x:c>
      <x:c r="D221" s="30" t="n">
        <x:f>H220</x:f>
        <x:v>1309953.97</x:v>
      </x:c>
      <x:c r="E221" s="30" t="n">
        <x:f>ROUND(D221*I221,2)</x:f>
        <x:v>8075.06</x:v>
      </x:c>
      <x:c r="F221" s="30" t="n">
        <x:f>MIN(D221,'Параметры'!$C$13)</x:f>
        <x:v>10916.28</x:v>
      </x:c>
      <x:c r="G221" s="30" t="n">
        <x:f>ROUND(E221+F221,2)</x:f>
        <x:v>18991.34</x:v>
      </x:c>
      <x:c r="H221" s="30" t="n">
        <x:f>ROUND(D221-F221,2)</x:f>
        <x:v>1299037.69</x:v>
      </x:c>
      <x:c r="I221" s="33" t="n">
        <x:f>IF(AND(ISNUMBER('Параметры'!$C$7),'Параметры'!$C$7&gt;=0),'Параметры'!$C$7*C221/365,NA())</x:f>
        <x:v>0.0061643835616438354</x:v>
      </x:c>
      <x:c r="J221" s="32" t="n">
        <x:f>J220/(1+I221)</x:f>
        <x:v>0.2622052058324225</x:v>
      </x:c>
      <x:c r="K221" s="33" t="n">
        <x:f>IF(AND(ISNUMBER('Параметры'!$C$8),'Параметры'!$C$8&gt;=0),'Параметры'!$C$8*C221/365,NA())</x:f>
        <x:v>0.0061643835616438354</x:v>
      </x:c>
      <x:c r="L221" s="32" t="n">
        <x:f>L220/(1+K221)</x:f>
        <x:v>0.2622052058324225</x:v>
      </x:c>
      <x:c r="M221" s="30" t="n">
        <x:f>E221*L221</x:f>
        <x:v>2117.322769409162</x:v>
      </x:c>
      <x:c r="N221" s="30" t="n">
        <x:f>F221*L221</x:f>
        <x:v>2862.3054443243573</x:v>
      </x:c>
      <x:c r="O221" s="30" t="n">
        <x:f>G221*L221</x:f>
        <x:v>4979.628213733519</x:v>
      </x:c>
    </x:row>
    <x:row r="222" ht="21" customHeight="1">
      <x:c r="A222" s="28" t="n">
        <x:v>216</x:v>
      </x:c>
      <x:c r="B222" s="29" t="n">
        <x:v>51370</x:v>
      </x:c>
      <x:c r="C222" s="28" t="n">
        <x:f>B222-B221</x:f>
        <x:v>31</x:v>
      </x:c>
      <x:c r="D222" s="30" t="n">
        <x:f>H221</x:f>
        <x:v>1299037.69</x:v>
      </x:c>
      <x:c r="E222" s="30" t="n">
        <x:f>ROUND(D222*I222,2)</x:f>
        <x:v>8274.69</x:v>
      </x:c>
      <x:c r="F222" s="30" t="n">
        <x:f>MIN(D222,'Параметры'!$C$13)</x:f>
        <x:v>10916.28</x:v>
      </x:c>
      <x:c r="G222" s="30" t="n">
        <x:f>ROUND(E222+F222,2)</x:f>
        <x:v>19190.97</x:v>
      </x:c>
      <x:c r="H222" s="30" t="n">
        <x:f>ROUND(D222-F222,2)</x:f>
        <x:v>1288121.41</x:v>
      </x:c>
      <x:c r="I222" s="33" t="n">
        <x:f>IF(AND(ISNUMBER('Параметры'!$C$7),'Параметры'!$C$7&gt;=0),'Параметры'!$C$7*C222/365,NA())</x:f>
        <x:v>0.00636986301369863</x:v>
      </x:c>
      <x:c r="J222" s="32" t="n">
        <x:f>J221/(1+I222)</x:f>
        <x:v>0.2605455662664785</x:v>
      </x:c>
      <x:c r="K222" s="33" t="n">
        <x:f>IF(AND(ISNUMBER('Параметры'!$C$8),'Параметры'!$C$8&gt;=0),'Параметры'!$C$8*C222/365,NA())</x:f>
        <x:v>0.00636986301369863</x:v>
      </x:c>
      <x:c r="L222" s="32" t="n">
        <x:f>L221/(1+K222)</x:f>
        <x:v>0.2605455662664785</x:v>
      </x:c>
      <x:c r="M222" s="30" t="n">
        <x:f>E222*L222</x:f>
        <x:v>2155.933791729567</x:v>
      </x:c>
      <x:c r="N222" s="30" t="n">
        <x:f>F222*L222</x:f>
        <x:v>2844.1883541234342</x:v>
      </x:c>
      <x:c r="O222" s="30" t="n">
        <x:f>G222*L222</x:f>
        <x:v>5000.122145853002</x:v>
      </x:c>
    </x:row>
    <x:row r="223" ht="21" customHeight="1">
      <x:c r="A223" s="28" t="n">
        <x:v>217</x:v>
      </x:c>
      <x:c r="B223" s="29" t="n">
        <x:v>51401</x:v>
      </x:c>
      <x:c r="C223" s="28" t="n">
        <x:f>B223-B222</x:f>
        <x:v>31</x:v>
      </x:c>
      <x:c r="D223" s="30" t="n">
        <x:f>H222</x:f>
        <x:v>1288121.41</x:v>
      </x:c>
      <x:c r="E223" s="30" t="n">
        <x:f>ROUND(D223*I223,2)</x:f>
        <x:v>8205.16</x:v>
      </x:c>
      <x:c r="F223" s="30" t="n">
        <x:f>MIN(D223,'Параметры'!$C$13)</x:f>
        <x:v>10916.28</x:v>
      </x:c>
      <x:c r="G223" s="30" t="n">
        <x:f>ROUND(E223+F223,2)</x:f>
        <x:v>19121.44</x:v>
      </x:c>
      <x:c r="H223" s="30" t="n">
        <x:f>ROUND(D223-F223,2)</x:f>
        <x:v>1277205.13</x:v>
      </x:c>
      <x:c r="I223" s="33" t="n">
        <x:f>IF(AND(ISNUMBER('Параметры'!$C$7),'Параметры'!$C$7&gt;=0),'Параметры'!$C$7*C223/365,NA())</x:f>
        <x:v>0.00636986301369863</x:v>
      </x:c>
      <x:c r="J223" s="32" t="n">
        <x:f>J222/(1+I223)</x:f>
        <x:v>0.25889643146332175</x:v>
      </x:c>
      <x:c r="K223" s="33" t="n">
        <x:f>IF(AND(ISNUMBER('Параметры'!$C$8),'Параметры'!$C$8&gt;=0),'Параметры'!$C$8*C223/365,NA())</x:f>
        <x:v>0.00636986301369863</x:v>
      </x:c>
      <x:c r="L223" s="32" t="n">
        <x:f>L222/(1+K223)</x:f>
        <x:v>0.25889643146332175</x:v>
      </x:c>
      <x:c r="M223" s="30" t="n">
        <x:f>E223*L223</x:f>
        <x:v>2124.286643585589</x:v>
      </x:c>
      <x:c r="N223" s="30" t="n">
        <x:f>F223*L223</x:f>
        <x:v>2826.18593685443</x:v>
      </x:c>
      <x:c r="O223" s="30" t="n">
        <x:f>G223*L223</x:f>
        <x:v>4950.472580440019</x:v>
      </x:c>
    </x:row>
    <x:row r="224" ht="21" customHeight="1">
      <x:c r="A224" s="28" t="n">
        <x:v>218</x:v>
      </x:c>
      <x:c r="B224" s="29" t="n">
        <x:v>51431</x:v>
      </x:c>
      <x:c r="C224" s="28" t="n">
        <x:f>B224-B223</x:f>
        <x:v>30</x:v>
      </x:c>
      <x:c r="D224" s="30" t="n">
        <x:f>H223</x:f>
        <x:v>1277205.13</x:v>
      </x:c>
      <x:c r="E224" s="30" t="n">
        <x:f>ROUND(D224*I224,2)</x:f>
        <x:v>7873.18</x:v>
      </x:c>
      <x:c r="F224" s="30" t="n">
        <x:f>MIN(D224,'Параметры'!$C$13)</x:f>
        <x:v>10916.28</x:v>
      </x:c>
      <x:c r="G224" s="30" t="n">
        <x:f>ROUND(E224+F224,2)</x:f>
        <x:v>18789.46</x:v>
      </x:c>
      <x:c r="H224" s="30" t="n">
        <x:f>ROUND(D224-F224,2)</x:f>
        <x:v>1266288.85</x:v>
      </x:c>
      <x:c r="I224" s="33" t="n">
        <x:f>IF(AND(ISNUMBER('Параметры'!$C$7),'Параметры'!$C$7&gt;=0),'Параметры'!$C$7*C224/365,NA())</x:f>
        <x:v>0.0061643835616438354</x:v>
      </x:c>
      <x:c r="J224" s="32" t="n">
        <x:f>J223/(1+I224)</x:f>
        <x:v>0.2573102722508167</x:v>
      </x:c>
      <x:c r="K224" s="33" t="n">
        <x:f>IF(AND(ISNUMBER('Параметры'!$C$8),'Параметры'!$C$8&gt;=0),'Параметры'!$C$8*C224/365,NA())</x:f>
        <x:v>0.0061643835616438354</x:v>
      </x:c>
      <x:c r="L224" s="32" t="n">
        <x:f>L223/(1+K224)</x:f>
        <x:v>0.2573102722508167</x:v>
      </x:c>
      <x:c r="M224" s="30" t="n">
        <x:f>E224*L224</x:f>
        <x:v>2025.850089279685</x:v>
      </x:c>
      <x:c r="N224" s="30" t="n">
        <x:f>F224*L224</x:f>
        <x:v>2808.8709787661455</x:v>
      </x:c>
      <x:c r="O224" s="30" t="n">
        <x:f>G224*L224</x:f>
        <x:v>4834.72106804583</x:v>
      </x:c>
    </x:row>
    <x:row r="225" ht="21" customHeight="1">
      <x:c r="A225" s="28" t="n">
        <x:v>219</x:v>
      </x:c>
      <x:c r="B225" s="29" t="n">
        <x:v>51462</x:v>
      </x:c>
      <x:c r="C225" s="28" t="n">
        <x:f>B225-B224</x:f>
        <x:v>31</x:v>
      </x:c>
      <x:c r="D225" s="30" t="n">
        <x:f>H224</x:f>
        <x:v>1266288.85</x:v>
      </x:c>
      <x:c r="E225" s="30" t="n">
        <x:f>ROUND(D225*I225,2)</x:f>
        <x:v>8066.09</x:v>
      </x:c>
      <x:c r="F225" s="30" t="n">
        <x:f>MIN(D225,'Параметры'!$C$13)</x:f>
        <x:v>10916.28</x:v>
      </x:c>
      <x:c r="G225" s="30" t="n">
        <x:f>ROUND(E225+F225,2)</x:f>
        <x:v>18982.37</x:v>
      </x:c>
      <x:c r="H225" s="30" t="n">
        <x:f>ROUND(D225-F225,2)</x:f>
        <x:v>1255372.57</x:v>
      </x:c>
      <x:c r="I225" s="33" t="n">
        <x:f>IF(AND(ISNUMBER('Параметры'!$C$7),'Параметры'!$C$7&gt;=0),'Параметры'!$C$7*C225/365,NA())</x:f>
        <x:v>0.00636986301369863</x:v>
      </x:c>
      <x:c r="J225" s="32" t="n">
        <x:f>J224/(1+I225)</x:f>
        <x:v>0.25568161538568873</x:v>
      </x:c>
      <x:c r="K225" s="33" t="n">
        <x:f>IF(AND(ISNUMBER('Параметры'!$C$8),'Параметры'!$C$8&gt;=0),'Параметры'!$C$8*C225/365,NA())</x:f>
        <x:v>0.00636986301369863</x:v>
      </x:c>
      <x:c r="L225" s="32" t="n">
        <x:f>L224/(1+K225)</x:f>
        <x:v>0.25568161538568873</x:v>
      </x:c>
      <x:c r="M225" s="30" t="n">
        <x:f>E225*L225</x:f>
        <x:v>2062.35092104635</x:v>
      </x:c>
      <x:c r="N225" s="30" t="n">
        <x:f>F225*L225</x:f>
        <x:v>2791.0921044024863</x:v>
      </x:c>
      <x:c r="O225" s="30" t="n">
        <x:f>G225*L225</x:f>
        <x:v>4853.443025448836</x:v>
      </x:c>
    </x:row>
    <x:row r="226" ht="21" customHeight="1">
      <x:c r="A226" s="28" t="n">
        <x:v>220</x:v>
      </x:c>
      <x:c r="B226" s="29" t="n">
        <x:v>51492</x:v>
      </x:c>
      <x:c r="C226" s="28" t="n">
        <x:f>B226-B225</x:f>
        <x:v>30</x:v>
      </x:c>
      <x:c r="D226" s="30" t="n">
        <x:f>H225</x:f>
        <x:v>1255372.57</x:v>
      </x:c>
      <x:c r="E226" s="30" t="n">
        <x:f>ROUND(D226*I226,2)</x:f>
        <x:v>7738.6</x:v>
      </x:c>
      <x:c r="F226" s="30" t="n">
        <x:f>MIN(D226,'Параметры'!$C$13)</x:f>
        <x:v>10916.28</x:v>
      </x:c>
      <x:c r="G226" s="30" t="n">
        <x:f>ROUND(E226+F226,2)</x:f>
        <x:v>18654.88</x:v>
      </x:c>
      <x:c r="H226" s="30" t="n">
        <x:f>ROUND(D226-F226,2)</x:f>
        <x:v>1244456.29</x:v>
      </x:c>
      <x:c r="I226" s="33" t="n">
        <x:f>IF(AND(ISNUMBER('Параметры'!$C$7),'Параметры'!$C$7&gt;=0),'Параметры'!$C$7*C226/365,NA())</x:f>
        <x:v>0.0061643835616438354</x:v>
      </x:c>
      <x:c r="J226" s="32" t="n">
        <x:f>J225/(1+I226)</x:f>
        <x:v>0.2541151521192005</x:v>
      </x:c>
      <x:c r="K226" s="33" t="n">
        <x:f>IF(AND(ISNUMBER('Параметры'!$C$8),'Параметры'!$C$8&gt;=0),'Параметры'!$C$8*C226/365,NA())</x:f>
        <x:v>0.0061643835616438354</x:v>
      </x:c>
      <x:c r="L226" s="32" t="n">
        <x:f>L225/(1+K226)</x:f>
        <x:v>0.2541151521192005</x:v>
      </x:c>
      <x:c r="M226" s="30" t="n">
        <x:f>E226*L226</x:f>
        <x:v>1966.495516189645</x:v>
      </x:c>
      <x:c r="N226" s="30" t="n">
        <x:f>F226*L226</x:f>
        <x:v>2773.992152775786</x:v>
      </x:c>
      <x:c r="O226" s="30" t="n">
        <x:f>G226*L226</x:f>
        <x:v>4740.487668965431</x:v>
      </x:c>
    </x:row>
    <x:row r="227" ht="21" customHeight="1">
      <x:c r="A227" s="28" t="n">
        <x:v>221</x:v>
      </x:c>
      <x:c r="B227" s="29" t="n">
        <x:v>51523</x:v>
      </x:c>
      <x:c r="C227" s="28" t="n">
        <x:f>B227-B226</x:f>
        <x:v>31</x:v>
      </x:c>
      <x:c r="D227" s="30" t="n">
        <x:f>H226</x:f>
        <x:v>1244456.29</x:v>
      </x:c>
      <x:c r="E227" s="30" t="n">
        <x:f>ROUND(D227*I227,2)</x:f>
        <x:v>7927.02</x:v>
      </x:c>
      <x:c r="F227" s="30" t="n">
        <x:f>MIN(D227,'Параметры'!$C$13)</x:f>
        <x:v>10916.28</x:v>
      </x:c>
      <x:c r="G227" s="30" t="n">
        <x:f>ROUND(E227+F227,2)</x:f>
        <x:v>18843.3</x:v>
      </x:c>
      <x:c r="H227" s="30" t="n">
        <x:f>ROUND(D227-F227,2)</x:f>
        <x:v>1233540.01</x:v>
      </x:c>
      <x:c r="I227" s="33" t="n">
        <x:f>IF(AND(ISNUMBER('Параметры'!$C$7),'Параметры'!$C$7&gt;=0),'Параметры'!$C$7*C227/365,NA())</x:f>
        <x:v>0.00636986301369863</x:v>
      </x:c>
      <x:c r="J227" s="32" t="n">
        <x:f>J226/(1+I227)</x:f>
        <x:v>0.25250671890970716</x:v>
      </x:c>
      <x:c r="K227" s="33" t="n">
        <x:f>IF(AND(ISNUMBER('Параметры'!$C$8),'Параметры'!$C$8&gt;=0),'Параметры'!$C$8*C227/365,NA())</x:f>
        <x:v>0.00636986301369863</x:v>
      </x:c>
      <x:c r="L227" s="32" t="n">
        <x:f>L226/(1+K227)</x:f>
        <x:v>0.25250671890970716</x:v>
      </x:c>
      <x:c r="M227" s="30" t="n">
        <x:f>E227*L227</x:f>
        <x:v>2001.625810931627</x:v>
      </x:c>
      <x:c r="N227" s="30" t="n">
        <x:f>F227*L227</x:f>
        <x:v>2756.434045499658</x:v>
      </x:c>
      <x:c r="O227" s="30" t="n">
        <x:f>G227*L227</x:f>
        <x:v>4758.059856431285</x:v>
      </x:c>
    </x:row>
    <x:row r="228" ht="21" customHeight="1">
      <x:c r="A228" s="28" t="n">
        <x:v>222</x:v>
      </x:c>
      <x:c r="B228" s="29" t="n">
        <x:v>51554</x:v>
      </x:c>
      <x:c r="C228" s="28" t="n">
        <x:f>B228-B227</x:f>
        <x:v>31</x:v>
      </x:c>
      <x:c r="D228" s="30" t="n">
        <x:f>H227</x:f>
        <x:v>1233540.01</x:v>
      </x:c>
      <x:c r="E228" s="30" t="n">
        <x:f>ROUND(D228*I228,2)</x:f>
        <x:v>7857.48</x:v>
      </x:c>
      <x:c r="F228" s="30" t="n">
        <x:f>MIN(D228,'Параметры'!$C$13)</x:f>
        <x:v>10916.28</x:v>
      </x:c>
      <x:c r="G228" s="30" t="n">
        <x:f>ROUND(E228+F228,2)</x:f>
        <x:v>18773.76</x:v>
      </x:c>
      <x:c r="H228" s="30" t="n">
        <x:f>ROUND(D228-F228,2)</x:f>
        <x:v>1222623.73</x:v>
      </x:c>
      <x:c r="I228" s="33" t="n">
        <x:f>IF(AND(ISNUMBER('Параметры'!$C$7),'Параметры'!$C$7&gt;=0),'Параметры'!$C$7*C228/365,NA())</x:f>
        <x:v>0.00636986301369863</x:v>
      </x:c>
      <x:c r="J228" s="32" t="n">
        <x:f>J227/(1+I228)</x:f>
        <x:v>0.25090846635007996</x:v>
      </x:c>
      <x:c r="K228" s="33" t="n">
        <x:f>IF(AND(ISNUMBER('Параметры'!$C$8),'Параметры'!$C$8&gt;=0),'Параметры'!$C$8*C228/365,NA())</x:f>
        <x:v>0.00636986301369863</x:v>
      </x:c>
      <x:c r="L228" s="32" t="n">
        <x:f>L227/(1+K228)</x:f>
        <x:v>0.25090846635007996</x:v>
      </x:c>
      <x:c r="M228" s="30" t="n">
        <x:f>E228*L228</x:f>
        <x:v>1971.5082561764261</x:v>
      </x:c>
      <x:c r="N228" s="30" t="n">
        <x:f>F228*L228</x:f>
        <x:v>2738.987073048051</x:v>
      </x:c>
      <x:c r="O228" s="30" t="n">
        <x:f>G228*L228</x:f>
        <x:v>4710.495329224476</x:v>
      </x:c>
    </x:row>
    <x:row r="229" ht="21" customHeight="1">
      <x:c r="A229" s="28" t="n">
        <x:v>223</x:v>
      </x:c>
      <x:c r="B229" s="29" t="n">
        <x:v>51582</x:v>
      </x:c>
      <x:c r="C229" s="28" t="n">
        <x:f>B229-B228</x:f>
        <x:v>28</x:v>
      </x:c>
      <x:c r="D229" s="30" t="n">
        <x:f>H228</x:f>
        <x:v>1222623.73</x:v>
      </x:c>
      <x:c r="E229" s="30" t="n">
        <x:f>ROUND(D229*I229,2)</x:f>
        <x:v>7034.27</x:v>
      </x:c>
      <x:c r="F229" s="30" t="n">
        <x:f>MIN(D229,'Параметры'!$C$13)</x:f>
        <x:v>10916.28</x:v>
      </x:c>
      <x:c r="G229" s="30" t="n">
        <x:f>ROUND(E229+F229,2)</x:f>
        <x:v>17950.55</x:v>
      </x:c>
      <x:c r="H229" s="30" t="n">
        <x:f>ROUND(D229-F229,2)</x:f>
        <x:v>1211707.45</x:v>
      </x:c>
      <x:c r="I229" s="33" t="n">
        <x:f>IF(AND(ISNUMBER('Параметры'!$C$7),'Параметры'!$C$7&gt;=0),'Параметры'!$C$7*C229/365,NA())</x:f>
        <x:v>0.005753424657534247</x:v>
      </x:c>
      <x:c r="J229" s="32" t="n">
        <x:f>J228/(1+I229)</x:f>
        <x:v>0.2494731414268025</x:v>
      </x:c>
      <x:c r="K229" s="33" t="n">
        <x:f>IF(AND(ISNUMBER('Параметры'!$C$8),'Параметры'!$C$8&gt;=0),'Параметры'!$C$8*C229/365,NA())</x:f>
        <x:v>0.005753424657534247</x:v>
      </x:c>
      <x:c r="L229" s="32" t="n">
        <x:f>L228/(1+K229)</x:f>
        <x:v>0.2494731414268025</x:v>
      </x:c>
      <x:c r="M229" s="30" t="n">
        <x:f>E229*L229</x:f>
        <x:v>1754.861434544314</x:v>
      </x:c>
      <x:c r="N229" s="30" t="n">
        <x:f>F229*L229</x:f>
        <x:v>2723.3186642945757</x:v>
      </x:c>
      <x:c r="O229" s="30" t="n">
        <x:f>G229*L229</x:f>
        <x:v>4478.1800988388895</x:v>
      </x:c>
    </x:row>
    <x:row r="230" ht="21" customHeight="1">
      <x:c r="A230" s="28" t="n">
        <x:v>224</x:v>
      </x:c>
      <x:c r="B230" s="29" t="n">
        <x:v>51613</x:v>
      </x:c>
      <x:c r="C230" s="28" t="n">
        <x:f>B230-B229</x:f>
        <x:v>31</x:v>
      </x:c>
      <x:c r="D230" s="30" t="n">
        <x:f>H229</x:f>
        <x:v>1211707.45</x:v>
      </x:c>
      <x:c r="E230" s="30" t="n">
        <x:f>ROUND(D230*I230,2)</x:f>
        <x:v>7718.41</x:v>
      </x:c>
      <x:c r="F230" s="30" t="n">
        <x:f>MIN(D230,'Параметры'!$C$13)</x:f>
        <x:v>10916.28</x:v>
      </x:c>
      <x:c r="G230" s="30" t="n">
        <x:f>ROUND(E230+F230,2)</x:f>
        <x:v>18634.69</x:v>
      </x:c>
      <x:c r="H230" s="30" t="n">
        <x:f>ROUND(D230-F230,2)</x:f>
        <x:v>1200791.17</x:v>
      </x:c>
      <x:c r="I230" s="33" t="n">
        <x:f>IF(AND(ISNUMBER('Параметры'!$C$7),'Параметры'!$C$7&gt;=0),'Параметры'!$C$7*C230/365,NA())</x:f>
        <x:v>0.00636986301369863</x:v>
      </x:c>
      <x:c r="J230" s="32" t="n">
        <x:f>J229/(1+I230)</x:f>
        <x:v>0.24789409003139704</x:v>
      </x:c>
      <x:c r="K230" s="33" t="n">
        <x:f>IF(AND(ISNUMBER('Параметры'!$C$8),'Параметры'!$C$8&gt;=0),'Параметры'!$C$8*C230/365,NA())</x:f>
        <x:v>0.00636986301369863</x:v>
      </x:c>
      <x:c r="L230" s="32" t="n">
        <x:f>L229/(1+K230)</x:f>
        <x:v>0.24789409003139704</x:v>
      </x:c>
      <x:c r="M230" s="30" t="n">
        <x:f>E230*L230</x:f>
        <x:v>1913.3482234392352</x:v>
      </x:c>
      <x:c r="N230" s="30" t="n">
        <x:f>F230*L230</x:f>
        <x:v>2706.081297127939</x:v>
      </x:c>
      <x:c r="O230" s="30" t="n">
        <x:f>G230*L230</x:f>
        <x:v>4619.429520567173</x:v>
      </x:c>
    </x:row>
    <x:row r="231" ht="21" customHeight="1">
      <x:c r="A231" s="28" t="n">
        <x:v>225</x:v>
      </x:c>
      <x:c r="B231" s="29" t="n">
        <x:v>51643</x:v>
      </x:c>
      <x:c r="C231" s="28" t="n">
        <x:f>B231-B230</x:f>
        <x:v>30</x:v>
      </x:c>
      <x:c r="D231" s="30" t="n">
        <x:f>H230</x:f>
        <x:v>1200791.17</x:v>
      </x:c>
      <x:c r="E231" s="30" t="n">
        <x:f>ROUND(D231*I231,2)</x:f>
        <x:v>7402.14</x:v>
      </x:c>
      <x:c r="F231" s="30" t="n">
        <x:f>MIN(D231,'Параметры'!$C$13)</x:f>
        <x:v>10916.28</x:v>
      </x:c>
      <x:c r="G231" s="30" t="n">
        <x:f>ROUND(E231+F231,2)</x:f>
        <x:v>18318.42</x:v>
      </x:c>
      <x:c r="H231" s="30" t="n">
        <x:f>ROUND(D231-F231,2)</x:f>
        <x:v>1189874.89</x:v>
      </x:c>
      <x:c r="I231" s="33" t="n">
        <x:f>IF(AND(ISNUMBER('Параметры'!$C$7),'Параметры'!$C$7&gt;=0),'Параметры'!$C$7*C231/365,NA())</x:f>
        <x:v>0.0061643835616438354</x:v>
      </x:c>
      <x:c r="J231" s="32" t="n">
        <x:f>J230/(1+I231)</x:f>
        <x:v>0.24637533794815497</x:v>
      </x:c>
      <x:c r="K231" s="33" t="n">
        <x:f>IF(AND(ISNUMBER('Параметры'!$C$8),'Параметры'!$C$8&gt;=0),'Параметры'!$C$8*C231/365,NA())</x:f>
        <x:v>0.0061643835616438354</x:v>
      </x:c>
      <x:c r="L231" s="32" t="n">
        <x:f>L230/(1+K231)</x:f>
        <x:v>0.24637533794815497</x:v>
      </x:c>
      <x:c r="M231" s="30" t="n">
        <x:f>E231*L231</x:f>
        <x:v>1823.7047440395559</x:v>
      </x:c>
      <x:c r="N231" s="30" t="n">
        <x:f>F231*L231</x:f>
        <x:v>2689.5021741366854</x:v>
      </x:c>
      <x:c r="O231" s="30" t="n">
        <x:f>G231*L231</x:f>
        <x:v>4513.206918176241</x:v>
      </x:c>
    </x:row>
    <x:row r="232" ht="21" customHeight="1">
      <x:c r="A232" s="28" t="n">
        <x:v>226</x:v>
      </x:c>
      <x:c r="B232" s="29" t="n">
        <x:v>51674</x:v>
      </x:c>
      <x:c r="C232" s="28" t="n">
        <x:f>B232-B231</x:f>
        <x:v>31</x:v>
      </x:c>
      <x:c r="D232" s="30" t="n">
        <x:f>H231</x:f>
        <x:v>1189874.89</x:v>
      </x:c>
      <x:c r="E232" s="30" t="n">
        <x:f>ROUND(D232*I232,2)</x:f>
        <x:v>7579.34</x:v>
      </x:c>
      <x:c r="F232" s="30" t="n">
        <x:f>MIN(D232,'Параметры'!$C$13)</x:f>
        <x:v>10916.28</x:v>
      </x:c>
      <x:c r="G232" s="30" t="n">
        <x:f>ROUND(E232+F232,2)</x:f>
        <x:v>18495.62</x:v>
      </x:c>
      <x:c r="H232" s="30" t="n">
        <x:f>ROUND(D232-F232,2)</x:f>
        <x:v>1178958.61</x:v>
      </x:c>
      <x:c r="I232" s="33" t="n">
        <x:f>IF(AND(ISNUMBER('Параметры'!$C$7),'Параметры'!$C$7&gt;=0),'Параметры'!$C$7*C232/365,NA())</x:f>
        <x:v>0.00636986301369863</x:v>
      </x:c>
      <x:c r="J232" s="32" t="n">
        <x:f>J231/(1+I232)</x:f>
        <x:v>0.244815894238281</x:v>
      </x:c>
      <x:c r="K232" s="33" t="n">
        <x:f>IF(AND(ISNUMBER('Параметры'!$C$8),'Параметры'!$C$8&gt;=0),'Параметры'!$C$8*C232/365,NA())</x:f>
        <x:v>0.00636986301369863</x:v>
      </x:c>
      <x:c r="L232" s="32" t="n">
        <x:f>L231/(1+K232)</x:f>
        <x:v>0.244815894238281</x:v>
      </x:c>
      <x:c r="M232" s="30" t="n">
        <x:f>E232*L232</x:f>
        <x:v>1855.5428998359728</x:v>
      </x:c>
      <x:c r="N232" s="30" t="n">
        <x:f>F232*L232</x:f>
        <x:v>2672.4788499554625</x:v>
      </x:c>
      <x:c r="O232" s="30" t="n">
        <x:f>G232*L232</x:f>
        <x:v>4528.021749791435</x:v>
      </x:c>
    </x:row>
    <x:row r="233" ht="21" customHeight="1">
      <x:c r="A233" s="28" t="n">
        <x:v>227</x:v>
      </x:c>
      <x:c r="B233" s="29" t="n">
        <x:v>51704</x:v>
      </x:c>
      <x:c r="C233" s="28" t="n">
        <x:f>B233-B232</x:f>
        <x:v>30</x:v>
      </x:c>
      <x:c r="D233" s="30" t="n">
        <x:f>H232</x:f>
        <x:v>1178958.61</x:v>
      </x:c>
      <x:c r="E233" s="30" t="n">
        <x:f>ROUND(D233*I233,2)</x:f>
        <x:v>7267.55</x:v>
      </x:c>
      <x:c r="F233" s="30" t="n">
        <x:f>MIN(D233,'Параметры'!$C$13)</x:f>
        <x:v>10916.28</x:v>
      </x:c>
      <x:c r="G233" s="30" t="n">
        <x:f>ROUND(E233+F233,2)</x:f>
        <x:v>18183.83</x:v>
      </x:c>
      <x:c r="H233" s="30" t="n">
        <x:f>ROUND(D233-F233,2)</x:f>
        <x:v>1168042.33</x:v>
      </x:c>
      <x:c r="I233" s="33" t="n">
        <x:f>IF(AND(ISNUMBER('Параметры'!$C$7),'Параметры'!$C$7&gt;=0),'Параметры'!$C$7*C233/365,NA())</x:f>
        <x:v>0.0061643835616438354</x:v>
      </x:c>
      <x:c r="J233" s="32" t="n">
        <x:f>J232/(1+I233)</x:f>
        <x:v>0.2433160010809328</x:v>
      </x:c>
      <x:c r="K233" s="33" t="n">
        <x:f>IF(AND(ISNUMBER('Параметры'!$C$8),'Параметры'!$C$8&gt;=0),'Параметры'!$C$8*C233/365,NA())</x:f>
        <x:v>0.0061643835616438354</x:v>
      </x:c>
      <x:c r="L233" s="32" t="n">
        <x:f>L232/(1+K233)</x:f>
        <x:v>0.2433160010809328</x:v>
      </x:c>
      <x:c r="M233" s="30" t="n">
        <x:f>E233*L233</x:f>
        <x:v>1768.3112036557332</x:v>
      </x:c>
      <x:c r="N233" s="30" t="n">
        <x:f>F233*L233</x:f>
        <x:v>2656.105596279765</x:v>
      </x:c>
      <x:c r="O233" s="30" t="n">
        <x:f>G233*L233</x:f>
        <x:v>4424.416799935499</x:v>
      </x:c>
    </x:row>
    <x:row r="234" ht="21" customHeight="1">
      <x:c r="A234" s="28" t="n">
        <x:v>228</x:v>
      </x:c>
      <x:c r="B234" s="29" t="n">
        <x:v>51735</x:v>
      </x:c>
      <x:c r="C234" s="28" t="n">
        <x:f>B234-B233</x:f>
        <x:v>31</x:v>
      </x:c>
      <x:c r="D234" s="30" t="n">
        <x:f>H233</x:f>
        <x:v>1168042.33</x:v>
      </x:c>
      <x:c r="E234" s="30" t="n">
        <x:f>ROUND(D234*I234,2)</x:f>
        <x:v>7440.27</x:v>
      </x:c>
      <x:c r="F234" s="30" t="n">
        <x:f>MIN(D234,'Параметры'!$C$13)</x:f>
        <x:v>10916.28</x:v>
      </x:c>
      <x:c r="G234" s="30" t="n">
        <x:f>ROUND(E234+F234,2)</x:f>
        <x:v>18356.55</x:v>
      </x:c>
      <x:c r="H234" s="30" t="n">
        <x:f>ROUND(D234-F234,2)</x:f>
        <x:v>1157126.05</x:v>
      </x:c>
      <x:c r="I234" s="33" t="n">
        <x:f>IF(AND(ISNUMBER('Параметры'!$C$7),'Параметры'!$C$7&gt;=0),'Параметры'!$C$7*C234/365,NA())</x:f>
        <x:v>0.00636986301369863</x:v>
      </x:c>
      <x:c r="J234" s="32" t="n">
        <x:f>J233/(1+I234)</x:f>
        <x:v>0.24177592158045458</x:v>
      </x:c>
      <x:c r="K234" s="33" t="n">
        <x:f>IF(AND(ISNUMBER('Параметры'!$C$8),'Параметры'!$C$8&gt;=0),'Параметры'!$C$8*C234/365,NA())</x:f>
        <x:v>0.00636986301369863</x:v>
      </x:c>
      <x:c r="L234" s="32" t="n">
        <x:f>L233/(1+K234)</x:f>
        <x:v>0.24177592158045458</x:v>
      </x:c>
      <x:c r="M234" s="30" t="n">
        <x:f>E234*L234</x:f>
        <x:v>1798.878136057409</x:v>
      </x:c>
      <x:c r="N234" s="30" t="n">
        <x:f>F234*L234</x:f>
        <x:v>2639.2936572302847</x:v>
      </x:c>
      <x:c r="O234" s="30" t="n">
        <x:f>G234*L234</x:f>
        <x:v>4438.171793287694</x:v>
      </x:c>
    </x:row>
    <x:row r="235" ht="21" customHeight="1">
      <x:c r="A235" s="28" t="n">
        <x:v>229</x:v>
      </x:c>
      <x:c r="B235" s="29" t="n">
        <x:v>51766</x:v>
      </x:c>
      <x:c r="C235" s="28" t="n">
        <x:f>B235-B234</x:f>
        <x:v>31</x:v>
      </x:c>
      <x:c r="D235" s="30" t="n">
        <x:f>H234</x:f>
        <x:v>1157126.05</x:v>
      </x:c>
      <x:c r="E235" s="30" t="n">
        <x:f>ROUND(D235*I235,2)</x:f>
        <x:v>7370.73</x:v>
      </x:c>
      <x:c r="F235" s="30" t="n">
        <x:f>MIN(D235,'Параметры'!$C$13)</x:f>
        <x:v>10916.28</x:v>
      </x:c>
      <x:c r="G235" s="30" t="n">
        <x:f>ROUND(E235+F235,2)</x:f>
        <x:v>18287.01</x:v>
      </x:c>
      <x:c r="H235" s="30" t="n">
        <x:f>ROUND(D235-F235,2)</x:f>
        <x:v>1146209.77</x:v>
      </x:c>
      <x:c r="I235" s="33" t="n">
        <x:f>IF(AND(ISNUMBER('Параметры'!$C$7),'Параметры'!$C$7&gt;=0),'Параметры'!$C$7*C235/365,NA())</x:f>
        <x:v>0.00636986301369863</x:v>
      </x:c>
      <x:c r="J235" s="32" t="n">
        <x:f>J234/(1+I235)</x:f>
        <x:v>0.24024559008198715</x:v>
      </x:c>
      <x:c r="K235" s="33" t="n">
        <x:f>IF(AND(ISNUMBER('Параметры'!$C$8),'Параметры'!$C$8&gt;=0),'Параметры'!$C$8*C235/365,NA())</x:f>
        <x:v>0.00636986301369863</x:v>
      </x:c>
      <x:c r="L235" s="32" t="n">
        <x:f>L234/(1+K235)</x:f>
        <x:v>0.24024559008198715</x:v>
      </x:c>
      <x:c r="M235" s="30" t="n">
        <x:f>E235*L235</x:f>
        <x:v>1770.7853781850051</x:v>
      </x:c>
      <x:c r="N235" s="30" t="n">
        <x:f>F235*L235</x:f>
        <x:v>2622.588130100195</x:v>
      </x:c>
      <x:c r="O235" s="30" t="n">
        <x:f>G235*L235</x:f>
        <x:v>4393.373508285199</x:v>
      </x:c>
    </x:row>
    <x:row r="236" ht="21" customHeight="1">
      <x:c r="A236" s="28" t="n">
        <x:v>230</x:v>
      </x:c>
      <x:c r="B236" s="29" t="n">
        <x:v>51796</x:v>
      </x:c>
      <x:c r="C236" s="28" t="n">
        <x:f>B236-B235</x:f>
        <x:v>30</x:v>
      </x:c>
      <x:c r="D236" s="30" t="n">
        <x:f>H235</x:f>
        <x:v>1146209.77</x:v>
      </x:c>
      <x:c r="E236" s="30" t="n">
        <x:f>ROUND(D236*I236,2)</x:f>
        <x:v>7065.68</x:v>
      </x:c>
      <x:c r="F236" s="30" t="n">
        <x:f>MIN(D236,'Параметры'!$C$13)</x:f>
        <x:v>10916.28</x:v>
      </x:c>
      <x:c r="G236" s="30" t="n">
        <x:f>ROUND(E236+F236,2)</x:f>
        <x:v>17981.96</x:v>
      </x:c>
      <x:c r="H236" s="30" t="n">
        <x:f>ROUND(D236-F236,2)</x:f>
        <x:v>1135293.49</x:v>
      </x:c>
      <x:c r="I236" s="33" t="n">
        <x:f>IF(AND(ISNUMBER('Параметры'!$C$7),'Параметры'!$C$7&gt;=0),'Параметры'!$C$7*C236/365,NA())</x:f>
        <x:v>0.0061643835616438354</x:v>
      </x:c>
      <x:c r="J236" s="32" t="n">
        <x:f>J235/(1+I236)</x:f>
        <x:v>0.23877369742661758</x:v>
      </x:c>
      <x:c r="K236" s="33" t="n">
        <x:f>IF(AND(ISNUMBER('Параметры'!$C$8),'Параметры'!$C$8&gt;=0),'Параметры'!$C$8*C236/365,NA())</x:f>
        <x:v>0.0061643835616438354</x:v>
      </x:c>
      <x:c r="L236" s="32" t="n">
        <x:f>L235/(1+K236)</x:f>
        <x:v>0.23877369742661758</x:v>
      </x:c>
      <x:c r="M236" s="30" t="n">
        <x:f>E236*L236</x:f>
        <x:v>1687.0985384333035</x:v>
      </x:c>
      <x:c r="N236" s="30" t="n">
        <x:f>F236*L236</x:f>
        <x:v>2606.520537744237</x:v>
      </x:c>
      <x:c r="O236" s="30" t="n">
        <x:f>G236*L236</x:f>
        <x:v>4293.61907617754</x:v>
      </x:c>
    </x:row>
    <x:row r="237" ht="21" customHeight="1">
      <x:c r="A237" s="28" t="n">
        <x:v>231</x:v>
      </x:c>
      <x:c r="B237" s="29" t="n">
        <x:v>51827</x:v>
      </x:c>
      <x:c r="C237" s="28" t="n">
        <x:f>B237-B236</x:f>
        <x:v>31</x:v>
      </x:c>
      <x:c r="D237" s="30" t="n">
        <x:f>H236</x:f>
        <x:v>1135293.49</x:v>
      </x:c>
      <x:c r="E237" s="30" t="n">
        <x:f>ROUND(D237*I237,2)</x:f>
        <x:v>7231.66</x:v>
      </x:c>
      <x:c r="F237" s="30" t="n">
        <x:f>MIN(D237,'Параметры'!$C$13)</x:f>
        <x:v>10916.28</x:v>
      </x:c>
      <x:c r="G237" s="30" t="n">
        <x:f>ROUND(E237+F237,2)</x:f>
        <x:v>18147.94</x:v>
      </x:c>
      <x:c r="H237" s="30" t="n">
        <x:f>ROUND(D237-F237,2)</x:f>
        <x:v>1124377.21</x:v>
      </x:c>
      <x:c r="I237" s="33" t="n">
        <x:f>IF(AND(ISNUMBER('Параметры'!$C$7),'Параметры'!$C$7&gt;=0),'Параметры'!$C$7*C237/365,NA())</x:f>
        <x:v>0.00636986301369863</x:v>
      </x:c>
      <x:c r="J237" s="32" t="n">
        <x:f>J236/(1+I237)</x:f>
        <x:v>0.23726236864007466</x:v>
      </x:c>
      <x:c r="K237" s="33" t="n">
        <x:f>IF(AND(ISNUMBER('Параметры'!$C$8),'Параметры'!$C$8&gt;=0),'Параметры'!$C$8*C237/365,NA())</x:f>
        <x:v>0.00636986301369863</x:v>
      </x:c>
      <x:c r="L237" s="32" t="n">
        <x:f>L236/(1+K237)</x:f>
        <x:v>0.23726236864007466</x:v>
      </x:c>
      <x:c r="M237" s="30" t="n">
        <x:f>E237*L237</x:f>
        <x:v>1715.8007807996823</x:v>
      </x:c>
      <x:c r="N237" s="30" t="n">
        <x:f>F237*L237</x:f>
        <x:v>2590.0224495382745</x:v>
      </x:c>
      <x:c r="O237" s="30" t="n">
        <x:f>G237*L237</x:f>
        <x:v>4305.823230337956</x:v>
      </x:c>
    </x:row>
    <x:row r="238" ht="21" customHeight="1">
      <x:c r="A238" s="28" t="n">
        <x:v>232</x:v>
      </x:c>
      <x:c r="B238" s="29" t="n">
        <x:v>51857</x:v>
      </x:c>
      <x:c r="C238" s="28" t="n">
        <x:f>B238-B237</x:f>
        <x:v>30</x:v>
      </x:c>
      <x:c r="D238" s="30" t="n">
        <x:f>H237</x:f>
        <x:v>1124377.21</x:v>
      </x:c>
      <x:c r="E238" s="30" t="n">
        <x:f>ROUND(D238*I238,2)</x:f>
        <x:v>6931.09</x:v>
      </x:c>
      <x:c r="F238" s="30" t="n">
        <x:f>MIN(D238,'Параметры'!$C$13)</x:f>
        <x:v>10916.28</x:v>
      </x:c>
      <x:c r="G238" s="30" t="n">
        <x:f>ROUND(E238+F238,2)</x:f>
        <x:v>17847.37</x:v>
      </x:c>
      <x:c r="H238" s="30" t="n">
        <x:f>ROUND(D238-F238,2)</x:f>
        <x:v>1113460.93</x:v>
      </x:c>
      <x:c r="I238" s="33" t="n">
        <x:f>IF(AND(ISNUMBER('Параметры'!$C$7),'Параметры'!$C$7&gt;=0),'Параметры'!$C$7*C238/365,NA())</x:f>
        <x:v>0.0061643835616438354</x:v>
      </x:c>
      <x:c r="J238" s="32" t="n">
        <x:f>J237/(1+I238)</x:f>
        <x:v>0.23580875303914842</x:v>
      </x:c>
      <x:c r="K238" s="33" t="n">
        <x:f>IF(AND(ISNUMBER('Параметры'!$C$8),'Параметры'!$C$8&gt;=0),'Параметры'!$C$8*C238/365,NA())</x:f>
        <x:v>0.0061643835616438354</x:v>
      </x:c>
      <x:c r="L238" s="32" t="n">
        <x:f>L237/(1+K238)</x:f>
        <x:v>0.23580875303914842</x:v>
      </x:c>
      <x:c r="M238" s="30" t="n">
        <x:f>E238*L238</x:f>
        <x:v>1634.4116901021112</x:v>
      </x:c>
      <x:c r="N238" s="30" t="n">
        <x:f>F238*L238</x:f>
        <x:v>2574.154374626195</x:v>
      </x:c>
      <x:c r="O238" s="30" t="n">
        <x:f>G238*L238</x:f>
        <x:v>4208.566064728306</x:v>
      </x:c>
    </x:row>
    <x:row r="239" ht="21" customHeight="1">
      <x:c r="A239" s="28" t="n">
        <x:v>233</x:v>
      </x:c>
      <x:c r="B239" s="29" t="n">
        <x:v>51888</x:v>
      </x:c>
      <x:c r="C239" s="28" t="n">
        <x:f>B239-B238</x:f>
        <x:v>31</x:v>
      </x:c>
      <x:c r="D239" s="30" t="n">
        <x:f>H238</x:f>
        <x:v>1113460.93</x:v>
      </x:c>
      <x:c r="E239" s="30" t="n">
        <x:f>ROUND(D239*I239,2)</x:f>
        <x:v>7092.59</x:v>
      </x:c>
      <x:c r="F239" s="30" t="n">
        <x:f>MIN(D239,'Параметры'!$C$13)</x:f>
        <x:v>10916.28</x:v>
      </x:c>
      <x:c r="G239" s="30" t="n">
        <x:f>ROUND(E239+F239,2)</x:f>
        <x:v>18008.87</x:v>
      </x:c>
      <x:c r="H239" s="30" t="n">
        <x:f>ROUND(D239-F239,2)</x:f>
        <x:v>1102544.65</x:v>
      </x:c>
      <x:c r="I239" s="33" t="n">
        <x:f>IF(AND(ISNUMBER('Параметры'!$C$7),'Параметры'!$C$7&gt;=0),'Параметры'!$C$7*C239/365,NA())</x:f>
        <x:v>0.00636986301369863</x:v>
      </x:c>
      <x:c r="J239" s="32" t="n">
        <x:f>J238/(1+I239)</x:f>
        <x:v>0.23431619100058307</x:v>
      </x:c>
      <x:c r="K239" s="33" t="n">
        <x:f>IF(AND(ISNUMBER('Параметры'!$C$8),'Параметры'!$C$8&gt;=0),'Параметры'!$C$8*C239/365,NA())</x:f>
        <x:v>0.00636986301369863</x:v>
      </x:c>
      <x:c r="L239" s="32" t="n">
        <x:f>L238/(1+K239)</x:f>
        <x:v>0.23431619100058307</x:v>
      </x:c>
      <x:c r="M239" s="30" t="n">
        <x:f>E239*L239</x:f>
        <x:v>1661.9086731288255</x:v>
      </x:c>
      <x:c r="N239" s="30" t="n">
        <x:f>F239*L239</x:f>
        <x:v>2557.861149495845</x:v>
      </x:c>
      <x:c r="O239" s="30" t="n">
        <x:f>G239*L239</x:f>
        <x:v>4219.76982262467</x:v>
      </x:c>
    </x:row>
    <x:row r="240" ht="21" customHeight="1">
      <x:c r="A240" s="28" t="n">
        <x:v>234</x:v>
      </x:c>
      <x:c r="B240" s="29" t="n">
        <x:v>51919</x:v>
      </x:c>
      <x:c r="C240" s="28" t="n">
        <x:f>B240-B239</x:f>
        <x:v>31</x:v>
      </x:c>
      <x:c r="D240" s="30" t="n">
        <x:f>H239</x:f>
        <x:v>1102544.65</x:v>
      </x:c>
      <x:c r="E240" s="30" t="n">
        <x:f>ROUND(D240*I240,2)</x:f>
        <x:v>7023.06</x:v>
      </x:c>
      <x:c r="F240" s="30" t="n">
        <x:f>MIN(D240,'Параметры'!$C$13)</x:f>
        <x:v>10916.28</x:v>
      </x:c>
      <x:c r="G240" s="30" t="n">
        <x:f>ROUND(E240+F240,2)</x:f>
        <x:v>17939.34</x:v>
      </x:c>
      <x:c r="H240" s="30" t="n">
        <x:f>ROUND(D240-F240,2)</x:f>
        <x:v>1091628.37</x:v>
      </x:c>
      <x:c r="I240" s="33" t="n">
        <x:f>IF(AND(ISNUMBER('Параметры'!$C$7),'Параметры'!$C$7&gt;=0),'Параметры'!$C$7*C240/365,NA())</x:f>
        <x:v>0.00636986301369863</x:v>
      </x:c>
      <x:c r="J240" s="32" t="n">
        <x:f>J239/(1+I240)</x:f>
        <x:v>0.2328330762001302</x:v>
      </x:c>
      <x:c r="K240" s="33" t="n">
        <x:f>IF(AND(ISNUMBER('Параметры'!$C$8),'Параметры'!$C$8&gt;=0),'Параметры'!$C$8*C240/365,NA())</x:f>
        <x:v>0.00636986301369863</x:v>
      </x:c>
      <x:c r="L240" s="32" t="n">
        <x:f>L239/(1+K240)</x:f>
        <x:v>0.2328330762001302</x:v>
      </x:c>
      <x:c r="M240" s="30" t="n">
        <x:f>E240*L240</x:f>
        <x:v>1635.2006641380865</x:v>
      </x:c>
      <x:c r="N240" s="30" t="n">
        <x:f>F240*L240</x:f>
        <x:v>2541.6710530619575</x:v>
      </x:c>
      <x:c r="O240" s="30" t="n">
        <x:f>G240*L240</x:f>
        <x:v>4176.871717200043</x:v>
      </x:c>
    </x:row>
    <x:row r="241" ht="21" customHeight="1">
      <x:c r="A241" s="28" t="n">
        <x:v>235</x:v>
      </x:c>
      <x:c r="B241" s="29" t="n">
        <x:v>51947</x:v>
      </x:c>
      <x:c r="C241" s="28" t="n">
        <x:f>B241-B240</x:f>
        <x:v>28</x:v>
      </x:c>
      <x:c r="D241" s="30" t="n">
        <x:f>H240</x:f>
        <x:v>1091628.37</x:v>
      </x:c>
      <x:c r="E241" s="30" t="n">
        <x:f>ROUND(D241*I241,2)</x:f>
        <x:v>6280.6</x:v>
      </x:c>
      <x:c r="F241" s="30" t="n">
        <x:f>MIN(D241,'Параметры'!$C$13)</x:f>
        <x:v>10916.28</x:v>
      </x:c>
      <x:c r="G241" s="30" t="n">
        <x:f>ROUND(E241+F241,2)</x:f>
        <x:v>17196.88</x:v>
      </x:c>
      <x:c r="H241" s="30" t="n">
        <x:f>ROUND(D241-F241,2)</x:f>
        <x:v>1080712.09</x:v>
      </x:c>
      <x:c r="I241" s="33" t="n">
        <x:f>IF(AND(ISNUMBER('Параметры'!$C$7),'Параметры'!$C$7&gt;=0),'Параметры'!$C$7*C241/365,NA())</x:f>
        <x:v>0.005753424657534247</x:v>
      </x:c>
      <x:c r="J241" s="32" t="n">
        <x:f>J240/(1+I241)</x:f>
        <x:v>0.23150115176531608</x:v>
      </x:c>
      <x:c r="K241" s="33" t="n">
        <x:f>IF(AND(ISNUMBER('Параметры'!$C$8),'Параметры'!$C$8&gt;=0),'Параметры'!$C$8*C241/365,NA())</x:f>
        <x:v>0.005753424657534247</x:v>
      </x:c>
      <x:c r="L241" s="32" t="n">
        <x:f>L240/(1+K241)</x:f>
        <x:v>0.23150115176531608</x:v>
      </x:c>
      <x:c r="M241" s="30" t="n">
        <x:f>E241*L241</x:f>
        <x:v>1453.9661337772443</x:v>
      </x:c>
      <x:c r="N241" s="30" t="n">
        <x:f>F241*L241</x:f>
        <x:v>2527.1313929926846</x:v>
      </x:c>
      <x:c r="O241" s="30" t="n">
        <x:f>G241*L241</x:f>
        <x:v>3981.097526769929</x:v>
      </x:c>
    </x:row>
    <x:row r="242" ht="21" customHeight="1">
      <x:c r="A242" s="28" t="n">
        <x:v>236</x:v>
      </x:c>
      <x:c r="B242" s="29" t="n">
        <x:v>51978</x:v>
      </x:c>
      <x:c r="C242" s="28" t="n">
        <x:f>B242-B241</x:f>
        <x:v>31</x:v>
      </x:c>
      <x:c r="D242" s="30" t="n">
        <x:f>H241</x:f>
        <x:v>1080712.09</x:v>
      </x:c>
      <x:c r="E242" s="30" t="n">
        <x:f>ROUND(D242*I242,2)</x:f>
        <x:v>6883.99</x:v>
      </x:c>
      <x:c r="F242" s="30" t="n">
        <x:f>MIN(D242,'Параметры'!$C$13)</x:f>
        <x:v>10916.28</x:v>
      </x:c>
      <x:c r="G242" s="30" t="n">
        <x:f>ROUND(E242+F242,2)</x:f>
        <x:v>17800.27</x:v>
      </x:c>
      <x:c r="H242" s="30" t="n">
        <x:f>ROUND(D242-F242,2)</x:f>
        <x:v>1069795.81</x:v>
      </x:c>
      <x:c r="I242" s="33" t="n">
        <x:f>IF(AND(ISNUMBER('Параметры'!$C$7),'Параметры'!$C$7&gt;=0),'Параметры'!$C$7*C242/365,NA())</x:f>
        <x:v>0.00636986301369863</x:v>
      </x:c>
      <x:c r="J242" s="32" t="n">
        <x:f>J241/(1+I242)</x:f>
        <x:v>0.23003585488148198</x:v>
      </x:c>
      <x:c r="K242" s="33" t="n">
        <x:f>IF(AND(ISNUMBER('Параметры'!$C$8),'Параметры'!$C$8&gt;=0),'Параметры'!$C$8*C242/365,NA())</x:f>
        <x:v>0.00636986301369863</x:v>
      </x:c>
      <x:c r="L242" s="32" t="n">
        <x:f>L241/(1+K242)</x:f>
        <x:v>0.23003585488148198</x:v>
      </x:c>
      <x:c r="M242" s="30" t="n">
        <x:f>E242*L242</x:f>
        <x:v>1583.564524645573</x:v>
      </x:c>
      <x:c r="N242" s="30" t="n">
        <x:f>F242*L242</x:f>
        <x:v>2511.1358019256245</x:v>
      </x:c>
      <x:c r="O242" s="30" t="n">
        <x:f>G242*L242</x:f>
        <x:v>4094.7003265711974</x:v>
      </x:c>
    </x:row>
    <x:row r="243" ht="21" customHeight="1">
      <x:c r="A243" s="28" t="n">
        <x:v>237</x:v>
      </x:c>
      <x:c r="B243" s="29" t="n">
        <x:v>52008</x:v>
      </x:c>
      <x:c r="C243" s="28" t="n">
        <x:f>B243-B242</x:f>
        <x:v>30</x:v>
      </x:c>
      <x:c r="D243" s="30" t="n">
        <x:f>H242</x:f>
        <x:v>1069795.81</x:v>
      </x:c>
      <x:c r="E243" s="30" t="n">
        <x:f>ROUND(D243*I243,2)</x:f>
        <x:v>6594.63</x:v>
      </x:c>
      <x:c r="F243" s="30" t="n">
        <x:f>MIN(D243,'Параметры'!$C$13)</x:f>
        <x:v>10916.28</x:v>
      </x:c>
      <x:c r="G243" s="30" t="n">
        <x:f>ROUND(E243+F243,2)</x:f>
        <x:v>17510.91</x:v>
      </x:c>
      <x:c r="H243" s="30" t="n">
        <x:f>ROUND(D243-F243,2)</x:f>
        <x:v>1058879.53</x:v>
      </x:c>
      <x:c r="I243" s="33" t="n">
        <x:f>IF(AND(ISNUMBER('Параметры'!$C$7),'Параметры'!$C$7&gt;=0),'Параметры'!$C$7*C243/365,NA())</x:f>
        <x:v>0.0061643835616438354</x:v>
      </x:c>
      <x:c r="J243" s="32" t="n">
        <x:f>J242/(1+I243)</x:f>
        <x:v>0.22862651336076495</x:v>
      </x:c>
      <x:c r="K243" s="33" t="n">
        <x:f>IF(AND(ISNUMBER('Параметры'!$C$8),'Параметры'!$C$8&gt;=0),'Параметры'!$C$8*C243/365,NA())</x:f>
        <x:v>0.0061643835616438354</x:v>
      </x:c>
      <x:c r="L243" s="32" t="n">
        <x:f>L242/(1+K243)</x:f>
        <x:v>0.22862651336076495</x:v>
      </x:c>
      <x:c r="M243" s="30" t="n">
        <x:f>E243*L243</x:f>
        <x:v>1507.7072638043014</x:v>
      </x:c>
      <x:c r="N243" s="30" t="n">
        <x:f>F243*L243</x:f>
        <x:v>2495.7510352698514</x:v>
      </x:c>
      <x:c r="O243" s="30" t="n">
        <x:f>G243*L243</x:f>
        <x:v>4003.4582990741524</x:v>
      </x:c>
    </x:row>
    <x:row r="244" ht="21" customHeight="1">
      <x:c r="A244" s="28" t="n">
        <x:v>238</x:v>
      </x:c>
      <x:c r="B244" s="29" t="n">
        <x:v>52039</x:v>
      </x:c>
      <x:c r="C244" s="28" t="n">
        <x:f>B244-B243</x:f>
        <x:v>31</x:v>
      </x:c>
      <x:c r="D244" s="30" t="n">
        <x:f>H243</x:f>
        <x:v>1058879.53</x:v>
      </x:c>
      <x:c r="E244" s="30" t="n">
        <x:f>ROUND(D244*I244,2)</x:f>
        <x:v>6744.92</x:v>
      </x:c>
      <x:c r="F244" s="30" t="n">
        <x:f>MIN(D244,'Параметры'!$C$13)</x:f>
        <x:v>10916.28</x:v>
      </x:c>
      <x:c r="G244" s="30" t="n">
        <x:f>ROUND(E244+F244,2)</x:f>
        <x:v>17661.2</x:v>
      </x:c>
      <x:c r="H244" s="30" t="n">
        <x:f>ROUND(D244-F244,2)</x:f>
        <x:v>1047963.25</x:v>
      </x:c>
      <x:c r="I244" s="33" t="n">
        <x:f>IF(AND(ISNUMBER('Параметры'!$C$7),'Параметры'!$C$7&gt;=0),'Параметры'!$C$7*C244/365,NA())</x:f>
        <x:v>0.00636986301369863</x:v>
      </x:c>
      <x:c r="J244" s="32" t="n">
        <x:f>J243/(1+I244)</x:f>
        <x:v>0.2271794116291546</x:v>
      </x:c>
      <x:c r="K244" s="33" t="n">
        <x:f>IF(AND(ISNUMBER('Параметры'!$C$8),'Параметры'!$C$8&gt;=0),'Параметры'!$C$8*C244/365,NA())</x:f>
        <x:v>0.00636986301369863</x:v>
      </x:c>
      <x:c r="L244" s="32" t="n">
        <x:f>L243/(1+K244)</x:f>
        <x:v>0.2271794116291546</x:v>
      </x:c>
      <x:c r="M244" s="30" t="n">
        <x:f>E244*L244</x:f>
        <x:v>1532.3069570857174</x:v>
      </x:c>
      <x:c r="N244" s="30" t="n">
        <x:f>F244*L244</x:f>
        <x:v>2479.9540675791077</x:v>
      </x:c>
      <x:c r="O244" s="30" t="n">
        <x:f>G244*L244</x:f>
        <x:v>4012.261024664825</x:v>
      </x:c>
    </x:row>
    <x:row r="245" ht="21" customHeight="1">
      <x:c r="A245" s="28" t="n">
        <x:v>239</x:v>
      </x:c>
      <x:c r="B245" s="29" t="n">
        <x:v>52069</x:v>
      </x:c>
      <x:c r="C245" s="28" t="n">
        <x:f>B245-B244</x:f>
        <x:v>30</x:v>
      </x:c>
      <x:c r="D245" s="30" t="n">
        <x:f>H244</x:f>
        <x:v>1047963.25</x:v>
      </x:c>
      <x:c r="E245" s="30" t="n">
        <x:f>ROUND(D245*I245,2)</x:f>
        <x:v>6460.05</x:v>
      </x:c>
      <x:c r="F245" s="30" t="n">
        <x:f>MIN(D245,'Параметры'!$C$13)</x:f>
        <x:v>10916.28</x:v>
      </x:c>
      <x:c r="G245" s="30" t="n">
        <x:f>ROUND(E245+F245,2)</x:f>
        <x:v>17376.33</x:v>
      </x:c>
      <x:c r="H245" s="30" t="n">
        <x:f>ROUND(D245-F245,2)</x:f>
        <x:v>1037046.97</x:v>
      </x:c>
      <x:c r="I245" s="33" t="n">
        <x:f>IF(AND(ISNUMBER('Параметры'!$C$7),'Параметры'!$C$7&gt;=0),'Параметры'!$C$7*C245/365,NA())</x:f>
        <x:v>0.0061643835616438354</x:v>
      </x:c>
      <x:c r="J245" s="32" t="n">
        <x:f>J244/(1+I245)</x:f>
        <x:v>0.2257875704415015</x:v>
      </x:c>
      <x:c r="K245" s="33" t="n">
        <x:f>IF(AND(ISNUMBER('Параметры'!$C$8),'Параметры'!$C$8&gt;=0),'Параметры'!$C$8*C245/365,NA())</x:f>
        <x:v>0.0061643835616438354</x:v>
      </x:c>
      <x:c r="L245" s="32" t="n">
        <x:f>L244/(1+K245)</x:f>
        <x:v>0.2257875704415015</x:v>
      </x:c>
      <x:c r="M245" s="30" t="n">
        <x:f>E245*L245</x:f>
        <x:v>1458.5989944306218</x:v>
      </x:c>
      <x:c r="N245" s="30" t="n">
        <x:f>F245*L245</x:f>
        <x:v>2464.7603394591542</x:v>
      </x:c>
      <x:c r="O245" s="30" t="n">
        <x:f>G245*L245</x:f>
        <x:v>3923.3593338897763</x:v>
      </x:c>
    </x:row>
    <x:row r="246" ht="21" customHeight="1">
      <x:c r="A246" s="28" t="n">
        <x:v>240</x:v>
      </x:c>
      <x:c r="B246" s="29" t="n">
        <x:v>52100</x:v>
      </x:c>
      <x:c r="C246" s="28" t="n">
        <x:f>B246-B245</x:f>
        <x:v>31</x:v>
      </x:c>
      <x:c r="D246" s="30" t="n">
        <x:f>H245</x:f>
        <x:v>1037046.97</x:v>
      </x:c>
      <x:c r="E246" s="30" t="n">
        <x:f>ROUND(D246*I246,2)</x:f>
        <x:v>6605.85</x:v>
      </x:c>
      <x:c r="F246" s="30" t="n">
        <x:f>MIN(D246,'Параметры'!$C$13)</x:f>
        <x:v>10916.28</x:v>
      </x:c>
      <x:c r="G246" s="30" t="n">
        <x:f>ROUND(E246+F246,2)</x:f>
        <x:v>17522.13</x:v>
      </x:c>
      <x:c r="H246" s="30" t="n">
        <x:f>ROUND(D246-F246,2)</x:f>
        <x:v>1026130.69</x:v>
      </x:c>
      <x:c r="I246" s="33" t="n">
        <x:f>IF(AND(ISNUMBER('Параметры'!$C$7),'Параметры'!$C$7&gt;=0),'Параметры'!$C$7*C246/365,NA())</x:f>
        <x:v>0.00636986301369863</x:v>
      </x:c>
      <x:c r="J246" s="32" t="n">
        <x:f>J245/(1+I246)</x:f>
        <x:v>0.22435843792594581</x:v>
      </x:c>
      <x:c r="K246" s="33" t="n">
        <x:f>IF(AND(ISNUMBER('Параметры'!$C$8),'Параметры'!$C$8&gt;=0),'Параметры'!$C$8*C246/365,NA())</x:f>
        <x:v>0.00636986301369863</x:v>
      </x:c>
      <x:c r="L246" s="32" t="n">
        <x:f>L245/(1+K246)</x:f>
        <x:v>0.22435843792594581</x:v>
      </x:c>
      <x:c r="M246" s="30" t="n">
        <x:f>E246*L246</x:f>
        <x:v>1482.0781871731092</x:v>
      </x:c>
      <x:c r="N246" s="30" t="n">
        <x:f>F246*L246</x:f>
        <x:v>2449.159528762244</x:v>
      </x:c>
      <x:c r="O246" s="30" t="n">
        <x:f>G246*L246</x:f>
        <x:v>3931.237715935353</x:v>
      </x:c>
    </x:row>
    <x:row r="247" ht="21" customHeight="1">
      <x:c r="A247" s="28" t="n">
        <x:v>241</x:v>
      </x:c>
      <x:c r="B247" s="29" t="n">
        <x:v>52131</x:v>
      </x:c>
      <x:c r="C247" s="28" t="n">
        <x:f>B247-B246</x:f>
        <x:v>31</x:v>
      </x:c>
      <x:c r="D247" s="30" t="n">
        <x:f>H246</x:f>
        <x:v>1026130.69</x:v>
      </x:c>
      <x:c r="E247" s="30" t="n">
        <x:f>ROUND(D247*I247,2)</x:f>
        <x:v>6536.31</x:v>
      </x:c>
      <x:c r="F247" s="30" t="n">
        <x:f>MIN(D247,'Параметры'!$C$13)</x:f>
        <x:v>10916.28</x:v>
      </x:c>
      <x:c r="G247" s="30" t="n">
        <x:f>ROUND(E247+F247,2)</x:f>
        <x:v>17452.59</x:v>
      </x:c>
      <x:c r="H247" s="30" t="n">
        <x:f>ROUND(D247-F247,2)</x:f>
        <x:v>1015214.41</x:v>
      </x:c>
      <x:c r="I247" s="33" t="n">
        <x:f>IF(AND(ISNUMBER('Параметры'!$C$7),'Параметры'!$C$7&gt;=0),'Параметры'!$C$7*C247/365,NA())</x:f>
        <x:v>0.00636986301369863</x:v>
      </x:c>
      <x:c r="J247" s="32" t="n">
        <x:f>J246/(1+I247)</x:f>
        <x:v>0.22293835116850264</x:v>
      </x:c>
      <x:c r="K247" s="33" t="n">
        <x:f>IF(AND(ISNUMBER('Параметры'!$C$8),'Параметры'!$C$8&gt;=0),'Параметры'!$C$8*C247/365,NA())</x:f>
        <x:v>0.00636986301369863</x:v>
      </x:c>
      <x:c r="L247" s="32" t="n">
        <x:f>L246/(1+K247)</x:f>
        <x:v>0.22293835116850264</x:v>
      </x:c>
      <x:c r="M247" s="30" t="n">
        <x:f>E247*L247</x:f>
        <x:v>1457.1941741261955</x:v>
      </x:c>
      <x:c r="N247" s="30" t="n">
        <x:f>F247*L247</x:f>
        <x:v>2433.657464093702</x:v>
      </x:c>
      <x:c r="O247" s="30" t="n">
        <x:f>G247*L247</x:f>
        <x:v>3890.8516382198973</x:v>
      </x:c>
    </x:row>
    <x:row r="248" ht="21" customHeight="1">
      <x:c r="A248" s="28" t="n">
        <x:v>242</x:v>
      </x:c>
      <x:c r="B248" s="29" t="n">
        <x:v>52161</x:v>
      </x:c>
      <x:c r="C248" s="28" t="n">
        <x:f>B248-B247</x:f>
        <x:v>30</x:v>
      </x:c>
      <x:c r="D248" s="30" t="n">
        <x:f>H247</x:f>
        <x:v>1015214.41</x:v>
      </x:c>
      <x:c r="E248" s="30" t="n">
        <x:f>ROUND(D248*I248,2)</x:f>
        <x:v>6258.17</x:v>
      </x:c>
      <x:c r="F248" s="30" t="n">
        <x:f>MIN(D248,'Параметры'!$C$13)</x:f>
        <x:v>10916.28</x:v>
      </x:c>
      <x:c r="G248" s="30" t="n">
        <x:f>ROUND(E248+F248,2)</x:f>
        <x:v>17174.45</x:v>
      </x:c>
      <x:c r="H248" s="30" t="n">
        <x:f>ROUND(D248-F248,2)</x:f>
        <x:v>1004298.13</x:v>
      </x:c>
      <x:c r="I248" s="33" t="n">
        <x:f>IF(AND(ISNUMBER('Параметры'!$C$7),'Параметры'!$C$7&gt;=0),'Параметры'!$C$7*C248/365,NA())</x:f>
        <x:v>0.0061643835616438354</x:v>
      </x:c>
      <x:c r="J248" s="32" t="n">
        <x:f>J247/(1+I248)</x:f>
        <x:v>0.22157249333288895</x:v>
      </x:c>
      <x:c r="K248" s="33" t="n">
        <x:f>IF(AND(ISNUMBER('Параметры'!$C$8),'Параметры'!$C$8&gt;=0),'Параметры'!$C$8*C248/365,NA())</x:f>
        <x:v>0.0061643835616438354</x:v>
      </x:c>
      <x:c r="L248" s="32" t="n">
        <x:f>L247/(1+K248)</x:f>
        <x:v>0.22157249333288895</x:v>
      </x:c>
      <x:c r="M248" s="30" t="n">
        <x:f>E248*L248</x:f>
        <x:v>1386.6383306010857</x:v>
      </x:c>
      <x:c r="N248" s="30" t="n">
        <x:f>F248*L248</x:f>
        <x:v>2418.747377519949</x:v>
      </x:c>
      <x:c r="O248" s="30" t="n">
        <x:f>G248*L248</x:f>
        <x:v>3805.385708121035</x:v>
      </x:c>
    </x:row>
    <x:row r="249" ht="21" customHeight="1">
      <x:c r="A249" s="28" t="n">
        <x:v>243</x:v>
      </x:c>
      <x:c r="B249" s="29" t="n">
        <x:v>52192</x:v>
      </x:c>
      <x:c r="C249" s="28" t="n">
        <x:f>B249-B248</x:f>
        <x:v>31</x:v>
      </x:c>
      <x:c r="D249" s="30" t="n">
        <x:f>H248</x:f>
        <x:v>1004298.13</x:v>
      </x:c>
      <x:c r="E249" s="30" t="n">
        <x:f>ROUND(D249*I249,2)</x:f>
        <x:v>6397.24</x:v>
      </x:c>
      <x:c r="F249" s="30" t="n">
        <x:f>MIN(D249,'Параметры'!$C$13)</x:f>
        <x:v>10916.28</x:v>
      </x:c>
      <x:c r="G249" s="30" t="n">
        <x:f>ROUND(E249+F249,2)</x:f>
        <x:v>17313.52</x:v>
      </x:c>
      <x:c r="H249" s="30" t="n">
        <x:f>ROUND(D249-F249,2)</x:f>
        <x:v>993381.85</x:v>
      </x:c>
      <x:c r="I249" s="33" t="n">
        <x:f>IF(AND(ISNUMBER('Параметры'!$C$7),'Параметры'!$C$7&gt;=0),'Параметры'!$C$7*C249/365,NA())</x:f>
        <x:v>0.00636986301369863</x:v>
      </x:c>
      <x:c r="J249" s="32" t="n">
        <x:f>J248/(1+I249)</x:f>
        <x:v>0.2201700403362267</x:v>
      </x:c>
      <x:c r="K249" s="33" t="n">
        <x:f>IF(AND(ISNUMBER('Параметры'!$C$8),'Параметры'!$C$8&gt;=0),'Параметры'!$C$8*C249/365,NA())</x:f>
        <x:v>0.00636986301369863</x:v>
      </x:c>
      <x:c r="L249" s="32" t="n">
        <x:f>L248/(1+K249)</x:f>
        <x:v>0.2201700403362267</x:v>
      </x:c>
      <x:c r="M249" s="30" t="n">
        <x:f>E249*L249</x:f>
        <x:v>1408.4805888405228</x:v>
      </x:c>
      <x:c r="N249" s="30" t="n">
        <x:f>F249*L249</x:f>
        <x:v>2403.437807921545</x:v>
      </x:c>
      <x:c r="O249" s="30" t="n">
        <x:f>G249*L249</x:f>
        <x:v>3811.918396762068</x:v>
      </x:c>
    </x:row>
    <x:row r="250" ht="21" customHeight="1">
      <x:c r="A250" s="28" t="n">
        <x:v>244</x:v>
      </x:c>
      <x:c r="B250" s="29" t="n">
        <x:v>52222</x:v>
      </x:c>
      <x:c r="C250" s="28" t="n">
        <x:f>B250-B249</x:f>
        <x:v>30</x:v>
      </x:c>
      <x:c r="D250" s="30" t="n">
        <x:f>H249</x:f>
        <x:v>993381.85</x:v>
      </x:c>
      <x:c r="E250" s="30" t="n">
        <x:f>ROUND(D250*I250,2)</x:f>
        <x:v>6123.59</x:v>
      </x:c>
      <x:c r="F250" s="30" t="n">
        <x:f>MIN(D250,'Параметры'!$C$13)</x:f>
        <x:v>10916.28</x:v>
      </x:c>
      <x:c r="G250" s="30" t="n">
        <x:f>ROUND(E250+F250,2)</x:f>
        <x:v>17039.87</x:v>
      </x:c>
      <x:c r="H250" s="30" t="n">
        <x:f>ROUND(D250-F250,2)</x:f>
        <x:v>982465.57</x:v>
      </x:c>
      <x:c r="I250" s="33" t="n">
        <x:f>IF(AND(ISNUMBER('Параметры'!$C$7),'Параметры'!$C$7&gt;=0),'Параметры'!$C$7*C250/365,NA())</x:f>
        <x:v>0.0061643835616438354</x:v>
      </x:c>
      <x:c r="J250" s="32" t="n">
        <x:f>J249/(1+I250)</x:f>
        <x:v>0.2188211428801164</x:v>
      </x:c>
      <x:c r="K250" s="33" t="n">
        <x:f>IF(AND(ISNUMBER('Параметры'!$C$8),'Параметры'!$C$8&gt;=0),'Параметры'!$C$8*C250/365,NA())</x:f>
        <x:v>0.0061643835616438354</x:v>
      </x:c>
      <x:c r="L250" s="32" t="n">
        <x:f>L249/(1+K250)</x:f>
        <x:v>0.2188211428801164</x:v>
      </x:c>
      <x:c r="M250" s="30" t="n">
        <x:f>E250*L250</x:f>
        <x:v>1339.970962329252</x:v>
      </x:c>
      <x:c r="N250" s="30" t="n">
        <x:f>F250*L250</x:f>
        <x:v>2388.712865599357</x:v>
      </x:c>
      <x:c r="O250" s="30" t="n">
        <x:f>G250*L250</x:f>
        <x:v>3728.6838279286085</x:v>
      </x:c>
    </x:row>
    <x:row r="251" ht="21" customHeight="1">
      <x:c r="A251" s="28" t="n">
        <x:v>245</x:v>
      </x:c>
      <x:c r="B251" s="29" t="n">
        <x:v>52253</x:v>
      </x:c>
      <x:c r="C251" s="28" t="n">
        <x:f>B251-B250</x:f>
        <x:v>31</x:v>
      </x:c>
      <x:c r="D251" s="30" t="n">
        <x:f>H250</x:f>
        <x:v>982465.57</x:v>
      </x:c>
      <x:c r="E251" s="30" t="n">
        <x:f>ROUND(D251*I251,2)</x:f>
        <x:v>6258.17</x:v>
      </x:c>
      <x:c r="F251" s="30" t="n">
        <x:f>MIN(D251,'Параметры'!$C$13)</x:f>
        <x:v>10916.28</x:v>
      </x:c>
      <x:c r="G251" s="30" t="n">
        <x:f>ROUND(E251+F251,2)</x:f>
        <x:v>17174.45</x:v>
      </x:c>
      <x:c r="H251" s="30" t="n">
        <x:f>ROUND(D251-F251,2)</x:f>
        <x:v>971549.29</x:v>
      </x:c>
      <x:c r="I251" s="33" t="n">
        <x:f>IF(AND(ISNUMBER('Параметры'!$C$7),'Параметры'!$C$7&gt;=0),'Параметры'!$C$7*C251/365,NA())</x:f>
        <x:v>0.00636986301369863</x:v>
      </x:c>
      <x:c r="J251" s="32" t="n">
        <x:f>J250/(1+I251)</x:f>
        <x:v>0.21743610467907845</x:v>
      </x:c>
      <x:c r="K251" s="33" t="n">
        <x:f>IF(AND(ISNUMBER('Параметры'!$C$8),'Параметры'!$C$8&gt;=0),'Параметры'!$C$8*C251/365,NA())</x:f>
        <x:v>0.00636986301369863</x:v>
      </x:c>
      <x:c r="L251" s="32" t="n">
        <x:f>L250/(1+K251)</x:f>
        <x:v>0.21743610467907845</x:v>
      </x:c>
      <x:c r="M251" s="30" t="n">
        <x:f>E251*L251</x:f>
        <x:v>1360.7521072194684</x:v>
      </x:c>
      <x:c r="N251" s="30" t="n">
        <x:f>F251*L251</x:f>
        <x:v>2373.5934007861306</x:v>
      </x:c>
      <x:c r="O251" s="30" t="n">
        <x:f>G251*L251</x:f>
        <x:v>3734.345508005599</x:v>
      </x:c>
    </x:row>
    <x:row r="252" ht="21" customHeight="1">
      <x:c r="A252" s="28" t="n">
        <x:v>246</x:v>
      </x:c>
      <x:c r="B252" s="29" t="n">
        <x:v>52284</x:v>
      </x:c>
      <x:c r="C252" s="28" t="n">
        <x:f>B252-B251</x:f>
        <x:v>31</x:v>
      </x:c>
      <x:c r="D252" s="30" t="n">
        <x:f>H251</x:f>
        <x:v>971549.29</x:v>
      </x:c>
      <x:c r="E252" s="30" t="n">
        <x:f>ROUND(D252*I252,2)</x:f>
        <x:v>6188.64</x:v>
      </x:c>
      <x:c r="F252" s="30" t="n">
        <x:f>MIN(D252,'Параметры'!$C$13)</x:f>
        <x:v>10916.28</x:v>
      </x:c>
      <x:c r="G252" s="30" t="n">
        <x:f>ROUND(E252+F252,2)</x:f>
        <x:v>17104.92</x:v>
      </x:c>
      <x:c r="H252" s="30" t="n">
        <x:f>ROUND(D252-F252,2)</x:f>
        <x:v>960633.01</x:v>
      </x:c>
      <x:c r="I252" s="33" t="n">
        <x:f>IF(AND(ISNUMBER('Параметры'!$C$7),'Параметры'!$C$7&gt;=0),'Параметры'!$C$7*C252/365,NA())</x:f>
        <x:v>0.00636986301369863</x:v>
      </x:c>
      <x:c r="J252" s="32" t="n">
        <x:f>J251/(1+I252)</x:f>
        <x:v>0.21605983313921906</x:v>
      </x:c>
      <x:c r="K252" s="33" t="n">
        <x:f>IF(AND(ISNUMBER('Параметры'!$C$8),'Параметры'!$C$8&gt;=0),'Параметры'!$C$8*C252/365,NA())</x:f>
        <x:v>0.00636986301369863</x:v>
      </x:c>
      <x:c r="L252" s="32" t="n">
        <x:f>L251/(1+K252)</x:f>
        <x:v>0.21605983313921906</x:v>
      </x:c>
      <x:c r="M252" s="30" t="n">
        <x:f>E252*L252</x:f>
        <x:v>1337.1165257586968</x:v>
      </x:c>
      <x:c r="N252" s="30" t="n">
        <x:f>F252*L252</x:f>
        <x:v>2358.5696353009944</x:v>
      </x:c>
      <x:c r="O252" s="30" t="n">
        <x:f>G252*L252</x:f>
        <x:v>3695.6861610596907</x:v>
      </x:c>
    </x:row>
    <x:row r="253" ht="21" customHeight="1">
      <x:c r="A253" s="28" t="n">
        <x:v>247</x:v>
      </x:c>
      <x:c r="B253" s="29" t="n">
        <x:v>52312</x:v>
      </x:c>
      <x:c r="C253" s="28" t="n">
        <x:f>B253-B252</x:f>
        <x:v>28</x:v>
      </x:c>
      <x:c r="D253" s="30" t="n">
        <x:f>H252</x:f>
        <x:v>960633.01</x:v>
      </x:c>
      <x:c r="E253" s="30" t="n">
        <x:f>ROUND(D253*I253,2)</x:f>
        <x:v>5526.93</x:v>
      </x:c>
      <x:c r="F253" s="30" t="n">
        <x:f>MIN(D253,'Параметры'!$C$13)</x:f>
        <x:v>10916.28</x:v>
      </x:c>
      <x:c r="G253" s="30" t="n">
        <x:f>ROUND(E253+F253,2)</x:f>
        <x:v>16443.21</x:v>
      </x:c>
      <x:c r="H253" s="30" t="n">
        <x:f>ROUND(D253-F253,2)</x:f>
        <x:v>949716.73</x:v>
      </x:c>
      <x:c r="I253" s="33" t="n">
        <x:f>IF(AND(ISNUMBER('Параметры'!$C$7),'Параметры'!$C$7&gt;=0),'Параметры'!$C$7*C253/365,NA())</x:f>
        <x:v>0.005753424657534247</x:v>
      </x:c>
      <x:c r="J253" s="32" t="n">
        <x:f>J252/(1+I253)</x:f>
        <x:v>0.21482386024466077</x:v>
      </x:c>
      <x:c r="K253" s="33" t="n">
        <x:f>IF(AND(ISNUMBER('Параметры'!$C$8),'Параметры'!$C$8&gt;=0),'Параметры'!$C$8*C253/365,NA())</x:f>
        <x:v>0.005753424657534247</x:v>
      </x:c>
      <x:c r="L253" s="32" t="n">
        <x:f>L252/(1+K253)</x:f>
        <x:v>0.21482386024466077</x:v>
      </x:c>
      <x:c r="M253" s="30" t="n">
        <x:f>E253*L253</x:f>
        <x:v>1187.316437902023</x:v>
      </x:c>
      <x:c r="N253" s="30" t="n">
        <x:f>F253*L253</x:f>
        <x:v>2345.0774091115854</x:v>
      </x:c>
      <x:c r="O253" s="30" t="n">
        <x:f>G253*L253</x:f>
        <x:v>3532.393847013608</x:v>
      </x:c>
    </x:row>
    <x:row r="254" ht="21" customHeight="1">
      <x:c r="A254" s="28" t="n">
        <x:v>248</x:v>
      </x:c>
      <x:c r="B254" s="29" t="n">
        <x:v>52343</x:v>
      </x:c>
      <x:c r="C254" s="28" t="n">
        <x:f>B254-B253</x:f>
        <x:v>31</x:v>
      </x:c>
      <x:c r="D254" s="30" t="n">
        <x:f>H253</x:f>
        <x:v>949716.73</x:v>
      </x:c>
      <x:c r="E254" s="30" t="n">
        <x:f>ROUND(D254*I254,2)</x:f>
        <x:v>6049.57</x:v>
      </x:c>
      <x:c r="F254" s="30" t="n">
        <x:f>MIN(D254,'Параметры'!$C$13)</x:f>
        <x:v>10916.28</x:v>
      </x:c>
      <x:c r="G254" s="30" t="n">
        <x:f>ROUND(E254+F254,2)</x:f>
        <x:v>16965.85</x:v>
      </x:c>
      <x:c r="H254" s="30" t="n">
        <x:f>ROUND(D254-F254,2)</x:f>
        <x:v>938800.45</x:v>
      </x:c>
      <x:c r="I254" s="33" t="n">
        <x:f>IF(AND(ISNUMBER('Параметры'!$C$7),'Параметры'!$C$7&gt;=0),'Параметры'!$C$7*C254/365,NA())</x:f>
        <x:v>0.00636986301369863</x:v>
      </x:c>
      <x:c r="J254" s="32" t="n">
        <x:f>J253/(1+I254)</x:f>
        <x:v>0.21346412302266707</x:v>
      </x:c>
      <x:c r="K254" s="33" t="n">
        <x:f>IF(AND(ISNUMBER('Параметры'!$C$8),'Параметры'!$C$8&gt;=0),'Параметры'!$C$8*C254/365,NA())</x:f>
        <x:v>0.00636986301369863</x:v>
      </x:c>
      <x:c r="L254" s="32" t="n">
        <x:f>L253/(1+K254)</x:f>
        <x:v>0.21346412302266707</x:v>
      </x:c>
      <x:c r="M254" s="30" t="n">
        <x:f>E254*L254</x:f>
        <x:v>1291.366154714236</x:v>
      </x:c>
      <x:c r="N254" s="30" t="n">
        <x:f>F254*L254</x:f>
        <x:v>2330.2341368698803</x:v>
      </x:c>
      <x:c r="O254" s="30" t="n">
        <x:f>G254*L254</x:f>
        <x:v>3621.600291584116</x:v>
      </x:c>
    </x:row>
    <x:row r="255" ht="21" customHeight="1">
      <x:c r="A255" s="28" t="n">
        <x:v>249</x:v>
      </x:c>
      <x:c r="B255" s="29" t="n">
        <x:v>52373</x:v>
      </x:c>
      <x:c r="C255" s="28" t="n">
        <x:f>B255-B254</x:f>
        <x:v>30</x:v>
      </x:c>
      <x:c r="D255" s="30" t="n">
        <x:f>H254</x:f>
        <x:v>938800.45</x:v>
      </x:c>
      <x:c r="E255" s="30" t="n">
        <x:f>ROUND(D255*I255,2)</x:f>
        <x:v>5787.13</x:v>
      </x:c>
      <x:c r="F255" s="30" t="n">
        <x:f>MIN(D255,'Параметры'!$C$13)</x:f>
        <x:v>10916.28</x:v>
      </x:c>
      <x:c r="G255" s="30" t="n">
        <x:f>ROUND(E255+F255,2)</x:f>
        <x:v>16703.41</x:v>
      </x:c>
      <x:c r="H255" s="30" t="n">
        <x:f>ROUND(D255-F255,2)</x:f>
        <x:v>927884.17</x:v>
      </x:c>
      <x:c r="I255" s="33" t="n">
        <x:f>IF(AND(ISNUMBER('Параметры'!$C$7),'Параметры'!$C$7&gt;=0),'Параметры'!$C$7*C255/365,NA())</x:f>
        <x:v>0.0061643835616438354</x:v>
      </x:c>
      <x:c r="J255" s="32" t="n">
        <x:f>J254/(1+I255)</x:f>
        <x:v>0.2121563101518679</x:v>
      </x:c>
      <x:c r="K255" s="33" t="n">
        <x:f>IF(AND(ISNUMBER('Параметры'!$C$8),'Параметры'!$C$8&gt;=0),'Параметры'!$C$8*C255/365,NA())</x:f>
        <x:v>0.0061643835616438354</x:v>
      </x:c>
      <x:c r="L255" s="32" t="n">
        <x:f>L254/(1+K255)</x:f>
        <x:v>0.2121563101518679</x:v>
      </x:c>
      <x:c r="M255" s="30" t="n">
        <x:f>E255*L255</x:f>
        <x:v>1227.7761471691792</x:v>
      </x:c>
      <x:c r="N255" s="30" t="n">
        <x:f>F255*L255</x:f>
        <x:v>2315.9576853846324</x:v>
      </x:c>
      <x:c r="O255" s="30" t="n">
        <x:f>G255*L255</x:f>
        <x:v>3543.7338325538117</x:v>
      </x:c>
    </x:row>
    <x:row r="256" ht="21" customHeight="1">
      <x:c r="A256" s="28" t="n">
        <x:v>250</x:v>
      </x:c>
      <x:c r="B256" s="29" t="n">
        <x:v>52404</x:v>
      </x:c>
      <x:c r="C256" s="28" t="n">
        <x:f>B256-B255</x:f>
        <x:v>31</x:v>
      </x:c>
      <x:c r="D256" s="30" t="n">
        <x:f>H255</x:f>
        <x:v>927884.17</x:v>
      </x:c>
      <x:c r="E256" s="30" t="n">
        <x:f>ROUND(D256*I256,2)</x:f>
        <x:v>5910.5</x:v>
      </x:c>
      <x:c r="F256" s="30" t="n">
        <x:f>MIN(D256,'Параметры'!$C$13)</x:f>
        <x:v>10916.28</x:v>
      </x:c>
      <x:c r="G256" s="30" t="n">
        <x:f>ROUND(E256+F256,2)</x:f>
        <x:v>16826.78</x:v>
      </x:c>
      <x:c r="H256" s="30" t="n">
        <x:f>ROUND(D256-F256,2)</x:f>
        <x:v>916967.89</x:v>
      </x:c>
      <x:c r="I256" s="33" t="n">
        <x:f>IF(AND(ISNUMBER('Параметры'!$C$7),'Параметры'!$C$7&gt;=0),'Параметры'!$C$7*C256/365,NA())</x:f>
        <x:v>0.00636986301369863</x:v>
      </x:c>
      <x:c r="J256" s="32" t="n">
        <x:f>J255/(1+I256)</x:f>
        <x:v>0.21081345730737572</x:v>
      </x:c>
      <x:c r="K256" s="33" t="n">
        <x:f>IF(AND(ISNUMBER('Параметры'!$C$8),'Параметры'!$C$8&gt;=0),'Параметры'!$C$8*C256/365,NA())</x:f>
        <x:v>0.00636986301369863</x:v>
      </x:c>
      <x:c r="L256" s="32" t="n">
        <x:f>L255/(1+K256)</x:f>
        <x:v>0.21081345730737572</x:v>
      </x:c>
      <x:c r="M256" s="30" t="n">
        <x:f>E256*L256</x:f>
        <x:v>1246.012939415244</x:v>
      </x:c>
      <x:c r="N256" s="30" t="n">
        <x:f>F256*L256</x:f>
        <x:v>2301.2987277353595</x:v>
      </x:c>
      <x:c r="O256" s="30" t="n">
        <x:f>G256*L256</x:f>
        <x:v>3547.311667150603</x:v>
      </x:c>
    </x:row>
    <x:row r="257" ht="21" customHeight="1">
      <x:c r="A257" s="28" t="n">
        <x:v>251</x:v>
      </x:c>
      <x:c r="B257" s="29" t="n">
        <x:v>52434</x:v>
      </x:c>
      <x:c r="C257" s="28" t="n">
        <x:f>B257-B256</x:f>
        <x:v>30</x:v>
      </x:c>
      <x:c r="D257" s="30" t="n">
        <x:f>H256</x:f>
        <x:v>916967.89</x:v>
      </x:c>
      <x:c r="E257" s="30" t="n">
        <x:f>ROUND(D257*I257,2)</x:f>
        <x:v>5652.54</x:v>
      </x:c>
      <x:c r="F257" s="30" t="n">
        <x:f>MIN(D257,'Параметры'!$C$13)</x:f>
        <x:v>10916.28</x:v>
      </x:c>
      <x:c r="G257" s="30" t="n">
        <x:f>ROUND(E257+F257,2)</x:f>
        <x:v>16568.82</x:v>
      </x:c>
      <x:c r="H257" s="30" t="n">
        <x:f>ROUND(D257-F257,2)</x:f>
        <x:v>906051.61</x:v>
      </x:c>
      <x:c r="I257" s="33" t="n">
        <x:f>IF(AND(ISNUMBER('Параметры'!$C$7),'Параметры'!$C$7&gt;=0),'Параметры'!$C$7*C257/365,NA())</x:f>
        <x:v>0.0061643835616438354</x:v>
      </x:c>
      <x:c r="J257" s="32" t="n">
        <x:f>J256/(1+I257)</x:f>
        <x:v>0.20952188404953612</x:v>
      </x:c>
      <x:c r="K257" s="33" t="n">
        <x:f>IF(AND(ISNUMBER('Параметры'!$C$8),'Параметры'!$C$8&gt;=0),'Параметры'!$C$8*C257/365,NA())</x:f>
        <x:v>0.0061643835616438354</x:v>
      </x:c>
      <x:c r="L257" s="32" t="n">
        <x:f>L256/(1+K257)</x:f>
        <x:v>0.20952188404953612</x:v>
      </x:c>
      <x:c r="M257" s="30" t="n">
        <x:f>E257*L257</x:f>
        <x:v>1184.330830465365</x:v>
      </x:c>
      <x:c r="N257" s="30" t="n">
        <x:f>F257*L257</x:f>
        <x:v>2287.1995524122704</x:v>
      </x:c>
      <x:c r="O257" s="30" t="n">
        <x:f>G257*L257</x:f>
        <x:v>3471.530382877635</x:v>
      </x:c>
    </x:row>
    <x:row r="258" ht="21" customHeight="1">
      <x:c r="A258" s="28" t="n">
        <x:v>252</x:v>
      </x:c>
      <x:c r="B258" s="29" t="n">
        <x:v>52465</x:v>
      </x:c>
      <x:c r="C258" s="28" t="n">
        <x:f>B258-B257</x:f>
        <x:v>31</x:v>
      </x:c>
      <x:c r="D258" s="30" t="n">
        <x:f>H257</x:f>
        <x:v>906051.61</x:v>
      </x:c>
      <x:c r="E258" s="30" t="n">
        <x:f>ROUND(D258*I258,2)</x:f>
        <x:v>5771.42</x:v>
      </x:c>
      <x:c r="F258" s="30" t="n">
        <x:f>MIN(D258,'Параметры'!$C$13)</x:f>
        <x:v>10916.28</x:v>
      </x:c>
      <x:c r="G258" s="30" t="n">
        <x:f>ROUND(E258+F258,2)</x:f>
        <x:v>16687.7</x:v>
      </x:c>
      <x:c r="H258" s="30" t="n">
        <x:f>ROUND(D258-F258,2)</x:f>
        <x:v>895135.33</x:v>
      </x:c>
      <x:c r="I258" s="33" t="n">
        <x:f>IF(AND(ISNUMBER('Параметры'!$C$7),'Параметры'!$C$7&gt;=0),'Параметры'!$C$7*C258/365,NA())</x:f>
        <x:v>0.00636986301369863</x:v>
      </x:c>
      <x:c r="J258" s="32" t="n">
        <x:f>J257/(1+I258)</x:f>
        <x:v>0.20819570592276782</x:v>
      </x:c>
      <x:c r="K258" s="33" t="n">
        <x:f>IF(AND(ISNUMBER('Параметры'!$C$8),'Параметры'!$C$8&gt;=0),'Параметры'!$C$8*C258/365,NA())</x:f>
        <x:v>0.00636986301369863</x:v>
      </x:c>
      <x:c r="L258" s="32" t="n">
        <x:f>L257/(1+K258)</x:f>
        <x:v>0.20819570592276782</x:v>
      </x:c>
      <x:c r="M258" s="30" t="n">
        <x:f>E258*L258</x:f>
        <x:v>1201.5848610767807</x:v>
      </x:c>
      <x:c r="N258" s="30" t="n">
        <x:f>F258*L258</x:f>
        <x:v>2272.722620650592</x:v>
      </x:c>
      <x:c r="O258" s="30" t="n">
        <x:f>G258*L258</x:f>
        <x:v>3474.3074817273728</x:v>
      </x:c>
    </x:row>
    <x:row r="259" ht="21" customHeight="1">
      <x:c r="A259" s="28" t="n">
        <x:v>253</x:v>
      </x:c>
      <x:c r="B259" s="29" t="n">
        <x:v>52496</x:v>
      </x:c>
      <x:c r="C259" s="28" t="n">
        <x:f>B259-B258</x:f>
        <x:v>31</x:v>
      </x:c>
      <x:c r="D259" s="30" t="n">
        <x:f>H258</x:f>
        <x:v>895135.33</x:v>
      </x:c>
      <x:c r="E259" s="30" t="n">
        <x:f>ROUND(D259*I259,2)</x:f>
        <x:v>5701.89</x:v>
      </x:c>
      <x:c r="F259" s="30" t="n">
        <x:f>MIN(D259,'Параметры'!$C$13)</x:f>
        <x:v>10916.28</x:v>
      </x:c>
      <x:c r="G259" s="30" t="n">
        <x:f>ROUND(E259+F259,2)</x:f>
        <x:v>16618.17</x:v>
      </x:c>
      <x:c r="H259" s="30" t="n">
        <x:f>ROUND(D259-F259,2)</x:f>
        <x:v>884219.05</x:v>
      </x:c>
      <x:c r="I259" s="33" t="n">
        <x:f>IF(AND(ISNUMBER('Параметры'!$C$7),'Параметры'!$C$7&gt;=0),'Параметры'!$C$7*C259/365,NA())</x:f>
        <x:v>0.00636986301369863</x:v>
      </x:c>
      <x:c r="J259" s="32" t="n">
        <x:f>J258/(1+I259)</x:f>
        <x:v>0.20687792189970805</x:v>
      </x:c>
      <x:c r="K259" s="33" t="n">
        <x:f>IF(AND(ISNUMBER('Параметры'!$C$8),'Параметры'!$C$8&gt;=0),'Параметры'!$C$8*C259/365,NA())</x:f>
        <x:v>0.00636986301369863</x:v>
      </x:c>
      <x:c r="L259" s="32" t="n">
        <x:f>L258/(1+K259)</x:f>
        <x:v>0.20687792189970805</x:v>
      </x:c>
      <x:c r="M259" s="30" t="n">
        <x:f>E259*L259</x:f>
        <x:v>1179.5951541007264</x:v>
      </x:c>
      <x:c r="N259" s="30" t="n">
        <x:f>F259*L259</x:f>
        <x:v>2258.337321275345</x:v>
      </x:c>
      <x:c r="O259" s="30" t="n">
        <x:f>G259*L259</x:f>
        <x:v>3437.932475376071</x:v>
      </x:c>
    </x:row>
    <x:row r="260" ht="21" customHeight="1">
      <x:c r="A260" s="28" t="n">
        <x:v>254</x:v>
      </x:c>
      <x:c r="B260" s="29" t="n">
        <x:v>52526</x:v>
      </x:c>
      <x:c r="C260" s="28" t="n">
        <x:f>B260-B259</x:f>
        <x:v>30</x:v>
      </x:c>
      <x:c r="D260" s="30" t="n">
        <x:f>H259</x:f>
        <x:v>884219.05</x:v>
      </x:c>
      <x:c r="E260" s="30" t="n">
        <x:f>ROUND(D260*I260,2)</x:f>
        <x:v>5450.67</x:v>
      </x:c>
      <x:c r="F260" s="30" t="n">
        <x:f>MIN(D260,'Параметры'!$C$13)</x:f>
        <x:v>10916.28</x:v>
      </x:c>
      <x:c r="G260" s="30" t="n">
        <x:f>ROUND(E260+F260,2)</x:f>
        <x:v>16366.95</x:v>
      </x:c>
      <x:c r="H260" s="30" t="n">
        <x:f>ROUND(D260-F260,2)</x:f>
        <x:v>873302.77</x:v>
      </x:c>
      <x:c r="I260" s="33" t="n">
        <x:f>IF(AND(ISNUMBER('Параметры'!$C$7),'Параметры'!$C$7&gt;=0),'Параметры'!$C$7*C260/365,NA())</x:f>
        <x:v>0.0061643835616438354</x:v>
      </x:c>
      <x:c r="J260" s="32" t="n">
        <x:f>J259/(1+I260)</x:f>
        <x:v>0.20561046015900186</x:v>
      </x:c>
      <x:c r="K260" s="33" t="n">
        <x:f>IF(AND(ISNUMBER('Параметры'!$C$8),'Параметры'!$C$8&gt;=0),'Параметры'!$C$8*C260/365,NA())</x:f>
        <x:v>0.0061643835616438354</x:v>
      </x:c>
      <x:c r="L260" s="32" t="n">
        <x:f>L259/(1+K260)</x:f>
        <x:v>0.20561046015900186</x:v>
      </x:c>
      <x:c r="M260" s="30" t="n">
        <x:f>E260*L260</x:f>
        <x:v>1120.7147668748667</x:v>
      </x:c>
      <x:c r="N260" s="30" t="n">
        <x:f>F260*L260</x:f>
        <x:v>2244.501354024509</x:v>
      </x:c>
      <x:c r="O260" s="30" t="n">
        <x:f>G260*L260</x:f>
        <x:v>3365.2161208993757</x:v>
      </x:c>
    </x:row>
    <x:row r="261" ht="21" customHeight="1">
      <x:c r="A261" s="28" t="n">
        <x:v>255</x:v>
      </x:c>
      <x:c r="B261" s="29" t="n">
        <x:v>52557</x:v>
      </x:c>
      <x:c r="C261" s="28" t="n">
        <x:f>B261-B260</x:f>
        <x:v>31</x:v>
      </x:c>
      <x:c r="D261" s="30" t="n">
        <x:f>H260</x:f>
        <x:v>873302.77</x:v>
      </x:c>
      <x:c r="E261" s="30" t="n">
        <x:f>ROUND(D261*I261,2)</x:f>
        <x:v>5562.82</x:v>
      </x:c>
      <x:c r="F261" s="30" t="n">
        <x:f>MIN(D261,'Параметры'!$C$13)</x:f>
        <x:v>10916.28</x:v>
      </x:c>
      <x:c r="G261" s="30" t="n">
        <x:f>ROUND(E261+F261,2)</x:f>
        <x:v>16479.1</x:v>
      </x:c>
      <x:c r="H261" s="30" t="n">
        <x:f>ROUND(D261-F261,2)</x:f>
        <x:v>862386.49</x:v>
      </x:c>
      <x:c r="I261" s="33" t="n">
        <x:f>IF(AND(ISNUMBER('Параметры'!$C$7),'Параметры'!$C$7&gt;=0),'Параметры'!$C$7*C261/365,NA())</x:f>
        <x:v>0.00636986301369863</x:v>
      </x:c>
      <x:c r="J261" s="32" t="n">
        <x:f>J260/(1+I261)</x:f>
        <x:v>0.20430903956451557</x:v>
      </x:c>
      <x:c r="K261" s="33" t="n">
        <x:f>IF(AND(ISNUMBER('Параметры'!$C$8),'Параметры'!$C$8&gt;=0),'Параметры'!$C$8*C261/365,NA())</x:f>
        <x:v>0.00636986301369863</x:v>
      </x:c>
      <x:c r="L261" s="32" t="n">
        <x:f>L260/(1+K261)</x:f>
        <x:v>0.20430903956451557</x:v>
      </x:c>
      <x:c r="M261" s="30" t="n">
        <x:f>E261*L261</x:f>
        <x:v>1136.5344114702784</x:v>
      </x:c>
      <x:c r="N261" s="30" t="n">
        <x:f>F261*L261</x:f>
        <x:v>2230.29468241733</x:v>
      </x:c>
      <x:c r="O261" s="30" t="n">
        <x:f>G261*L261</x:f>
        <x:v>3366.8290938876085</x:v>
      </x:c>
    </x:row>
    <x:row r="262" ht="21" customHeight="1">
      <x:c r="A262" s="28" t="n">
        <x:v>256</x:v>
      </x:c>
      <x:c r="B262" s="29" t="n">
        <x:v>52587</x:v>
      </x:c>
      <x:c r="C262" s="28" t="n">
        <x:f>B262-B261</x:f>
        <x:v>30</x:v>
      </x:c>
      <x:c r="D262" s="30" t="n">
        <x:f>H261</x:f>
        <x:v>862386.49</x:v>
      </x:c>
      <x:c r="E262" s="30" t="n">
        <x:f>ROUND(D262*I262,2)</x:f>
        <x:v>5316.08</x:v>
      </x:c>
      <x:c r="F262" s="30" t="n">
        <x:f>MIN(D262,'Параметры'!$C$13)</x:f>
        <x:v>10916.28</x:v>
      </x:c>
      <x:c r="G262" s="30" t="n">
        <x:f>ROUND(E262+F262,2)</x:f>
        <x:v>16232.36</x:v>
      </x:c>
      <x:c r="H262" s="30" t="n">
        <x:f>ROUND(D262-F262,2)</x:f>
        <x:v>851470.21</x:v>
      </x:c>
      <x:c r="I262" s="33" t="n">
        <x:f>IF(AND(ISNUMBER('Параметры'!$C$7),'Параметры'!$C$7&gt;=0),'Параметры'!$C$7*C262/365,NA())</x:f>
        <x:v>0.0061643835616438354</x:v>
      </x:c>
      <x:c r="J262" s="32" t="n">
        <x:f>J261/(1+I262)</x:f>
        <x:v>0.20305731638134292</x:v>
      </x:c>
      <x:c r="K262" s="33" t="n">
        <x:f>IF(AND(ISNUMBER('Параметры'!$C$8),'Параметры'!$C$8&gt;=0),'Параметры'!$C$8*C262/365,NA())</x:f>
        <x:v>0.0061643835616438354</x:v>
      </x:c>
      <x:c r="L262" s="32" t="n">
        <x:f>L261/(1+K262)</x:f>
        <x:v>0.20305731638134292</x:v>
      </x:c>
      <x:c r="M262" s="30" t="n">
        <x:f>E262*L262</x:f>
        <x:v>1079.4689384685294</x:v>
      </x:c>
      <x:c r="N262" s="30" t="n">
        <x:f>F262*L262</x:f>
        <x:v>2216.6305216673263</x:v>
      </x:c>
      <x:c r="O262" s="30" t="n">
        <x:f>G262*L262</x:f>
        <x:v>3296.0994601358557</x:v>
      </x:c>
    </x:row>
    <x:row r="263" ht="21" customHeight="1">
      <x:c r="A263" s="28" t="n">
        <x:v>257</x:v>
      </x:c>
      <x:c r="B263" s="29" t="n">
        <x:v>52618</x:v>
      </x:c>
      <x:c r="C263" s="28" t="n">
        <x:f>B263-B262</x:f>
        <x:v>31</x:v>
      </x:c>
      <x:c r="D263" s="30" t="n">
        <x:f>H262</x:f>
        <x:v>851470.21</x:v>
      </x:c>
      <x:c r="E263" s="30" t="n">
        <x:f>ROUND(D263*I263,2)</x:f>
        <x:v>5423.75</x:v>
      </x:c>
      <x:c r="F263" s="30" t="n">
        <x:f>MIN(D263,'Параметры'!$C$13)</x:f>
        <x:v>10916.28</x:v>
      </x:c>
      <x:c r="G263" s="30" t="n">
        <x:f>ROUND(E263+F263,2)</x:f>
        <x:v>16340.03</x:v>
      </x:c>
      <x:c r="H263" s="30" t="n">
        <x:f>ROUND(D263-F263,2)</x:f>
        <x:v>840553.93</x:v>
      </x:c>
      <x:c r="I263" s="33" t="n">
        <x:f>IF(AND(ISNUMBER('Параметры'!$C$7),'Параметры'!$C$7&gt;=0),'Параметры'!$C$7*C263/365,NA())</x:f>
        <x:v>0.00636986301369863</x:v>
      </x:c>
      <x:c r="J263" s="32" t="n">
        <x:f>J262/(1+I263)</x:f>
        <x:v>0.2017720560244747</x:v>
      </x:c>
      <x:c r="K263" s="33" t="n">
        <x:f>IF(AND(ISNUMBER('Параметры'!$C$8),'Параметры'!$C$8&gt;=0),'Параметры'!$C$8*C263/365,NA())</x:f>
        <x:v>0.00636986301369863</x:v>
      </x:c>
      <x:c r="L263" s="32" t="n">
        <x:f>L262/(1+K263)</x:f>
        <x:v>0.2017720560244747</x:v>
      </x:c>
      <x:c r="M263" s="30" t="n">
        <x:f>E263*L263</x:f>
        <x:v>1094.3611888627447</x:v>
      </x:c>
      <x:c r="N263" s="30" t="n">
        <x:f>F263*L263</x:f>
        <x:v>2202.600259738853</x:v>
      </x:c>
      <x:c r="O263" s="30" t="n">
        <x:f>G263*L263</x:f>
        <x:v>3296.9614486015976</x:v>
      </x:c>
    </x:row>
    <x:row r="264" ht="21" customHeight="1">
      <x:c r="A264" s="28" t="n">
        <x:v>258</x:v>
      </x:c>
      <x:c r="B264" s="29" t="n">
        <x:v>52649</x:v>
      </x:c>
      <x:c r="C264" s="28" t="n">
        <x:f>B264-B263</x:f>
        <x:v>31</x:v>
      </x:c>
      <x:c r="D264" s="30" t="n">
        <x:f>H263</x:f>
        <x:v>840553.93</x:v>
      </x:c>
      <x:c r="E264" s="30" t="n">
        <x:f>ROUND(D264*I264,2)</x:f>
        <x:v>5354.21</x:v>
      </x:c>
      <x:c r="F264" s="30" t="n">
        <x:f>MIN(D264,'Параметры'!$C$13)</x:f>
        <x:v>10916.28</x:v>
      </x:c>
      <x:c r="G264" s="30" t="n">
        <x:f>ROUND(E264+F264,2)</x:f>
        <x:v>16270.49</x:v>
      </x:c>
      <x:c r="H264" s="30" t="n">
        <x:f>ROUND(D264-F264,2)</x:f>
        <x:v>829637.65</x:v>
      </x:c>
      <x:c r="I264" s="33" t="n">
        <x:f>IF(AND(ISNUMBER('Параметры'!$C$7),'Параметры'!$C$7&gt;=0),'Параметры'!$C$7*C264/365,NA())</x:f>
        <x:v>0.00636986301369863</x:v>
      </x:c>
      <x:c r="J264" s="32" t="n">
        <x:f>J263/(1+I264)</x:f>
        <x:v>0.20049493078046218</x:v>
      </x:c>
      <x:c r="K264" s="33" t="n">
        <x:f>IF(AND(ISNUMBER('Параметры'!$C$8),'Параметры'!$C$8&gt;=0),'Параметры'!$C$8*C264/365,NA())</x:f>
        <x:v>0.00636986301369863</x:v>
      </x:c>
      <x:c r="L264" s="32" t="n">
        <x:f>L263/(1+K264)</x:f>
        <x:v>0.20049493078046218</x:v>
      </x:c>
      <x:c r="M264" s="30" t="n">
        <x:f>E264*L264</x:f>
        <x:v>1073.4919633340585</x:v>
      </x:c>
      <x:c r="N264" s="30" t="n">
        <x:f>F264*L264</x:f>
        <x:v>2188.6588029801437</x:v>
      </x:c>
      <x:c r="O264" s="30" t="n">
        <x:f>G264*L264</x:f>
        <x:v>3262.150766314202</x:v>
      </x:c>
    </x:row>
    <x:row r="265" ht="21" customHeight="1">
      <x:c r="A265" s="28" t="n">
        <x:v>259</x:v>
      </x:c>
      <x:c r="B265" s="29" t="n">
        <x:v>52678</x:v>
      </x:c>
      <x:c r="C265" s="28" t="n">
        <x:f>B265-B264</x:f>
        <x:v>29</x:v>
      </x:c>
      <x:c r="D265" s="30" t="n">
        <x:f>H264</x:f>
        <x:v>829637.65</x:v>
      </x:c>
      <x:c r="E265" s="30" t="n">
        <x:f>ROUND(D265*I265,2)</x:f>
        <x:v>4943.73</x:v>
      </x:c>
      <x:c r="F265" s="30" t="n">
        <x:f>MIN(D265,'Параметры'!$C$13)</x:f>
        <x:v>10916.28</x:v>
      </x:c>
      <x:c r="G265" s="30" t="n">
        <x:f>ROUND(E265+F265,2)</x:f>
        <x:v>15860.01</x:v>
      </x:c>
      <x:c r="H265" s="30" t="n">
        <x:f>ROUND(D265-F265,2)</x:f>
        <x:v>818721.37</x:v>
      </x:c>
      <x:c r="I265" s="33" t="n">
        <x:f>IF(AND(ISNUMBER('Параметры'!$C$7),'Параметры'!$C$7&gt;=0),'Параметры'!$C$7*C265/365,NA())</x:f>
        <x:v>0.00595890410958904</x:v>
      </x:c>
      <x:c r="J265" s="32" t="n">
        <x:f>J264/(1+I265)</x:f>
        <x:v>0.1993072778235683</x:v>
      </x:c>
      <x:c r="K265" s="33" t="n">
        <x:f>IF(AND(ISNUMBER('Параметры'!$C$8),'Параметры'!$C$8&gt;=0),'Параметры'!$C$8*C265/365,NA())</x:f>
        <x:v>0.00595890410958904</x:v>
      </x:c>
      <x:c r="L265" s="32" t="n">
        <x:f>L264/(1+K265)</x:f>
        <x:v>0.1993072778235683</x:v>
      </x:c>
      <x:c r="M265" s="30" t="n">
        <x:f>E265*L265</x:f>
        <x:v>985.3213685947093</x:v>
      </x:c>
      <x:c r="N265" s="30" t="n">
        <x:f>F265*L265</x:f>
        <x:v>2175.6940507598624</x:v>
      </x:c>
      <x:c r="O265" s="30" t="n">
        <x:f>G265*L265</x:f>
        <x:v>3161.0154193545713</x:v>
      </x:c>
    </x:row>
    <x:row r="266" ht="21" customHeight="1">
      <x:c r="A266" s="28" t="n">
        <x:v>260</x:v>
      </x:c>
      <x:c r="B266" s="29" t="n">
        <x:v>52709</x:v>
      </x:c>
      <x:c r="C266" s="28" t="n">
        <x:f>B266-B265</x:f>
        <x:v>31</x:v>
      </x:c>
      <x:c r="D266" s="30" t="n">
        <x:f>H265</x:f>
        <x:v>818721.37</x:v>
      </x:c>
      <x:c r="E266" s="30" t="n">
        <x:f>ROUND(D266*I266,2)</x:f>
        <x:v>5215.14</x:v>
      </x:c>
      <x:c r="F266" s="30" t="n">
        <x:f>MIN(D266,'Параметры'!$C$13)</x:f>
        <x:v>10916.28</x:v>
      </x:c>
      <x:c r="G266" s="30" t="n">
        <x:f>ROUND(E266+F266,2)</x:f>
        <x:v>16131.42</x:v>
      </x:c>
      <x:c r="H266" s="30" t="n">
        <x:f>ROUND(D266-F266,2)</x:f>
        <x:v>807805.09</x:v>
      </x:c>
      <x:c r="I266" s="33" t="n">
        <x:f>IF(AND(ISNUMBER('Параметры'!$C$7),'Параметры'!$C$7&gt;=0),'Параметры'!$C$7*C266/365,NA())</x:f>
        <x:v>0.00636986301369863</x:v>
      </x:c>
      <x:c r="J266" s="32" t="n">
        <x:f>J265/(1+I266)</x:f>
        <x:v>0.19804575350330753</x:v>
      </x:c>
      <x:c r="K266" s="33" t="n">
        <x:f>IF(AND(ISNUMBER('Параметры'!$C$8),'Параметры'!$C$8&gt;=0),'Параметры'!$C$8*C266/365,NA())</x:f>
        <x:v>0.00636986301369863</x:v>
      </x:c>
      <x:c r="L266" s="32" t="n">
        <x:f>L265/(1+K266)</x:f>
        <x:v>0.19804575350330753</x:v>
      </x:c>
      <x:c r="M266" s="30" t="n">
        <x:f>E266*L266</x:f>
        <x:v>1032.8363309252393</x:v>
      </x:c>
      <x:c r="N266" s="30" t="n">
        <x:f>F266*L266</x:f>
        <x:v>2161.922898053086</x:v>
      </x:c>
      <x:c r="O266" s="30" t="n">
        <x:f>G266*L266</x:f>
        <x:v>3194.759228978325</x:v>
      </x:c>
    </x:row>
    <x:row r="267" ht="21" customHeight="1">
      <x:c r="A267" s="28" t="n">
        <x:v>261</x:v>
      </x:c>
      <x:c r="B267" s="29" t="n">
        <x:v>52739</x:v>
      </x:c>
      <x:c r="C267" s="28" t="n">
        <x:f>B267-B266</x:f>
        <x:v>30</x:v>
      </x:c>
      <x:c r="D267" s="30" t="n">
        <x:f>H266</x:f>
        <x:v>807805.09</x:v>
      </x:c>
      <x:c r="E267" s="30" t="n">
        <x:f>ROUND(D267*I267,2)</x:f>
        <x:v>4979.62</x:v>
      </x:c>
      <x:c r="F267" s="30" t="n">
        <x:f>MIN(D267,'Параметры'!$C$13)</x:f>
        <x:v>10916.28</x:v>
      </x:c>
      <x:c r="G267" s="30" t="n">
        <x:f>ROUND(E267+F267,2)</x:f>
        <x:v>15895.9</x:v>
      </x:c>
      <x:c r="H267" s="30" t="n">
        <x:f>ROUND(D267-F267,2)</x:f>
        <x:v>796888.81</x:v>
      </x:c>
      <x:c r="I267" s="33" t="n">
        <x:f>IF(AND(ISNUMBER('Параметры'!$C$7),'Параметры'!$C$7&gt;=0),'Параметры'!$C$7*C267/365,NA())</x:f>
        <x:v>0.0061643835616438354</x:v>
      </x:c>
      <x:c r="J267" s="32" t="n">
        <x:f>J266/(1+I267)</x:f>
        <x:v>0.196832403073403</x:v>
      </x:c>
      <x:c r="K267" s="33" t="n">
        <x:f>IF(AND(ISNUMBER('Параметры'!$C$8),'Параметры'!$C$8&gt;=0),'Параметры'!$C$8*C267/365,NA())</x:f>
        <x:v>0.0061643835616438354</x:v>
      </x:c>
      <x:c r="L267" s="32" t="n">
        <x:f>L266/(1+K267)</x:f>
        <x:v>0.196832403073403</x:v>
      </x:c>
      <x:c r="M267" s="30" t="n">
        <x:f>E267*L267</x:f>
        <x:v>980.150570992379</x:v>
      </x:c>
      <x:c r="N267" s="30" t="n">
        <x:f>F267*L267</x:f>
        <x:v>2148.677625022128</x:v>
      </x:c>
      <x:c r="O267" s="30" t="n">
        <x:f>G267*L267</x:f>
        <x:v>3128.8281960145064</x:v>
      </x:c>
    </x:row>
    <x:row r="268" ht="21" customHeight="1">
      <x:c r="A268" s="28" t="n">
        <x:v>262</x:v>
      </x:c>
      <x:c r="B268" s="29" t="n">
        <x:v>52770</x:v>
      </x:c>
      <x:c r="C268" s="28" t="n">
        <x:f>B268-B267</x:f>
        <x:v>31</x:v>
      </x:c>
      <x:c r="D268" s="30" t="n">
        <x:f>H267</x:f>
        <x:v>796888.81</x:v>
      </x:c>
      <x:c r="E268" s="30" t="n">
        <x:f>ROUND(D268*I268,2)</x:f>
        <x:v>5076.07</x:v>
      </x:c>
      <x:c r="F268" s="30" t="n">
        <x:f>MIN(D268,'Параметры'!$C$13)</x:f>
        <x:v>10916.28</x:v>
      </x:c>
      <x:c r="G268" s="30" t="n">
        <x:f>ROUND(E268+F268,2)</x:f>
        <x:v>15992.35</x:v>
      </x:c>
      <x:c r="H268" s="30" t="n">
        <x:f>ROUND(D268-F268,2)</x:f>
        <x:v>785972.53</x:v>
      </x:c>
      <x:c r="I268" s="33" t="n">
        <x:f>IF(AND(ISNUMBER('Параметры'!$C$7),'Параметры'!$C$7&gt;=0),'Параметры'!$C$7*C268/365,NA())</x:f>
        <x:v>0.00636986301369863</x:v>
      </x:c>
      <x:c r="J268" s="32" t="n">
        <x:f>J267/(1+I268)</x:f>
        <x:v>0.19558654358345362</x:v>
      </x:c>
      <x:c r="K268" s="33" t="n">
        <x:f>IF(AND(ISNUMBER('Параметры'!$C$8),'Параметры'!$C$8&gt;=0),'Параметры'!$C$8*C268/365,NA())</x:f>
        <x:v>0.00636986301369863</x:v>
      </x:c>
      <x:c r="L268" s="32" t="n">
        <x:f>L267/(1+K268)</x:f>
        <x:v>0.19558654358345362</x:v>
      </x:c>
      <x:c r="M268" s="30" t="n">
        <x:f>E268*L268</x:f>
        <x:v>992.8109862876613</x:v>
      </x:c>
      <x:c r="N268" s="30" t="n">
        <x:f>F268*L268</x:f>
        <x:v>2135.077473989183</x:v>
      </x:c>
      <x:c r="O268" s="30" t="n">
        <x:f>G268*L268</x:f>
        <x:v>3127.8884602768444</x:v>
      </x:c>
    </x:row>
    <x:row r="269" ht="21" customHeight="1">
      <x:c r="A269" s="28" t="n">
        <x:v>263</x:v>
      </x:c>
      <x:c r="B269" s="29" t="n">
        <x:v>52800</x:v>
      </x:c>
      <x:c r="C269" s="28" t="n">
        <x:f>B269-B268</x:f>
        <x:v>30</x:v>
      </x:c>
      <x:c r="D269" s="30" t="n">
        <x:f>H268</x:f>
        <x:v>785972.53</x:v>
      </x:c>
      <x:c r="E269" s="30" t="n">
        <x:f>ROUND(D269*I269,2)</x:f>
        <x:v>4845.04</x:v>
      </x:c>
      <x:c r="F269" s="30" t="n">
        <x:f>MIN(D269,'Параметры'!$C$13)</x:f>
        <x:v>10916.28</x:v>
      </x:c>
      <x:c r="G269" s="30" t="n">
        <x:f>ROUND(E269+F269,2)</x:f>
        <x:v>15761.32</x:v>
      </x:c>
      <x:c r="H269" s="30" t="n">
        <x:f>ROUND(D269-F269,2)</x:f>
        <x:v>775056.25</x:v>
      </x:c>
      <x:c r="I269" s="33" t="n">
        <x:f>IF(AND(ISNUMBER('Параметры'!$C$7),'Параметры'!$C$7&gt;=0),'Параметры'!$C$7*C269/365,NA())</x:f>
        <x:v>0.0061643835616438354</x:v>
      </x:c>
      <x:c r="J269" s="32" t="n">
        <x:f>J268/(1+I269)</x:f>
        <x:v>0.1943882597902262</x:v>
      </x:c>
      <x:c r="K269" s="33" t="n">
        <x:f>IF(AND(ISNUMBER('Параметры'!$C$8),'Параметры'!$C$8&gt;=0),'Параметры'!$C$8*C269/365,NA())</x:f>
        <x:v>0.0061643835616438354</x:v>
      </x:c>
      <x:c r="L269" s="32" t="n">
        <x:f>L268/(1+K269)</x:f>
        <x:v>0.1943882597902262</x:v>
      </x:c>
      <x:c r="M269" s="30" t="n">
        <x:f>E269*L269</x:f>
        <x:v>941.8188942140375</x:v>
      </x:c>
      <x:c r="N269" s="30" t="n">
        <x:f>F269*L269</x:f>
        <x:v>2121.9966725828504</x:v>
      </x:c>
      <x:c r="O269" s="30" t="n">
        <x:f>G269*L269</x:f>
        <x:v>3063.815566796888</x:v>
      </x:c>
    </x:row>
    <x:row r="270" ht="21" customHeight="1">
      <x:c r="A270" s="28" t="n">
        <x:v>264</x:v>
      </x:c>
      <x:c r="B270" s="29" t="n">
        <x:v>52831</x:v>
      </x:c>
      <x:c r="C270" s="28" t="n">
        <x:f>B270-B269</x:f>
        <x:v>31</x:v>
      </x:c>
      <x:c r="D270" s="30" t="n">
        <x:f>H269</x:f>
        <x:v>775056.25</x:v>
      </x:c>
      <x:c r="E270" s="30" t="n">
        <x:f>ROUND(D270*I270,2)</x:f>
        <x:v>4937</x:v>
      </x:c>
      <x:c r="F270" s="30" t="n">
        <x:f>MIN(D270,'Параметры'!$C$13)</x:f>
        <x:v>10916.28</x:v>
      </x:c>
      <x:c r="G270" s="30" t="n">
        <x:f>ROUND(E270+F270,2)</x:f>
        <x:v>15853.28</x:v>
      </x:c>
      <x:c r="H270" s="30" t="n">
        <x:f>ROUND(D270-F270,2)</x:f>
        <x:v>764139.97</x:v>
      </x:c>
      <x:c r="I270" s="33" t="n">
        <x:f>IF(AND(ISNUMBER('Параметры'!$C$7),'Параметры'!$C$7&gt;=0),'Параметры'!$C$7*C270/365,NA())</x:f>
        <x:v>0.00636986301369863</x:v>
      </x:c>
      <x:c r="J270" s="32" t="n">
        <x:f>J269/(1+I270)</x:f>
        <x:v>0.1931578706143948</x:v>
      </x:c>
      <x:c r="K270" s="33" t="n">
        <x:f>IF(AND(ISNUMBER('Параметры'!$C$8),'Параметры'!$C$8&gt;=0),'Параметры'!$C$8*C270/365,NA())</x:f>
        <x:v>0.00636986301369863</x:v>
      </x:c>
      <x:c r="L270" s="32" t="n">
        <x:f>L269/(1+K270)</x:f>
        <x:v>0.1931578706143948</x:v>
      </x:c>
      <x:c r="M270" s="30" t="n">
        <x:f>E270*L270</x:f>
        <x:v>953.6204072232671</x:v>
      </x:c>
      <x:c r="N270" s="30" t="n">
        <x:f>F270*L270</x:f>
        <x:v>2108.5653998305056</x:v>
      </x:c>
      <x:c r="O270" s="30" t="n">
        <x:f>G270*L270</x:f>
        <x:v>3062.185807053773</x:v>
      </x:c>
    </x:row>
    <x:row r="271" ht="21" customHeight="1">
      <x:c r="A271" s="28" t="n">
        <x:v>265</x:v>
      </x:c>
      <x:c r="B271" s="29" t="n">
        <x:v>52862</x:v>
      </x:c>
      <x:c r="C271" s="28" t="n">
        <x:f>B271-B270</x:f>
        <x:v>31</x:v>
      </x:c>
      <x:c r="D271" s="30" t="n">
        <x:f>H270</x:f>
        <x:v>764139.97</x:v>
      </x:c>
      <x:c r="E271" s="30" t="n">
        <x:f>ROUND(D271*I271,2)</x:f>
        <x:v>4867.47</x:v>
      </x:c>
      <x:c r="F271" s="30" t="n">
        <x:f>MIN(D271,'Параметры'!$C$13)</x:f>
        <x:v>10916.28</x:v>
      </x:c>
      <x:c r="G271" s="30" t="n">
        <x:f>ROUND(E271+F271,2)</x:f>
        <x:v>15783.75</x:v>
      </x:c>
      <x:c r="H271" s="30" t="n">
        <x:f>ROUND(D271-F271,2)</x:f>
        <x:v>753223.69</x:v>
      </x:c>
      <x:c r="I271" s="33" t="n">
        <x:f>IF(AND(ISNUMBER('Параметры'!$C$7),'Параметры'!$C$7&gt;=0),'Параметры'!$C$7*C271/365,NA())</x:f>
        <x:v>0.00636986301369863</x:v>
      </x:c>
      <x:c r="J271" s="32" t="n">
        <x:f>J270/(1+I271)</x:f>
        <x:v>0.191935269241827</x:v>
      </x:c>
      <x:c r="K271" s="33" t="n">
        <x:f>IF(AND(ISNUMBER('Параметры'!$C$8),'Параметры'!$C$8&gt;=0),'Параметры'!$C$8*C271/365,NA())</x:f>
        <x:v>0.00636986301369863</x:v>
      </x:c>
      <x:c r="L271" s="32" t="n">
        <x:f>L270/(1+K271)</x:f>
        <x:v>0.191935269241827</x:v>
      </x:c>
      <x:c r="M271" s="30" t="n">
        <x:f>E271*L271</x:f>
        <x:v>934.2391649765157</x:v>
      </x:c>
      <x:c r="N271" s="30" t="n">
        <x:f>F271*L271</x:f>
        <x:v>2095.2191409191714</x:v>
      </x:c>
      <x:c r="O271" s="30" t="n">
        <x:f>G271*L271</x:f>
        <x:v>3029.458305895687</x:v>
      </x:c>
    </x:row>
    <x:row r="272" ht="21" customHeight="1">
      <x:c r="A272" s="28" t="n">
        <x:v>266</x:v>
      </x:c>
      <x:c r="B272" s="29" t="n">
        <x:v>52892</x:v>
      </x:c>
      <x:c r="C272" s="28" t="n">
        <x:f>B272-B271</x:f>
        <x:v>30</x:v>
      </x:c>
      <x:c r="D272" s="30" t="n">
        <x:f>H271</x:f>
        <x:v>753223.69</x:v>
      </x:c>
      <x:c r="E272" s="30" t="n">
        <x:f>ROUND(D272*I272,2)</x:f>
        <x:v>4643.16</x:v>
      </x:c>
      <x:c r="F272" s="30" t="n">
        <x:f>MIN(D272,'Параметры'!$C$13)</x:f>
        <x:v>10916.28</x:v>
      </x:c>
      <x:c r="G272" s="30" t="n">
        <x:f>ROUND(E272+F272,2)</x:f>
        <x:v>15559.44</x:v>
      </x:c>
      <x:c r="H272" s="30" t="n">
        <x:f>ROUND(D272-F272,2)</x:f>
        <x:v>742307.41</x:v>
      </x:c>
      <x:c r="I272" s="33" t="n">
        <x:f>IF(AND(ISNUMBER('Параметры'!$C$7),'Параметры'!$C$7&gt;=0),'Параметры'!$C$7*C272/365,NA())</x:f>
        <x:v>0.0061643835616438354</x:v>
      </x:c>
      <x:c r="J272" s="32" t="n">
        <x:f>J271/(1+I272)</x:f>
        <x:v>0.19075935540712555</x:v>
      </x:c>
      <x:c r="K272" s="33" t="n">
        <x:f>IF(AND(ISNUMBER('Параметры'!$C$8),'Параметры'!$C$8&gt;=0),'Параметры'!$C$8*C272/365,NA())</x:f>
        <x:v>0.0061643835616438354</x:v>
      </x:c>
      <x:c r="L272" s="32" t="n">
        <x:f>L271/(1+K272)</x:f>
        <x:v>0.19075935540712555</x:v>
      </x:c>
      <x:c r="M272" s="30" t="n">
        <x:f>E272*L272</x:f>
        <x:v>885.726208652149</x:v>
      </x:c>
      <x:c r="N272" s="30" t="n">
        <x:f>F272*L272</x:f>
        <x:v>2082.3825362436964</x:v>
      </x:c>
      <x:c r="O272" s="30" t="n">
        <x:f>G272*L272</x:f>
        <x:v>2968.1087448958456</x:v>
      </x:c>
    </x:row>
    <x:row r="273" ht="21" customHeight="1">
      <x:c r="A273" s="28" t="n">
        <x:v>267</x:v>
      </x:c>
      <x:c r="B273" s="29" t="n">
        <x:v>52923</x:v>
      </x:c>
      <x:c r="C273" s="28" t="n">
        <x:f>B273-B272</x:f>
        <x:v>31</x:v>
      </x:c>
      <x:c r="D273" s="30" t="n">
        <x:f>H272</x:f>
        <x:v>742307.41</x:v>
      </x:c>
      <x:c r="E273" s="30" t="n">
        <x:f>ROUND(D273*I273,2)</x:f>
        <x:v>4728.4</x:v>
      </x:c>
      <x:c r="F273" s="30" t="n">
        <x:f>MIN(D273,'Параметры'!$C$13)</x:f>
        <x:v>10916.28</x:v>
      </x:c>
      <x:c r="G273" s="30" t="n">
        <x:f>ROUND(E273+F273,2)</x:f>
        <x:v>15644.68</x:v>
      </x:c>
      <x:c r="H273" s="30" t="n">
        <x:f>ROUND(D273-F273,2)</x:f>
        <x:v>731391.13</x:v>
      </x:c>
      <x:c r="I273" s="33" t="n">
        <x:f>IF(AND(ISNUMBER('Параметры'!$C$7),'Параметры'!$C$7&gt;=0),'Параметры'!$C$7*C273/365,NA())</x:f>
        <x:v>0.00636986301369863</x:v>
      </x:c>
      <x:c r="J273" s="32" t="n">
        <x:f>J272/(1+I273)</x:f>
        <x:v>0.18955193554373057</x:v>
      </x:c>
      <x:c r="K273" s="33" t="n">
        <x:f>IF(AND(ISNUMBER('Параметры'!$C$8),'Параметры'!$C$8&gt;=0),'Параметры'!$C$8*C273/365,NA())</x:f>
        <x:v>0.00636986301369863</x:v>
      </x:c>
      <x:c r="L273" s="32" t="n">
        <x:f>L272/(1+K273)</x:f>
        <x:v>0.18955193554373057</x:v>
      </x:c>
      <x:c r="M273" s="30" t="n">
        <x:f>E273*L273</x:f>
        <x:v>896.2773720249755</x:v>
      </x:c>
      <x:c r="N273" s="30" t="n">
        <x:f>F273*L273</x:f>
        <x:v>2069.2020029373152</x:v>
      </x:c>
      <x:c r="O273" s="30" t="n">
        <x:f>G273*L273</x:f>
        <x:v>2965.479374962291</x:v>
      </x:c>
    </x:row>
    <x:row r="274" ht="21" customHeight="1">
      <x:c r="A274" s="28" t="n">
        <x:v>268</x:v>
      </x:c>
      <x:c r="B274" s="29" t="n">
        <x:v>52953</x:v>
      </x:c>
      <x:c r="C274" s="28" t="n">
        <x:f>B274-B273</x:f>
        <x:v>30</x:v>
      </x:c>
      <x:c r="D274" s="30" t="n">
        <x:f>H273</x:f>
        <x:v>731391.13</x:v>
      </x:c>
      <x:c r="E274" s="30" t="n">
        <x:f>ROUND(D274*I274,2)</x:f>
        <x:v>4508.58</x:v>
      </x:c>
      <x:c r="F274" s="30" t="n">
        <x:f>MIN(D274,'Параметры'!$C$13)</x:f>
        <x:v>10916.28</x:v>
      </x:c>
      <x:c r="G274" s="30" t="n">
        <x:f>ROUND(E274+F274,2)</x:f>
        <x:v>15424.86</x:v>
      </x:c>
      <x:c r="H274" s="30" t="n">
        <x:f>ROUND(D274-F274,2)</x:f>
        <x:v>720474.85</x:v>
      </x:c>
      <x:c r="I274" s="33" t="n">
        <x:f>IF(AND(ISNUMBER('Параметры'!$C$7),'Параметры'!$C$7&gt;=0),'Параметры'!$C$7*C274/365,NA())</x:f>
        <x:v>0.0061643835616438354</x:v>
      </x:c>
      <x:c r="J274" s="32" t="n">
        <x:f>J273/(1+I274)</x:f>
        <x:v>0.18839062348117538</x:v>
      </x:c>
      <x:c r="K274" s="33" t="n">
        <x:f>IF(AND(ISNUMBER('Параметры'!$C$8),'Параметры'!$C$8&gt;=0),'Параметры'!$C$8*C274/365,NA())</x:f>
        <x:v>0.0061643835616438354</x:v>
      </x:c>
      <x:c r="L274" s="32" t="n">
        <x:f>L273/(1+K274)</x:f>
        <x:v>0.18839062348117538</x:v>
      </x:c>
      <x:c r="M274" s="30" t="n">
        <x:f>E274*L274</x:f>
        <x:v>849.3741972147577</x:v>
      </x:c>
      <x:c r="N274" s="30" t="n">
        <x:f>F274*L274</x:f>
        <x:v>2056.5247952950854</x:v>
      </x:c>
      <x:c r="O274" s="30" t="n">
        <x:f>G274*L274</x:f>
        <x:v>2905.898992509843</x:v>
      </x:c>
    </x:row>
    <x:row r="275" ht="21" customHeight="1">
      <x:c r="A275" s="28" t="n">
        <x:v>269</x:v>
      </x:c>
      <x:c r="B275" s="29" t="n">
        <x:v>52984</x:v>
      </x:c>
      <x:c r="C275" s="28" t="n">
        <x:f>B275-B274</x:f>
        <x:v>31</x:v>
      </x:c>
      <x:c r="D275" s="30" t="n">
        <x:f>H274</x:f>
        <x:v>720474.85</x:v>
      </x:c>
      <x:c r="E275" s="30" t="n">
        <x:f>ROUND(D275*I275,2)</x:f>
        <x:v>4589.33</x:v>
      </x:c>
      <x:c r="F275" s="30" t="n">
        <x:f>MIN(D275,'Параметры'!$C$13)</x:f>
        <x:v>10916.28</x:v>
      </x:c>
      <x:c r="G275" s="30" t="n">
        <x:f>ROUND(E275+F275,2)</x:f>
        <x:v>15505.61</x:v>
      </x:c>
      <x:c r="H275" s="30" t="n">
        <x:f>ROUND(D275-F275,2)</x:f>
        <x:v>709558.57</x:v>
      </x:c>
      <x:c r="I275" s="33" t="n">
        <x:f>IF(AND(ISNUMBER('Параметры'!$C$7),'Параметры'!$C$7&gt;=0),'Параметры'!$C$7*C275/365,NA())</x:f>
        <x:v>0.00636986301369863</x:v>
      </x:c>
      <x:c r="J275" s="32" t="n">
        <x:f>J274/(1+I275)</x:f>
        <x:v>0.18719819661234335</x:v>
      </x:c>
      <x:c r="K275" s="33" t="n">
        <x:f>IF(AND(ISNUMBER('Параметры'!$C$8),'Параметры'!$C$8&gt;=0),'Параметры'!$C$8*C275/365,NA())</x:f>
        <x:v>0.00636986301369863</x:v>
      </x:c>
      <x:c r="L275" s="32" t="n">
        <x:f>L274/(1+K275)</x:f>
        <x:v>0.18719819661234335</x:v>
      </x:c>
      <x:c r="M275" s="30" t="n">
        <x:f>E275*L275</x:f>
        <x:v>859.1142996589257</x:v>
      </x:c>
      <x:c r="N275" s="30" t="n">
        <x:f>F275*L275</x:f>
        <x:v>2043.5079297153916</x:v>
      </x:c>
      <x:c r="O275" s="30" t="n">
        <x:f>G275*L275</x:f>
        <x:v>2902.622229374317</x:v>
      </x:c>
    </x:row>
    <x:row r="276" ht="21" customHeight="1">
      <x:c r="A276" s="28" t="n">
        <x:v>270</x:v>
      </x:c>
      <x:c r="B276" s="29" t="n">
        <x:v>53015</x:v>
      </x:c>
      <x:c r="C276" s="28" t="n">
        <x:f>B276-B275</x:f>
        <x:v>31</x:v>
      </x:c>
      <x:c r="D276" s="30" t="n">
        <x:f>H275</x:f>
        <x:v>709558.57</x:v>
      </x:c>
      <x:c r="E276" s="30" t="n">
        <x:f>ROUND(D276*I276,2)</x:f>
        <x:v>4519.79</x:v>
      </x:c>
      <x:c r="F276" s="30" t="n">
        <x:f>MIN(D276,'Параметры'!$C$13)</x:f>
        <x:v>10916.28</x:v>
      </x:c>
      <x:c r="G276" s="30" t="n">
        <x:f>ROUND(E276+F276,2)</x:f>
        <x:v>15436.07</x:v>
      </x:c>
      <x:c r="H276" s="30" t="n">
        <x:f>ROUND(D276-F276,2)</x:f>
        <x:v>698642.29</x:v>
      </x:c>
      <x:c r="I276" s="33" t="n">
        <x:f>IF(AND(ISNUMBER('Параметры'!$C$7),'Параметры'!$C$7&gt;=0),'Параметры'!$C$7*C276/365,NA())</x:f>
        <x:v>0.00636986301369863</x:v>
      </x:c>
      <x:c r="J276" s="32" t="n">
        <x:f>J275/(1+I276)</x:f>
        <x:v>0.18601331726265657</x:v>
      </x:c>
      <x:c r="K276" s="33" t="n">
        <x:f>IF(AND(ISNUMBER('Параметры'!$C$8),'Параметры'!$C$8&gt;=0),'Параметры'!$C$8*C276/365,NA())</x:f>
        <x:v>0.00636986301369863</x:v>
      </x:c>
      <x:c r="L276" s="32" t="n">
        <x:f>L275/(1+K276)</x:f>
        <x:v>0.18601331726265657</x:v>
      </x:c>
      <x:c r="M276" s="30" t="n">
        <x:f>E276*L276</x:f>
        <x:v>840.7411312305826</x:v>
      </x:c>
      <x:c r="N276" s="30" t="n">
        <x:f>F276*L276</x:f>
        <x:v>2030.5734549679928</x:v>
      </x:c>
      <x:c r="O276" s="30" t="n">
        <x:f>G276*L276</x:f>
        <x:v>2871.3145861985754</x:v>
      </x:c>
    </x:row>
    <x:row r="277" ht="21" customHeight="1">
      <x:c r="A277" s="28" t="n">
        <x:v>271</x:v>
      </x:c>
      <x:c r="B277" s="29" t="n">
        <x:v>53043</x:v>
      </x:c>
      <x:c r="C277" s="28" t="n">
        <x:f>B277-B276</x:f>
        <x:v>28</x:v>
      </x:c>
      <x:c r="D277" s="30" t="n">
        <x:f>H276</x:f>
        <x:v>698642.29</x:v>
      </x:c>
      <x:c r="E277" s="30" t="n">
        <x:f>ROUND(D277*I277,2)</x:f>
        <x:v>4019.59</x:v>
      </x:c>
      <x:c r="F277" s="30" t="n">
        <x:f>MIN(D277,'Параметры'!$C$13)</x:f>
        <x:v>10916.28</x:v>
      </x:c>
      <x:c r="G277" s="30" t="n">
        <x:f>ROUND(E277+F277,2)</x:f>
        <x:v>14935.87</x:v>
      </x:c>
      <x:c r="H277" s="30" t="n">
        <x:f>ROUND(D277-F277,2)</x:f>
        <x:v>687726.01</x:v>
      </x:c>
      <x:c r="I277" s="33" t="n">
        <x:f>IF(AND(ISNUMBER('Параметры'!$C$7),'Параметры'!$C$7&gt;=0),'Параметры'!$C$7*C277/365,NA())</x:f>
        <x:v>0.005753424657534247</x:v>
      </x:c>
      <x:c r="J277" s="32" t="n">
        <x:f>J276/(1+I277)</x:f>
        <x:v>0.18494922582639514</x:v>
      </x:c>
      <x:c r="K277" s="33" t="n">
        <x:f>IF(AND(ISNUMBER('Параметры'!$C$8),'Параметры'!$C$8&gt;=0),'Параметры'!$C$8*C277/365,NA())</x:f>
        <x:v>0.005753424657534247</x:v>
      </x:c>
      <x:c r="L277" s="32" t="n">
        <x:f>L276/(1+K277)</x:f>
        <x:v>0.18494922582639514</x:v>
      </x:c>
      <x:c r="M277" s="30" t="n">
        <x:f>E277*L277</x:f>
        <x:v>743.4200586395197</x:v>
      </x:c>
      <x:c r="N277" s="30" t="n">
        <x:f>F277*L277</x:f>
        <x:v>2018.9575349041609</x:v>
      </x:c>
      <x:c r="O277" s="30" t="n">
        <x:f>G277*L277</x:f>
        <x:v>2762.3775935436806</x:v>
      </x:c>
    </x:row>
    <x:row r="278" ht="21" customHeight="1">
      <x:c r="A278" s="28" t="n">
        <x:v>272</x:v>
      </x:c>
      <x:c r="B278" s="29" t="n">
        <x:v>53074</x:v>
      </x:c>
      <x:c r="C278" s="28" t="n">
        <x:f>B278-B277</x:f>
        <x:v>31</x:v>
      </x:c>
      <x:c r="D278" s="30" t="n">
        <x:f>H277</x:f>
        <x:v>687726.01</x:v>
      </x:c>
      <x:c r="E278" s="30" t="n">
        <x:f>ROUND(D278*I278,2)</x:f>
        <x:v>4380.72</x:v>
      </x:c>
      <x:c r="F278" s="30" t="n">
        <x:f>MIN(D278,'Параметры'!$C$13)</x:f>
        <x:v>10916.28</x:v>
      </x:c>
      <x:c r="G278" s="30" t="n">
        <x:f>ROUND(E278+F278,2)</x:f>
        <x:v>15297</x:v>
      </x:c>
      <x:c r="H278" s="30" t="n">
        <x:f>ROUND(D278-F278,2)</x:f>
        <x:v>676809.73</x:v>
      </x:c>
      <x:c r="I278" s="33" t="n">
        <x:f>IF(AND(ISNUMBER('Параметры'!$C$7),'Параметры'!$C$7&gt;=0),'Параметры'!$C$7*C278/365,NA())</x:f>
        <x:v>0.00636986301369863</x:v>
      </x:c>
      <x:c r="J278" s="32" t="n">
        <x:f>J277/(1+I278)</x:f>
        <x:v>0.1837785814377846</x:v>
      </x:c>
      <x:c r="K278" s="33" t="n">
        <x:f>IF(AND(ISNUMBER('Параметры'!$C$8),'Параметры'!$C$8&gt;=0),'Параметры'!$C$8*C278/365,NA())</x:f>
        <x:v>0.00636986301369863</x:v>
      </x:c>
      <x:c r="L278" s="32" t="n">
        <x:f>L277/(1+K278)</x:f>
        <x:v>0.1837785814377846</x:v>
      </x:c>
      <x:c r="M278" s="30" t="n">
        <x:f>E278*L278</x:f>
        <x:v>805.0825072761319</x:v>
      </x:c>
      <x:c r="N278" s="30" t="n">
        <x:f>F278*L278</x:f>
        <x:v>2006.1784529776596</x:v>
      </x:c>
      <x:c r="O278" s="30" t="n">
        <x:f>G278*L278</x:f>
        <x:v>2811.2609602537914</x:v>
      </x:c>
    </x:row>
    <x:row r="279" ht="21" customHeight="1">
      <x:c r="A279" s="28" t="n">
        <x:v>273</x:v>
      </x:c>
      <x:c r="B279" s="29" t="n">
        <x:v>53104</x:v>
      </x:c>
      <x:c r="C279" s="28" t="n">
        <x:f>B279-B278</x:f>
        <x:v>30</x:v>
      </x:c>
      <x:c r="D279" s="30" t="n">
        <x:f>H278</x:f>
        <x:v>676809.73</x:v>
      </x:c>
      <x:c r="E279" s="30" t="n">
        <x:f>ROUND(D279*I279,2)</x:f>
        <x:v>4172.11</x:v>
      </x:c>
      <x:c r="F279" s="30" t="n">
        <x:f>MIN(D279,'Параметры'!$C$13)</x:f>
        <x:v>10916.28</x:v>
      </x:c>
      <x:c r="G279" s="30" t="n">
        <x:f>ROUND(E279+F279,2)</x:f>
        <x:v>15088.39</x:v>
      </x:c>
      <x:c r="H279" s="30" t="n">
        <x:f>ROUND(D279-F279,2)</x:f>
        <x:v>665893.45</x:v>
      </x:c>
      <x:c r="I279" s="33" t="n">
        <x:f>IF(AND(ISNUMBER('Параметры'!$C$7),'Параметры'!$C$7&gt;=0),'Параметры'!$C$7*C279/365,NA())</x:f>
        <x:v>0.0061643835616438354</x:v>
      </x:c>
      <x:c r="J279" s="32" t="n">
        <x:f>J278/(1+I279)</x:f>
        <x:v>0.18265264050317598</x:v>
      </x:c>
      <x:c r="K279" s="33" t="n">
        <x:f>IF(AND(ISNUMBER('Параметры'!$C$8),'Параметры'!$C$8&gt;=0),'Параметры'!$C$8*C279/365,NA())</x:f>
        <x:v>0.0061643835616438354</x:v>
      </x:c>
      <x:c r="L279" s="32" t="n">
        <x:f>L278/(1+K279)</x:f>
        <x:v>0.18265264050317598</x:v>
      </x:c>
      <x:c r="M279" s="30" t="n">
        <x:f>E279*L279</x:f>
        <x:v>762.0469079697054</x:v>
      </x:c>
      <x:c r="N279" s="30" t="n">
        <x:f>F279*L279</x:f>
        <x:v>1993.88736647201</x:v>
      </x:c>
      <x:c r="O279" s="30" t="n">
        <x:f>G279*L279</x:f>
        <x:v>2755.9342744417154</x:v>
      </x:c>
    </x:row>
    <x:row r="280" ht="21" customHeight="1">
      <x:c r="A280" s="28" t="n">
        <x:v>274</x:v>
      </x:c>
      <x:c r="B280" s="29" t="n">
        <x:v>53135</x:v>
      </x:c>
      <x:c r="C280" s="28" t="n">
        <x:f>B280-B279</x:f>
        <x:v>31</x:v>
      </x:c>
      <x:c r="D280" s="30" t="n">
        <x:f>H279</x:f>
        <x:v>665893.45</x:v>
      </x:c>
      <x:c r="E280" s="30" t="n">
        <x:f>ROUND(D280*I280,2)</x:f>
        <x:v>4241.65</x:v>
      </x:c>
      <x:c r="F280" s="30" t="n">
        <x:f>MIN(D280,'Параметры'!$C$13)</x:f>
        <x:v>10916.28</x:v>
      </x:c>
      <x:c r="G280" s="30" t="n">
        <x:f>ROUND(E280+F280,2)</x:f>
        <x:v>15157.93</x:v>
      </x:c>
      <x:c r="H280" s="30" t="n">
        <x:f>ROUND(D280-F280,2)</x:f>
        <x:v>654977.17</x:v>
      </x:c>
      <x:c r="I280" s="33" t="n">
        <x:f>IF(AND(ISNUMBER('Параметры'!$C$7),'Параметры'!$C$7&gt;=0),'Параметры'!$C$7*C280/365,NA())</x:f>
        <x:v>0.00636986301369863</x:v>
      </x:c>
      <x:c r="J280" s="32" t="n">
        <x:f>J279/(1+I280)</x:f>
        <x:v>0.1814965324539828</x:v>
      </x:c>
      <x:c r="K280" s="33" t="n">
        <x:f>IF(AND(ISNUMBER('Параметры'!$C$8),'Параметры'!$C$8&gt;=0),'Параметры'!$C$8*C280/365,NA())</x:f>
        <x:v>0.00636986301369863</x:v>
      </x:c>
      <x:c r="L280" s="32" t="n">
        <x:f>L279/(1+K280)</x:f>
        <x:v>0.1814965324539828</x:v>
      </x:c>
      <x:c r="M280" s="30" t="n">
        <x:f>E280*L280</x:f>
        <x:v>769.8447668834361</x:v>
      </x:c>
      <x:c r="N280" s="30" t="n">
        <x:f>F280*L280</x:f>
        <x:v>1981.2669672967636</x:v>
      </x:c>
      <x:c r="O280" s="30" t="n">
        <x:f>G280*L280</x:f>
        <x:v>2751.1117341801996</x:v>
      </x:c>
    </x:row>
    <x:row r="281" ht="21" customHeight="1">
      <x:c r="A281" s="28" t="n">
        <x:v>275</x:v>
      </x:c>
      <x:c r="B281" s="29" t="n">
        <x:v>53165</x:v>
      </x:c>
      <x:c r="C281" s="28" t="n">
        <x:f>B281-B280</x:f>
        <x:v>30</x:v>
      </x:c>
      <x:c r="D281" s="30" t="n">
        <x:f>H280</x:f>
        <x:v>654977.17</x:v>
      </x:c>
      <x:c r="E281" s="30" t="n">
        <x:f>ROUND(D281*I281,2)</x:f>
        <x:v>4037.53</x:v>
      </x:c>
      <x:c r="F281" s="30" t="n">
        <x:f>MIN(D281,'Параметры'!$C$13)</x:f>
        <x:v>10916.28</x:v>
      </x:c>
      <x:c r="G281" s="30" t="n">
        <x:f>ROUND(E281+F281,2)</x:f>
        <x:v>14953.81</x:v>
      </x:c>
      <x:c r="H281" s="30" t="n">
        <x:f>ROUND(D281-F281,2)</x:f>
        <x:v>644060.89</x:v>
      </x:c>
      <x:c r="I281" s="33" t="n">
        <x:f>IF(AND(ISNUMBER('Параметры'!$C$7),'Параметры'!$C$7&gt;=0),'Параметры'!$C$7*C281/365,NA())</x:f>
        <x:v>0.0061643835616438354</x:v>
      </x:c>
      <x:c r="J281" s="32" t="n">
        <x:f>J280/(1+I281)</x:f>
        <x:v>0.18038457275889375</x:v>
      </x:c>
      <x:c r="K281" s="33" t="n">
        <x:f>IF(AND(ISNUMBER('Параметры'!$C$8),'Параметры'!$C$8&gt;=0),'Параметры'!$C$8*C281/365,NA())</x:f>
        <x:v>0.0061643835616438354</x:v>
      </x:c>
      <x:c r="L281" s="32" t="n">
        <x:f>L280/(1+K281)</x:f>
        <x:v>0.18038457275889375</x:v>
      </x:c>
      <x:c r="M281" s="30" t="n">
        <x:f>E281*L281</x:f>
        <x:v>728.3081240512163</x:v>
      </x:c>
      <x:c r="N281" s="30" t="n">
        <x:f>F281*L281</x:f>
        <x:v>1969.1285039164568</x:v>
      </x:c>
      <x:c r="O281" s="30" t="n">
        <x:f>G281*L281</x:f>
        <x:v>2697.436627967673</x:v>
      </x:c>
    </x:row>
    <x:row r="282" ht="21" customHeight="1">
      <x:c r="A282" s="28" t="n">
        <x:v>276</x:v>
      </x:c>
      <x:c r="B282" s="29" t="n">
        <x:v>53196</x:v>
      </x:c>
      <x:c r="C282" s="28" t="n">
        <x:f>B282-B281</x:f>
        <x:v>31</x:v>
      </x:c>
      <x:c r="D282" s="30" t="n">
        <x:f>H281</x:f>
        <x:v>644060.89</x:v>
      </x:c>
      <x:c r="E282" s="30" t="n">
        <x:f>ROUND(D282*I282,2)</x:f>
        <x:v>4102.58</x:v>
      </x:c>
      <x:c r="F282" s="30" t="n">
        <x:f>MIN(D282,'Параметры'!$C$13)</x:f>
        <x:v>10916.28</x:v>
      </x:c>
      <x:c r="G282" s="30" t="n">
        <x:f>ROUND(E282+F282,2)</x:f>
        <x:v>15018.86</x:v>
      </x:c>
      <x:c r="H282" s="30" t="n">
        <x:f>ROUND(D282-F282,2)</x:f>
        <x:v>633144.61</x:v>
      </x:c>
      <x:c r="I282" s="33" t="n">
        <x:f>IF(AND(ISNUMBER('Параметры'!$C$7),'Параметры'!$C$7&gt;=0),'Параметры'!$C$7*C282/365,NA())</x:f>
        <x:v>0.00636986301369863</x:v>
      </x:c>
      <x:c r="J282" s="32" t="n">
        <x:f>J281/(1+I282)</x:f>
        <x:v>0.17924282054582788</x:v>
      </x:c>
      <x:c r="K282" s="33" t="n">
        <x:f>IF(AND(ISNUMBER('Параметры'!$C$8),'Параметры'!$C$8&gt;=0),'Параметры'!$C$8*C282/365,NA())</x:f>
        <x:v>0.00636986301369863</x:v>
      </x:c>
      <x:c r="L282" s="32" t="n">
        <x:f>L281/(1+K282)</x:f>
        <x:v>0.17924282054582788</x:v>
      </x:c>
      <x:c r="M282" s="30" t="n">
        <x:f>E282*L282</x:f>
        <x:v>735.3580107149025</x:v>
      </x:c>
      <x:c r="N282" s="30" t="n">
        <x:f>F282*L282</x:f>
        <x:v>1956.66481706801</x:v>
      </x:c>
      <x:c r="O282" s="30" t="n">
        <x:f>G282*L282</x:f>
        <x:v>2692.022827782913</x:v>
      </x:c>
    </x:row>
    <x:row r="283" ht="21" customHeight="1">
      <x:c r="A283" s="28" t="n">
        <x:v>277</x:v>
      </x:c>
      <x:c r="B283" s="29" t="n">
        <x:v>53227</x:v>
      </x:c>
      <x:c r="C283" s="28" t="n">
        <x:f>B283-B282</x:f>
        <x:v>31</x:v>
      </x:c>
      <x:c r="D283" s="30" t="n">
        <x:f>H282</x:f>
        <x:v>633144.61</x:v>
      </x:c>
      <x:c r="E283" s="30" t="n">
        <x:f>ROUND(D283*I283,2)</x:f>
        <x:v>4033.04</x:v>
      </x:c>
      <x:c r="F283" s="30" t="n">
        <x:f>MIN(D283,'Параметры'!$C$13)</x:f>
        <x:v>10916.28</x:v>
      </x:c>
      <x:c r="G283" s="30" t="n">
        <x:f>ROUND(E283+F283,2)</x:f>
        <x:v>14949.32</x:v>
      </x:c>
      <x:c r="H283" s="30" t="n">
        <x:f>ROUND(D283-F283,2)</x:f>
        <x:v>622228.33</x:v>
      </x:c>
      <x:c r="I283" s="33" t="n">
        <x:f>IF(AND(ISNUMBER('Параметры'!$C$7),'Параметры'!$C$7&gt;=0),'Параметры'!$C$7*C283/365,NA())</x:f>
        <x:v>0.00636986301369863</x:v>
      </x:c>
      <x:c r="J283" s="32" t="n">
        <x:f>J282/(1+I283)</x:f>
        <x:v>0.1781082951044094</x:v>
      </x:c>
      <x:c r="K283" s="33" t="n">
        <x:f>IF(AND(ISNUMBER('Параметры'!$C$8),'Параметры'!$C$8&gt;=0),'Параметры'!$C$8*C283/365,NA())</x:f>
        <x:v>0.00636986301369863</x:v>
      </x:c>
      <x:c r="L283" s="32" t="n">
        <x:f>L282/(1+K283)</x:f>
        <x:v>0.1781082951044094</x:v>
      </x:c>
      <x:c r="M283" s="30" t="n">
        <x:f>E283*L283</x:f>
        <x:v>718.3178784878872</x:v>
      </x:c>
      <x:c r="N283" s="30" t="n">
        <x:f>F283*L283</x:f>
        <x:v>1944.2800196823623</x:v>
      </x:c>
      <x:c r="O283" s="30" t="n">
        <x:f>G283*L283</x:f>
        <x:v>2662.5978981702497</x:v>
      </x:c>
    </x:row>
    <x:row r="284" ht="21" customHeight="1">
      <x:c r="A284" s="28" t="n">
        <x:v>278</x:v>
      </x:c>
      <x:c r="B284" s="29" t="n">
        <x:v>53257</x:v>
      </x:c>
      <x:c r="C284" s="28" t="n">
        <x:f>B284-B283</x:f>
        <x:v>30</x:v>
      </x:c>
      <x:c r="D284" s="30" t="n">
        <x:f>H283</x:f>
        <x:v>622228.33</x:v>
      </x:c>
      <x:c r="E284" s="30" t="n">
        <x:f>ROUND(D284*I284,2)</x:f>
        <x:v>3835.65</x:v>
      </x:c>
      <x:c r="F284" s="30" t="n">
        <x:f>MIN(D284,'Параметры'!$C$13)</x:f>
        <x:v>10916.28</x:v>
      </x:c>
      <x:c r="G284" s="30" t="n">
        <x:f>ROUND(E284+F284,2)</x:f>
        <x:v>14751.93</x:v>
      </x:c>
      <x:c r="H284" s="30" t="n">
        <x:f>ROUND(D284-F284,2)</x:f>
        <x:v>611312.05</x:v>
      </x:c>
      <x:c r="I284" s="33" t="n">
        <x:f>IF(AND(ISNUMBER('Параметры'!$C$7),'Параметры'!$C$7&gt;=0),'Параметры'!$C$7*C284/365,NA())</x:f>
        <x:v>0.0061643835616438354</x:v>
      </x:c>
      <x:c r="J284" s="32" t="n">
        <x:f>J283/(1+I284)</x:f>
        <x:v>0.17701709384100595</x:v>
      </x:c>
      <x:c r="K284" s="33" t="n">
        <x:f>IF(AND(ISNUMBER('Параметры'!$C$8),'Параметры'!$C$8&gt;=0),'Параметры'!$C$8*C284/365,NA())</x:f>
        <x:v>0.0061643835616438354</x:v>
      </x:c>
      <x:c r="L284" s="32" t="n">
        <x:f>L283/(1+K284)</x:f>
        <x:v>0.17701709384100595</x:v>
      </x:c>
      <x:c r="M284" s="30" t="n">
        <x:f>E284*L284</x:f>
        <x:v>678.9756159912545</x:v>
      </x:c>
      <x:c r="N284" s="30" t="n">
        <x:f>F284*L284</x:f>
        <x:v>1932.3681611546965</x:v>
      </x:c>
      <x:c r="O284" s="30" t="n">
        <x:f>G284*L284</x:f>
        <x:v>2611.3437771459508</x:v>
      </x:c>
    </x:row>
    <x:row r="285" ht="21" customHeight="1">
      <x:c r="A285" s="28" t="n">
        <x:v>279</x:v>
      </x:c>
      <x:c r="B285" s="29" t="n">
        <x:v>53288</x:v>
      </x:c>
      <x:c r="C285" s="28" t="n">
        <x:f>B285-B284</x:f>
        <x:v>31</x:v>
      </x:c>
      <x:c r="D285" s="30" t="n">
        <x:f>H284</x:f>
        <x:v>611312.05</x:v>
      </x:c>
      <x:c r="E285" s="30" t="n">
        <x:f>ROUND(D285*I285,2)</x:f>
        <x:v>3893.97</x:v>
      </x:c>
      <x:c r="F285" s="30" t="n">
        <x:f>MIN(D285,'Параметры'!$C$13)</x:f>
        <x:v>10916.28</x:v>
      </x:c>
      <x:c r="G285" s="30" t="n">
        <x:f>ROUND(E285+F285,2)</x:f>
        <x:v>14810.25</x:v>
      </x:c>
      <x:c r="H285" s="30" t="n">
        <x:f>ROUND(D285-F285,2)</x:f>
        <x:v>600395.77</x:v>
      </x:c>
      <x:c r="I285" s="33" t="n">
        <x:f>IF(AND(ISNUMBER('Параметры'!$C$7),'Параметры'!$C$7&gt;=0),'Параметры'!$C$7*C285/365,NA())</x:f>
        <x:v>0.00636986301369863</x:v>
      </x:c>
      <x:c r="J285" s="32" t="n">
        <x:f>J284/(1+I285)</x:f>
        <x:v>0.17589665623621364</x:v>
      </x:c>
      <x:c r="K285" s="33" t="n">
        <x:f>IF(AND(ISNUMBER('Параметры'!$C$8),'Параметры'!$C$8&gt;=0),'Параметры'!$C$8*C285/365,NA())</x:f>
        <x:v>0.00636986301369863</x:v>
      </x:c>
      <x:c r="L285" s="32" t="n">
        <x:f>L284/(1+K285)</x:f>
        <x:v>0.17589665623621364</x:v>
      </x:c>
      <x:c r="M285" s="30" t="n">
        <x:f>E285*L285</x:f>
        <x:v>684.9363024841288</x:v>
      </x:c>
      <x:c r="N285" s="30" t="n">
        <x:f>F285*L285</x:f>
        <x:v>1920.1371505382544</x:v>
      </x:c>
      <x:c r="O285" s="30" t="n">
        <x:f>G285*L285</x:f>
        <x:v>2605.073453022383</x:v>
      </x:c>
    </x:row>
    <x:row r="286" ht="21" customHeight="1">
      <x:c r="A286" s="28" t="n">
        <x:v>280</x:v>
      </x:c>
      <x:c r="B286" s="29" t="n">
        <x:v>53318</x:v>
      </x:c>
      <x:c r="C286" s="28" t="n">
        <x:f>B286-B285</x:f>
        <x:v>30</x:v>
      </x:c>
      <x:c r="D286" s="30" t="n">
        <x:f>H285</x:f>
        <x:v>600395.77</x:v>
      </x:c>
      <x:c r="E286" s="30" t="n">
        <x:f>ROUND(D286*I286,2)</x:f>
        <x:v>3701.07</x:v>
      </x:c>
      <x:c r="F286" s="30" t="n">
        <x:f>MIN(D286,'Параметры'!$C$13)</x:f>
        <x:v>10916.28</x:v>
      </x:c>
      <x:c r="G286" s="30" t="n">
        <x:f>ROUND(E286+F286,2)</x:f>
        <x:v>14617.35</x:v>
      </x:c>
      <x:c r="H286" s="30" t="n">
        <x:f>ROUND(D286-F286,2)</x:f>
        <x:v>589479.49</x:v>
      </x:c>
      <x:c r="I286" s="33" t="n">
        <x:f>IF(AND(ISNUMBER('Параметры'!$C$7),'Параметры'!$C$7&gt;=0),'Параметры'!$C$7*C286/365,NA())</x:f>
        <x:v>0.0061643835616438354</x:v>
      </x:c>
      <x:c r="J286" s="32" t="n">
        <x:f>J285/(1+I286)</x:f>
        <x:v>0.17481900483653637</x:v>
      </x:c>
      <x:c r="K286" s="33" t="n">
        <x:f>IF(AND(ISNUMBER('Параметры'!$C$8),'Параметры'!$C$8&gt;=0),'Параметры'!$C$8*C286/365,NA())</x:f>
        <x:v>0.0061643835616438354</x:v>
      </x:c>
      <x:c r="L286" s="32" t="n">
        <x:f>L285/(1+K286)</x:f>
        <x:v>0.17481900483653637</x:v>
      </x:c>
      <x:c r="M286" s="30" t="n">
        <x:f>E286*L286</x:f>
        <x:v>647.0173742303597</x:v>
      </x:c>
      <x:c r="N286" s="30" t="n">
        <x:f>F286*L286</x:f>
        <x:v>1908.3732061169853</x:v>
      </x:c>
      <x:c r="O286" s="30" t="n">
        <x:f>G286*L286</x:f>
        <x:v>2555.390580347345</x:v>
      </x:c>
    </x:row>
    <x:row r="287" ht="21" customHeight="1">
      <x:c r="A287" s="28" t="n">
        <x:v>281</x:v>
      </x:c>
      <x:c r="B287" s="29" t="n">
        <x:v>53349</x:v>
      </x:c>
      <x:c r="C287" s="28" t="n">
        <x:f>B287-B286</x:f>
        <x:v>31</x:v>
      </x:c>
      <x:c r="D287" s="30" t="n">
        <x:f>H286</x:f>
        <x:v>589479.49</x:v>
      </x:c>
      <x:c r="E287" s="30" t="n">
        <x:f>ROUND(D287*I287,2)</x:f>
        <x:v>3754.9</x:v>
      </x:c>
      <x:c r="F287" s="30" t="n">
        <x:f>MIN(D287,'Параметры'!$C$13)</x:f>
        <x:v>10916.28</x:v>
      </x:c>
      <x:c r="G287" s="30" t="n">
        <x:f>ROUND(E287+F287,2)</x:f>
        <x:v>14671.18</x:v>
      </x:c>
      <x:c r="H287" s="30" t="n">
        <x:f>ROUND(D287-F287,2)</x:f>
        <x:v>578563.21</x:v>
      </x:c>
      <x:c r="I287" s="33" t="n">
        <x:f>IF(AND(ISNUMBER('Параметры'!$C$7),'Параметры'!$C$7&gt;=0),'Параметры'!$C$7*C287/365,NA())</x:f>
        <x:v>0.00636986301369863</x:v>
      </x:c>
      <x:c r="J287" s="32" t="n">
        <x:f>J286/(1+I287)</x:f>
        <x:v>0.17371248013431098</x:v>
      </x:c>
      <x:c r="K287" s="33" t="n">
        <x:f>IF(AND(ISNUMBER('Параметры'!$C$8),'Параметры'!$C$8&gt;=0),'Параметры'!$C$8*C287/365,NA())</x:f>
        <x:v>0.00636986301369863</x:v>
      </x:c>
      <x:c r="L287" s="32" t="n">
        <x:f>L286/(1+K287)</x:f>
        <x:v>0.17371248013431098</x:v>
      </x:c>
      <x:c r="M287" s="30" t="n">
        <x:f>E287*L287</x:f>
        <x:v>652.2729916563243</x:v>
      </x:c>
      <x:c r="N287" s="30" t="n">
        <x:f>F287*L287</x:f>
        <x:v>1896.2940726405764</x:v>
      </x:c>
      <x:c r="O287" s="30" t="n">
        <x:f>G287*L287</x:f>
        <x:v>2548.5670642969008</x:v>
      </x:c>
    </x:row>
    <x:row r="288" ht="21" customHeight="1">
      <x:c r="A288" s="28" t="n">
        <x:v>282</x:v>
      </x:c>
      <x:c r="B288" s="29" t="n">
        <x:v>53380</x:v>
      </x:c>
      <x:c r="C288" s="28" t="n">
        <x:f>B288-B287</x:f>
        <x:v>31</x:v>
      </x:c>
      <x:c r="D288" s="30" t="n">
        <x:f>H287</x:f>
        <x:v>578563.21</x:v>
      </x:c>
      <x:c r="E288" s="30" t="n">
        <x:f>ROUND(D288*I288,2)</x:f>
        <x:v>3685.37</x:v>
      </x:c>
      <x:c r="F288" s="30" t="n">
        <x:f>MIN(D288,'Параметры'!$C$13)</x:f>
        <x:v>10916.28</x:v>
      </x:c>
      <x:c r="G288" s="30" t="n">
        <x:f>ROUND(E288+F288,2)</x:f>
        <x:v>14601.65</x:v>
      </x:c>
      <x:c r="H288" s="30" t="n">
        <x:f>ROUND(D288-F288,2)</x:f>
        <x:v>567646.93</x:v>
      </x:c>
      <x:c r="I288" s="33" t="n">
        <x:f>IF(AND(ISNUMBER('Параметры'!$C$7),'Параметры'!$C$7&gt;=0),'Параметры'!$C$7*C288/365,NA())</x:f>
        <x:v>0.00636986301369863</x:v>
      </x:c>
      <x:c r="J288" s="32" t="n">
        <x:f>J287/(1+I288)</x:f>
        <x:v>0.1726129592296291</x:v>
      </x:c>
      <x:c r="K288" s="33" t="n">
        <x:f>IF(AND(ISNUMBER('Параметры'!$C$8),'Параметры'!$C$8&gt;=0),'Параметры'!$C$8*C288/365,NA())</x:f>
        <x:v>0.00636986301369863</x:v>
      </x:c>
      <x:c r="L288" s="32" t="n">
        <x:f>L287/(1+K288)</x:f>
        <x:v>0.1726129592296291</x:v>
      </x:c>
      <x:c r="M288" s="30" t="n">
        <x:f>E288*L288</x:f>
        <x:v>636.1426215560982</x:v>
      </x:c>
      <x:c r="N288" s="30" t="n">
        <x:f>F288*L288</x:f>
        <x:v>1884.2913945792156</x:v>
      </x:c>
      <x:c r="O288" s="30" t="n">
        <x:f>G288*L288</x:f>
        <x:v>2520.434016135314</x:v>
      </x:c>
    </x:row>
    <x:row r="289" ht="21" customHeight="1">
      <x:c r="A289" s="28" t="n">
        <x:v>283</x:v>
      </x:c>
      <x:c r="B289" s="29" t="n">
        <x:v>53408</x:v>
      </x:c>
      <x:c r="C289" s="28" t="n">
        <x:f>B289-B288</x:f>
        <x:v>28</x:v>
      </x:c>
      <x:c r="D289" s="30" t="n">
        <x:f>H288</x:f>
        <x:v>567646.93</x:v>
      </x:c>
      <x:c r="E289" s="30" t="n">
        <x:f>ROUND(D289*I289,2)</x:f>
        <x:v>3265.91</x:v>
      </x:c>
      <x:c r="F289" s="30" t="n">
        <x:f>MIN(D289,'Параметры'!$C$13)</x:f>
        <x:v>10916.28</x:v>
      </x:c>
      <x:c r="G289" s="30" t="n">
        <x:f>ROUND(E289+F289,2)</x:f>
        <x:v>14182.19</x:v>
      </x:c>
      <x:c r="H289" s="30" t="n">
        <x:f>ROUND(D289-F289,2)</x:f>
        <x:v>556730.65</x:v>
      </x:c>
      <x:c r="I289" s="33" t="n">
        <x:f>IF(AND(ISNUMBER('Параметры'!$C$7),'Параметры'!$C$7&gt;=0),'Параметры'!$C$7*C289/365,NA())</x:f>
        <x:v>0.005753424657534247</x:v>
      </x:c>
      <x:c r="J289" s="32" t="n">
        <x:f>J288/(1+I289)</x:f>
        <x:v>0.17162552470393524</x:v>
      </x:c>
      <x:c r="K289" s="33" t="n">
        <x:f>IF(AND(ISNUMBER('Параметры'!$C$8),'Параметры'!$C$8&gt;=0),'Параметры'!$C$8*C289/365,NA())</x:f>
        <x:v>0.005753424657534247</x:v>
      </x:c>
      <x:c r="L289" s="32" t="n">
        <x:f>L288/(1+K289)</x:f>
        <x:v>0.17162552470393524</x:v>
      </x:c>
      <x:c r="M289" s="30" t="n">
        <x:f>E289*L289</x:f>
        <x:v>560.5135173858291</x:v>
      </x:c>
      <x:c r="N289" s="30" t="n">
        <x:f>F289*L289</x:f>
        <x:v>1873.5122828150743</x:v>
      </x:c>
      <x:c r="O289" s="30" t="n">
        <x:f>G289*L289</x:f>
        <x:v>2434.0258002009036</x:v>
      </x:c>
    </x:row>
    <x:row r="290" ht="21" customHeight="1">
      <x:c r="A290" s="28" t="n">
        <x:v>284</x:v>
      </x:c>
      <x:c r="B290" s="29" t="n">
        <x:v>53439</x:v>
      </x:c>
      <x:c r="C290" s="28" t="n">
        <x:f>B290-B289</x:f>
        <x:v>31</x:v>
      </x:c>
      <x:c r="D290" s="30" t="n">
        <x:f>H289</x:f>
        <x:v>556730.65</x:v>
      </x:c>
      <x:c r="E290" s="30" t="n">
        <x:f>ROUND(D290*I290,2)</x:f>
        <x:v>3546.3</x:v>
      </x:c>
      <x:c r="F290" s="30" t="n">
        <x:f>MIN(D290,'Параметры'!$C$13)</x:f>
        <x:v>10916.28</x:v>
      </x:c>
      <x:c r="G290" s="30" t="n">
        <x:f>ROUND(E290+F290,2)</x:f>
        <x:v>14462.58</x:v>
      </x:c>
      <x:c r="H290" s="30" t="n">
        <x:f>ROUND(D290-F290,2)</x:f>
        <x:v>545814.37</x:v>
      </x:c>
      <x:c r="I290" s="33" t="n">
        <x:f>IF(AND(ISNUMBER('Параметры'!$C$7),'Параметры'!$C$7&gt;=0),'Параметры'!$C$7*C290/365,NA())</x:f>
        <x:v>0.00636986301369863</x:v>
      </x:c>
      <x:c r="J290" s="32" t="n">
        <x:f>J289/(1+I290)</x:f>
        <x:v>0.17053921327689747</x:v>
      </x:c>
      <x:c r="K290" s="33" t="n">
        <x:f>IF(AND(ISNUMBER('Параметры'!$C$8),'Параметры'!$C$8&gt;=0),'Параметры'!$C$8*C290/365,NA())</x:f>
        <x:v>0.00636986301369863</x:v>
      </x:c>
      <x:c r="L290" s="32" t="n">
        <x:f>L289/(1+K290)</x:f>
        <x:v>0.17053921327689747</x:v>
      </x:c>
      <x:c r="M290" s="30" t="n">
        <x:f>E290*L290</x:f>
        <x:v>604.7832120438616</x:v>
      </x:c>
      <x:c r="N290" s="30" t="n">
        <x:f>F290*L290</x:f>
        <x:v>1861.6538031103305</x:v>
      </x:c>
      <x:c r="O290" s="30" t="n">
        <x:f>G290*L290</x:f>
        <x:v>2466.4370151541916</x:v>
      </x:c>
    </x:row>
    <x:row r="291" ht="21" customHeight="1">
      <x:c r="A291" s="28" t="n">
        <x:v>285</x:v>
      </x:c>
      <x:c r="B291" s="29" t="n">
        <x:v>53469</x:v>
      </x:c>
      <x:c r="C291" s="28" t="n">
        <x:f>B291-B290</x:f>
        <x:v>30</x:v>
      </x:c>
      <x:c r="D291" s="30" t="n">
        <x:f>H290</x:f>
        <x:v>545814.37</x:v>
      </x:c>
      <x:c r="E291" s="30" t="n">
        <x:f>ROUND(D291*I291,2)</x:f>
        <x:v>3364.61</x:v>
      </x:c>
      <x:c r="F291" s="30" t="n">
        <x:f>MIN(D291,'Параметры'!$C$13)</x:f>
        <x:v>10916.28</x:v>
      </x:c>
      <x:c r="G291" s="30" t="n">
        <x:f>ROUND(E291+F291,2)</x:f>
        <x:v>14280.89</x:v>
      </x:c>
      <x:c r="H291" s="30" t="n">
        <x:f>ROUND(D291-F291,2)</x:f>
        <x:v>534898.09</x:v>
      </x:c>
      <x:c r="I291" s="33" t="n">
        <x:f>IF(AND(ISNUMBER('Параметры'!$C$7),'Параметры'!$C$7&gt;=0),'Параметры'!$C$7*C291/365,NA())</x:f>
        <x:v>0.0061643835616438354</x:v>
      </x:c>
      <x:c r="J291" s="32" t="n">
        <x:f>J290/(1+I291)</x:f>
        <x:v>0.16949438487697094</x:v>
      </x:c>
      <x:c r="K291" s="33" t="n">
        <x:f>IF(AND(ISNUMBER('Параметры'!$C$8),'Параметры'!$C$8&gt;=0),'Параметры'!$C$8*C291/365,NA())</x:f>
        <x:v>0.0061643835616438354</x:v>
      </x:c>
      <x:c r="L291" s="32" t="n">
        <x:f>L290/(1+K291)</x:f>
        <x:v>0.16949438487697094</x:v>
      </x:c>
      <x:c r="M291" s="30" t="n">
        <x:f>E291*L291</x:f>
        <x:v>570.2825023009052</x:v>
      </x:c>
      <x:c r="N291" s="30" t="n">
        <x:f>F291*L291</x:f>
        <x:v>1850.2481637447804</x:v>
      </x:c>
      <x:c r="O291" s="30" t="n">
        <x:f>G291*L291</x:f>
        <x:v>2420.5306660456854</x:v>
      </x:c>
    </x:row>
    <x:row r="292" ht="21" customHeight="1">
      <x:c r="A292" s="28" t="n">
        <x:v>286</x:v>
      </x:c>
      <x:c r="B292" s="29" t="n">
        <x:v>53500</x:v>
      </x:c>
      <x:c r="C292" s="28" t="n">
        <x:f>B292-B291</x:f>
        <x:v>31</x:v>
      </x:c>
      <x:c r="D292" s="30" t="n">
        <x:f>H291</x:f>
        <x:v>534898.09</x:v>
      </x:c>
      <x:c r="E292" s="30" t="n">
        <x:f>ROUND(D292*I292,2)</x:f>
        <x:v>3407.23</x:v>
      </x:c>
      <x:c r="F292" s="30" t="n">
        <x:f>MIN(D292,'Параметры'!$C$13)</x:f>
        <x:v>10916.28</x:v>
      </x:c>
      <x:c r="G292" s="30" t="n">
        <x:f>ROUND(E292+F292,2)</x:f>
        <x:v>14323.51</x:v>
      </x:c>
      <x:c r="H292" s="30" t="n">
        <x:f>ROUND(D292-F292,2)</x:f>
        <x:v>523981.81</x:v>
      </x:c>
      <x:c r="I292" s="33" t="n">
        <x:f>IF(AND(ISNUMBER('Параметры'!$C$7),'Параметры'!$C$7&gt;=0),'Параметры'!$C$7*C292/365,NA())</x:f>
        <x:v>0.00636986301369863</x:v>
      </x:c>
      <x:c r="J292" s="32" t="n">
        <x:f>J291/(1+I292)</x:f>
        <x:v>0.1684215625946897</x:v>
      </x:c>
      <x:c r="K292" s="33" t="n">
        <x:f>IF(AND(ISNUMBER('Параметры'!$C$8),'Параметры'!$C$8&gt;=0),'Параметры'!$C$8*C292/365,NA())</x:f>
        <x:v>0.00636986301369863</x:v>
      </x:c>
      <x:c r="L292" s="32" t="n">
        <x:f>L291/(1+K292)</x:f>
        <x:v>0.1684215625946897</x:v>
      </x:c>
      <x:c r="M292" s="30" t="n">
        <x:f>E292*L292</x:f>
        <x:v>573.8510007195047</x:v>
      </x:c>
      <x:c r="N292" s="30" t="n">
        <x:f>F292*L292</x:f>
        <x:v>1838.5369353211595</x:v>
      </x:c>
      <x:c r="O292" s="30" t="n">
        <x:f>G292*L292</x:f>
        <x:v>2412.387936040664</x:v>
      </x:c>
    </x:row>
    <x:row r="293" ht="21" customHeight="1">
      <x:c r="A293" s="28" t="n">
        <x:v>287</x:v>
      </x:c>
      <x:c r="B293" s="29" t="n">
        <x:v>53530</x:v>
      </x:c>
      <x:c r="C293" s="28" t="n">
        <x:f>B293-B292</x:f>
        <x:v>30</x:v>
      </x:c>
      <x:c r="D293" s="30" t="n">
        <x:f>H292</x:f>
        <x:v>523981.81</x:v>
      </x:c>
      <x:c r="E293" s="30" t="n">
        <x:f>ROUND(D293*I293,2)</x:f>
        <x:v>3230.02</x:v>
      </x:c>
      <x:c r="F293" s="30" t="n">
        <x:f>MIN(D293,'Параметры'!$C$13)</x:f>
        <x:v>10916.28</x:v>
      </x:c>
      <x:c r="G293" s="30" t="n">
        <x:f>ROUND(E293+F293,2)</x:f>
        <x:v>14146.3</x:v>
      </x:c>
      <x:c r="H293" s="30" t="n">
        <x:f>ROUND(D293-F293,2)</x:f>
        <x:v>513065.53</x:v>
      </x:c>
      <x:c r="I293" s="33" t="n">
        <x:f>IF(AND(ISNUMBER('Параметры'!$C$7),'Параметры'!$C$7&gt;=0),'Параметры'!$C$7*C293/365,NA())</x:f>
        <x:v>0.0061643835616438354</x:v>
      </x:c>
      <x:c r="J293" s="32" t="n">
        <x:f>J292/(1+I293)</x:f>
        <x:v>0.16738970822889515</x:v>
      </x:c>
      <x:c r="K293" s="33" t="n">
        <x:f>IF(AND(ISNUMBER('Параметры'!$C$8),'Параметры'!$C$8&gt;=0),'Параметры'!$C$8*C293/365,NA())</x:f>
        <x:v>0.0061643835616438354</x:v>
      </x:c>
      <x:c r="L293" s="32" t="n">
        <x:f>L292/(1+K293)</x:f>
        <x:v>0.16738970822889515</x:v>
      </x:c>
      <x:c r="M293" s="30" t="n">
        <x:f>E293*L293</x:f>
        <x:v>540.6721053734959</x:v>
      </x:c>
      <x:c r="N293" s="30" t="n">
        <x:f>F293*L293</x:f>
        <x:v>1827.2729241449238</x:v>
      </x:c>
      <x:c r="O293" s="30" t="n">
        <x:f>G293*L293</x:f>
        <x:v>2367.9450295184192</x:v>
      </x:c>
    </x:row>
    <x:row r="294" ht="21" customHeight="1">
      <x:c r="A294" s="28" t="n">
        <x:v>288</x:v>
      </x:c>
      <x:c r="B294" s="29" t="n">
        <x:v>53561</x:v>
      </x:c>
      <x:c r="C294" s="28" t="n">
        <x:f>B294-B293</x:f>
        <x:v>31</x:v>
      </x:c>
      <x:c r="D294" s="30" t="n">
        <x:f>H293</x:f>
        <x:v>513065.53</x:v>
      </x:c>
      <x:c r="E294" s="30" t="n">
        <x:f>ROUND(D294*I294,2)</x:f>
        <x:v>3268.16</x:v>
      </x:c>
      <x:c r="F294" s="30" t="n">
        <x:f>MIN(D294,'Параметры'!$C$13)</x:f>
        <x:v>10916.28</x:v>
      </x:c>
      <x:c r="G294" s="30" t="n">
        <x:f>ROUND(E294+F294,2)</x:f>
        <x:v>14184.44</x:v>
      </x:c>
      <x:c r="H294" s="30" t="n">
        <x:f>ROUND(D294-F294,2)</x:f>
        <x:v>502149.25</x:v>
      </x:c>
      <x:c r="I294" s="33" t="n">
        <x:f>IF(AND(ISNUMBER('Параметры'!$C$7),'Параметры'!$C$7&gt;=0),'Параметры'!$C$7*C294/365,NA())</x:f>
        <x:v>0.00636986301369863</x:v>
      </x:c>
      <x:c r="J294" s="32" t="n">
        <x:f>J293/(1+I294)</x:f>
        <x:v>0.16633020759149728</x:v>
      </x:c>
      <x:c r="K294" s="33" t="n">
        <x:f>IF(AND(ISNUMBER('Параметры'!$C$8),'Параметры'!$C$8&gt;=0),'Параметры'!$C$8*C294/365,NA())</x:f>
        <x:v>0.00636986301369863</x:v>
      </x:c>
      <x:c r="L294" s="32" t="n">
        <x:f>L293/(1+K294)</x:f>
        <x:v>0.16633020759149728</x:v>
      </x:c>
      <x:c r="M294" s="30" t="n">
        <x:f>E294*L294</x:f>
        <x:v>543.5937312422277</x:v>
      </x:c>
      <x:c r="N294" s="30" t="n">
        <x:f>F294*L294</x:f>
        <x:v>1815.7071185269099</x:v>
      </x:c>
      <x:c r="O294" s="30" t="n">
        <x:f>G294*L294</x:f>
        <x:v>2359.3008497691376</x:v>
      </x:c>
    </x:row>
    <x:row r="295" ht="21" customHeight="1">
      <x:c r="A295" s="28" t="n">
        <x:v>289</x:v>
      </x:c>
      <x:c r="B295" s="29" t="n">
        <x:v>53592</x:v>
      </x:c>
      <x:c r="C295" s="28" t="n">
        <x:f>B295-B294</x:f>
        <x:v>31</x:v>
      </x:c>
      <x:c r="D295" s="30" t="n">
        <x:f>H294</x:f>
        <x:v>502149.25</x:v>
      </x:c>
      <x:c r="E295" s="30" t="n">
        <x:f>ROUND(D295*I295,2)</x:f>
        <x:v>3198.62</x:v>
      </x:c>
      <x:c r="F295" s="30" t="n">
        <x:f>MIN(D295,'Параметры'!$C$13)</x:f>
        <x:v>10916.28</x:v>
      </x:c>
      <x:c r="G295" s="30" t="n">
        <x:f>ROUND(E295+F295,2)</x:f>
        <x:v>14114.9</x:v>
      </x:c>
      <x:c r="H295" s="30" t="n">
        <x:f>ROUND(D295-F295,2)</x:f>
        <x:v>491232.97</x:v>
      </x:c>
      <x:c r="I295" s="33" t="n">
        <x:f>IF(AND(ISNUMBER('Параметры'!$C$7),'Параметры'!$C$7&gt;=0),'Параметры'!$C$7*C295/365,NA())</x:f>
        <x:v>0.00636986301369863</x:v>
      </x:c>
      <x:c r="J295" s="32" t="n">
        <x:f>J294/(1+I295)</x:f>
        <x:v>0.1652774131107235</x:v>
      </x:c>
      <x:c r="K295" s="33" t="n">
        <x:f>IF(AND(ISNUMBER('Параметры'!$C$8),'Параметры'!$C$8&gt;=0),'Параметры'!$C$8*C295/365,NA())</x:f>
        <x:v>0.00636986301369863</x:v>
      </x:c>
      <x:c r="L295" s="32" t="n">
        <x:f>L294/(1+K295)</x:f>
        <x:v>0.1652774131107235</x:v>
      </x:c>
      <x:c r="M295" s="30" t="n">
        <x:f>E295*L295</x:f>
        <x:v>528.6596391242224</x:v>
      </x:c>
      <x:c r="N295" s="30" t="n">
        <x:f>F295*L295</x:f>
        <x:v>1804.214519192329</x:v>
      </x:c>
      <x:c r="O295" s="30" t="n">
        <x:f>G295*L295</x:f>
        <x:v>2332.874158316551</x:v>
      </x:c>
    </x:row>
    <x:row r="296" ht="21" customHeight="1">
      <x:c r="A296" s="28" t="n">
        <x:v>290</x:v>
      </x:c>
      <x:c r="B296" s="29" t="n">
        <x:v>53622</x:v>
      </x:c>
      <x:c r="C296" s="28" t="n">
        <x:f>B296-B295</x:f>
        <x:v>30</x:v>
      </x:c>
      <x:c r="D296" s="30" t="n">
        <x:f>H295</x:f>
        <x:v>491232.97</x:v>
      </x:c>
      <x:c r="E296" s="30" t="n">
        <x:f>ROUND(D296*I296,2)</x:f>
        <x:v>3028.15</x:v>
      </x:c>
      <x:c r="F296" s="30" t="n">
        <x:f>MIN(D296,'Параметры'!$C$13)</x:f>
        <x:v>10916.28</x:v>
      </x:c>
      <x:c r="G296" s="30" t="n">
        <x:f>ROUND(E296+F296,2)</x:f>
        <x:v>13944.43</x:v>
      </x:c>
      <x:c r="H296" s="30" t="n">
        <x:f>ROUND(D296-F296,2)</x:f>
        <x:v>480316.69</x:v>
      </x:c>
      <x:c r="I296" s="33" t="n">
        <x:f>IF(AND(ISNUMBER('Параметры'!$C$7),'Параметры'!$C$7&gt;=0),'Параметры'!$C$7*C296/365,NA())</x:f>
        <x:v>0.0061643835616438354</x:v>
      </x:c>
      <x:c r="J296" s="32" t="n">
        <x:f>J295/(1+I296)</x:f>
        <x:v>0.1642648217438096</x:v>
      </x:c>
      <x:c r="K296" s="33" t="n">
        <x:f>IF(AND(ISNUMBER('Параметры'!$C$8),'Параметры'!$C$8&gt;=0),'Параметры'!$C$8*C296/365,NA())</x:f>
        <x:v>0.0061643835616438354</x:v>
      </x:c>
      <x:c r="L296" s="32" t="n">
        <x:f>L295/(1+K296)</x:f>
        <x:v>0.1642648217438096</x:v>
      </x:c>
      <x:c r="M296" s="30" t="n">
        <x:f>E296*L296</x:f>
        <x:v>497.41851996351704</x:v>
      </x:c>
      <x:c r="N296" s="30" t="n">
        <x:f>F296*L296</x:f>
        <x:v>1793.160788305514</x:v>
      </x:c>
      <x:c r="O296" s="30" t="n">
        <x:f>G296*L296</x:f>
        <x:v>2290.579308269031</x:v>
      </x:c>
    </x:row>
    <x:row r="297" ht="21" customHeight="1">
      <x:c r="A297" s="28" t="n">
        <x:v>291</x:v>
      </x:c>
      <x:c r="B297" s="29" t="n">
        <x:v>53653</x:v>
      </x:c>
      <x:c r="C297" s="28" t="n">
        <x:f>B297-B296</x:f>
        <x:v>31</x:v>
      </x:c>
      <x:c r="D297" s="30" t="n">
        <x:f>H296</x:f>
        <x:v>480316.69</x:v>
      </x:c>
      <x:c r="E297" s="30" t="n">
        <x:f>ROUND(D297*I297,2)</x:f>
        <x:v>3059.55</x:v>
      </x:c>
      <x:c r="F297" s="30" t="n">
        <x:f>MIN(D297,'Параметры'!$C$13)</x:f>
        <x:v>10916.28</x:v>
      </x:c>
      <x:c r="G297" s="30" t="n">
        <x:f>ROUND(E297+F297,2)</x:f>
        <x:v>13975.83</x:v>
      </x:c>
      <x:c r="H297" s="30" t="n">
        <x:f>ROUND(D297-F297,2)</x:f>
        <x:v>469400.41</x:v>
      </x:c>
      <x:c r="I297" s="33" t="n">
        <x:f>IF(AND(ISNUMBER('Параметры'!$C$7),'Параметры'!$C$7&gt;=0),'Параметры'!$C$7*C297/365,NA())</x:f>
        <x:v>0.00636986301369863</x:v>
      </x:c>
      <x:c r="J297" s="32" t="n">
        <x:f>J296/(1+I297)</x:f>
        <x:v>0.16322510021504255</x:v>
      </x:c>
      <x:c r="K297" s="33" t="n">
        <x:f>IF(AND(ISNUMBER('Параметры'!$C$8),'Параметры'!$C$8&gt;=0),'Параметры'!$C$8*C297/365,NA())</x:f>
        <x:v>0.00636986301369863</x:v>
      </x:c>
      <x:c r="L297" s="32" t="n">
        <x:f>L296/(1+K297)</x:f>
        <x:v>0.16322510021504255</x:v>
      </x:c>
      <x:c r="M297" s="30" t="n">
        <x:f>E297*L297</x:f>
        <x:v>499.39535536293346</x:v>
      </x:c>
      <x:c r="N297" s="30" t="n">
        <x:f>F297*L297</x:f>
        <x:v>1781.8108969754649</x:v>
      </x:c>
      <x:c r="O297" s="30" t="n">
        <x:f>G297*L297</x:f>
        <x:v>2281.206252338398</x:v>
      </x:c>
    </x:row>
    <x:row r="298" ht="21" customHeight="1">
      <x:c r="A298" s="28" t="n">
        <x:v>292</x:v>
      </x:c>
      <x:c r="B298" s="29" t="n">
        <x:v>53683</x:v>
      </x:c>
      <x:c r="C298" s="28" t="n">
        <x:f>B298-B297</x:f>
        <x:v>30</x:v>
      </x:c>
      <x:c r="D298" s="30" t="n">
        <x:f>H297</x:f>
        <x:v>469400.41</x:v>
      </x:c>
      <x:c r="E298" s="30" t="n">
        <x:f>ROUND(D298*I298,2)</x:f>
        <x:v>2893.56</x:v>
      </x:c>
      <x:c r="F298" s="30" t="n">
        <x:f>MIN(D298,'Параметры'!$C$13)</x:f>
        <x:v>10916.28</x:v>
      </x:c>
      <x:c r="G298" s="30" t="n">
        <x:f>ROUND(E298+F298,2)</x:f>
        <x:v>13809.84</x:v>
      </x:c>
      <x:c r="H298" s="30" t="n">
        <x:f>ROUND(D298-F298,2)</x:f>
        <x:v>458484.13</x:v>
      </x:c>
      <x:c r="I298" s="33" t="n">
        <x:f>IF(AND(ISNUMBER('Параметры'!$C$7),'Параметры'!$C$7&gt;=0),'Параметры'!$C$7*C298/365,NA())</x:f>
        <x:v>0.0061643835616438354</x:v>
      </x:c>
      <x:c r="J298" s="32" t="n">
        <x:f>J297/(1+I298)</x:f>
        <x:v>0.16222508258268353</x:v>
      </x:c>
      <x:c r="K298" s="33" t="n">
        <x:f>IF(AND(ISNUMBER('Параметры'!$C$8),'Параметры'!$C$8&gt;=0),'Параметры'!$C$8*C298/365,NA())</x:f>
        <x:v>0.0061643835616438354</x:v>
      </x:c>
      <x:c r="L298" s="32" t="n">
        <x:f>L297/(1+K298)</x:f>
        <x:v>0.16222508258268353</x:v>
      </x:c>
      <x:c r="M298" s="30" t="n">
        <x:f>E298*L298</x:f>
        <x:v>469.40800995794973</x:v>
      </x:c>
      <x:c r="N298" s="30" t="n">
        <x:f>F298*L298</x:f>
        <x:v>1770.8944244956967</x:v>
      </x:c>
      <x:c r="O298" s="30" t="n">
        <x:f>G298*L298</x:f>
        <x:v>2240.3024344536466</x:v>
      </x:c>
    </x:row>
    <x:row r="299" ht="21" customHeight="1">
      <x:c r="A299" s="28" t="n">
        <x:v>293</x:v>
      </x:c>
      <x:c r="B299" s="29" t="n">
        <x:v>53714</x:v>
      </x:c>
      <x:c r="C299" s="28" t="n">
        <x:f>B299-B298</x:f>
        <x:v>31</x:v>
      </x:c>
      <x:c r="D299" s="30" t="n">
        <x:f>H298</x:f>
        <x:v>458484.13</x:v>
      </x:c>
      <x:c r="E299" s="30" t="n">
        <x:f>ROUND(D299*I299,2)</x:f>
        <x:v>2920.48</x:v>
      </x:c>
      <x:c r="F299" s="30" t="n">
        <x:f>MIN(D299,'Параметры'!$C$13)</x:f>
        <x:v>10916.28</x:v>
      </x:c>
      <x:c r="G299" s="30" t="n">
        <x:f>ROUND(E299+F299,2)</x:f>
        <x:v>13836.76</x:v>
      </x:c>
      <x:c r="H299" s="30" t="n">
        <x:f>ROUND(D299-F299,2)</x:f>
        <x:v>447567.85</x:v>
      </x:c>
      <x:c r="I299" s="33" t="n">
        <x:f>IF(AND(ISNUMBER('Параметры'!$C$7),'Параметры'!$C$7&gt;=0),'Параметры'!$C$7*C299/365,NA())</x:f>
        <x:v>0.00636986301369863</x:v>
      </x:c>
      <x:c r="J299" s="32" t="n">
        <x:f>J298/(1+I299)</x:f>
        <x:v>0.16119827167407472</x:v>
      </x:c>
      <x:c r="K299" s="33" t="n">
        <x:f>IF(AND(ISNUMBER('Параметры'!$C$8),'Параметры'!$C$8&gt;=0),'Параметры'!$C$8*C299/365,NA())</x:f>
        <x:v>0.00636986301369863</x:v>
      </x:c>
      <x:c r="L299" s="32" t="n">
        <x:f>L298/(1+K299)</x:f>
        <x:v>0.16119827167407472</x:v>
      </x:c>
      <x:c r="M299" s="30" t="n">
        <x:f>E299*L299</x:f>
        <x:v>470.77632845870176</x:v>
      </x:c>
      <x:c r="N299" s="30" t="n">
        <x:f>F299*L299</x:f>
        <x:v>1759.6854691102685</x:v>
      </x:c>
      <x:c r="O299" s="30" t="n">
        <x:f>G299*L299</x:f>
        <x:v>2230.4617975689703</x:v>
      </x:c>
    </x:row>
    <x:row r="300" ht="21" customHeight="1">
      <x:c r="A300" s="28" t="n">
        <x:v>294</x:v>
      </x:c>
      <x:c r="B300" s="29" t="n">
        <x:v>53745</x:v>
      </x:c>
      <x:c r="C300" s="28" t="n">
        <x:f>B300-B299</x:f>
        <x:v>31</x:v>
      </x:c>
      <x:c r="D300" s="30" t="n">
        <x:f>H299</x:f>
        <x:v>447567.85</x:v>
      </x:c>
      <x:c r="E300" s="30" t="n">
        <x:f>ROUND(D300*I300,2)</x:f>
        <x:v>2850.95</x:v>
      </x:c>
      <x:c r="F300" s="30" t="n">
        <x:f>MIN(D300,'Параметры'!$C$13)</x:f>
        <x:v>10916.28</x:v>
      </x:c>
      <x:c r="G300" s="30" t="n">
        <x:f>ROUND(E300+F300,2)</x:f>
        <x:v>13767.23</x:v>
      </x:c>
      <x:c r="H300" s="30" t="n">
        <x:f>ROUND(D300-F300,2)</x:f>
        <x:v>436651.57</x:v>
      </x:c>
      <x:c r="I300" s="33" t="n">
        <x:f>IF(AND(ISNUMBER('Параметры'!$C$7),'Параметры'!$C$7&gt;=0),'Параметры'!$C$7*C300/365,NA())</x:f>
        <x:v>0.00636986301369863</x:v>
      </x:c>
      <x:c r="J300" s="32" t="n">
        <x:f>J299/(1+I300)</x:f>
        <x:v>0.16017796001099102</x:v>
      </x:c>
      <x:c r="K300" s="33" t="n">
        <x:f>IF(AND(ISNUMBER('Параметры'!$C$8),'Параметры'!$C$8&gt;=0),'Параметры'!$C$8*C300/365,NA())</x:f>
        <x:v>0.00636986301369863</x:v>
      </x:c>
      <x:c r="L300" s="32" t="n">
        <x:f>L299/(1+K300)</x:f>
        <x:v>0.16017796001099102</x:v>
      </x:c>
      <x:c r="M300" s="30" t="n">
        <x:f>E300*L300</x:f>
        <x:v>456.65935509333485</x:v>
      </x:c>
      <x:c r="N300" s="30" t="n">
        <x:f>F300*L300</x:f>
        <x:v>1748.547461308781</x:v>
      </x:c>
      <x:c r="O300" s="30" t="n">
        <x:f>G300*L300</x:f>
        <x:v>2205.2068164021157</x:v>
      </x:c>
    </x:row>
    <x:row r="301" ht="21" customHeight="1">
      <x:c r="A301" s="28" t="n">
        <x:v>295</x:v>
      </x:c>
      <x:c r="B301" s="29" t="n">
        <x:v>53773</x:v>
      </x:c>
      <x:c r="C301" s="28" t="n">
        <x:f>B301-B300</x:f>
        <x:v>28</x:v>
      </x:c>
      <x:c r="D301" s="30" t="n">
        <x:f>H300</x:f>
        <x:v>436651.57</x:v>
      </x:c>
      <x:c r="E301" s="30" t="n">
        <x:f>ROUND(D301*I301,2)</x:f>
        <x:v>2512.24</x:v>
      </x:c>
      <x:c r="F301" s="30" t="n">
        <x:f>MIN(D301,'Параметры'!$C$13)</x:f>
        <x:v>10916.28</x:v>
      </x:c>
      <x:c r="G301" s="30" t="n">
        <x:f>ROUND(E301+F301,2)</x:f>
        <x:v>13428.52</x:v>
      </x:c>
      <x:c r="H301" s="30" t="n">
        <x:f>ROUND(D301-F301,2)</x:f>
        <x:v>425735.29</x:v>
      </x:c>
      <x:c r="I301" s="33" t="n">
        <x:f>IF(AND(ISNUMBER('Параметры'!$C$7),'Параметры'!$C$7&gt;=0),'Параметры'!$C$7*C301/365,NA())</x:f>
        <x:v>0.005753424657534247</x:v>
      </x:c>
      <x:c r="J301" s="32" t="n">
        <x:f>J300/(1+I301)</x:f>
        <x:v>0.15926166004906492</x:v>
      </x:c>
      <x:c r="K301" s="33" t="n">
        <x:f>IF(AND(ISNUMBER('Параметры'!$C$8),'Параметры'!$C$8&gt;=0),'Параметры'!$C$8*C301/365,NA())</x:f>
        <x:v>0.005753424657534247</x:v>
      </x:c>
      <x:c r="L301" s="32" t="n">
        <x:f>L300/(1+K301)</x:f>
        <x:v>0.15926166004906492</x:v>
      </x:c>
      <x:c r="M301" s="30" t="n">
        <x:f>E301*L301</x:f>
        <x:v>400.1035128416628</x:v>
      </x:c>
      <x:c r="N301" s="30" t="n">
        <x:f>F301*L301</x:f>
        <x:v>1738.5448743604065</x:v>
      </x:c>
      <x:c r="O301" s="30" t="n">
        <x:f>G301*L301</x:f>
        <x:v>2138.6483872020694</x:v>
      </x:c>
    </x:row>
    <x:row r="302" ht="21" customHeight="1">
      <x:c r="A302" s="28" t="n">
        <x:v>296</x:v>
      </x:c>
      <x:c r="B302" s="29" t="n">
        <x:v>53804</x:v>
      </x:c>
      <x:c r="C302" s="28" t="n">
        <x:f>B302-B301</x:f>
        <x:v>31</x:v>
      </x:c>
      <x:c r="D302" s="30" t="n">
        <x:f>H301</x:f>
        <x:v>425735.29</x:v>
      </x:c>
      <x:c r="E302" s="30" t="n">
        <x:f>ROUND(D302*I302,2)</x:f>
        <x:v>2711.88</x:v>
      </x:c>
      <x:c r="F302" s="30" t="n">
        <x:f>MIN(D302,'Параметры'!$C$13)</x:f>
        <x:v>10916.28</x:v>
      </x:c>
      <x:c r="G302" s="30" t="n">
        <x:f>ROUND(E302+F302,2)</x:f>
        <x:v>13628.16</x:v>
      </x:c>
      <x:c r="H302" s="30" t="n">
        <x:f>ROUND(D302-F302,2)</x:f>
        <x:v>414819.01</x:v>
      </x:c>
      <x:c r="I302" s="33" t="n">
        <x:f>IF(AND(ISNUMBER('Параметры'!$C$7),'Параметры'!$C$7&gt;=0),'Параметры'!$C$7*C302/365,NA())</x:f>
        <x:v>0.00636986301369863</x:v>
      </x:c>
      <x:c r="J302" s="32" t="n">
        <x:f>J301/(1+I302)</x:f>
        <x:v>0.15825360625579174</x:v>
      </x:c>
      <x:c r="K302" s="33" t="n">
        <x:f>IF(AND(ISNUMBER('Параметры'!$C$8),'Параметры'!$C$8&gt;=0),'Параметры'!$C$8*C302/365,NA())</x:f>
        <x:v>0.00636986301369863</x:v>
      </x:c>
      <x:c r="L302" s="32" t="n">
        <x:f>L301/(1+K302)</x:f>
        <x:v>0.15825360625579174</x:v>
      </x:c>
      <x:c r="M302" s="30" t="n">
        <x:f>E302*L302</x:f>
        <x:v>429.16478973295654</x:v>
      </x:c>
      <x:c r="N302" s="30" t="n">
        <x:f>F302*L302</x:f>
        <x:v>1727.5406768979744</x:v>
      </x:c>
      <x:c r="O302" s="30" t="n">
        <x:f>G302*L302</x:f>
        <x:v>2156.705466630931</x:v>
      </x:c>
    </x:row>
    <x:row r="303" ht="21" customHeight="1">
      <x:c r="A303" s="28" t="n">
        <x:v>297</x:v>
      </x:c>
      <x:c r="B303" s="29" t="n">
        <x:v>53834</x:v>
      </x:c>
      <x:c r="C303" s="28" t="n">
        <x:f>B303-B302</x:f>
        <x:v>30</x:v>
      </x:c>
      <x:c r="D303" s="30" t="n">
        <x:f>H302</x:f>
        <x:v>414819.01</x:v>
      </x:c>
      <x:c r="E303" s="30" t="n">
        <x:f>ROUND(D303*I303,2)</x:f>
        <x:v>2557.1</x:v>
      </x:c>
      <x:c r="F303" s="30" t="n">
        <x:f>MIN(D303,'Параметры'!$C$13)</x:f>
        <x:v>10916.28</x:v>
      </x:c>
      <x:c r="G303" s="30" t="n">
        <x:f>ROUND(E303+F303,2)</x:f>
        <x:v>13473.38</x:v>
      </x:c>
      <x:c r="H303" s="30" t="n">
        <x:f>ROUND(D303-F303,2)</x:f>
        <x:v>403902.73</x:v>
      </x:c>
      <x:c r="I303" s="33" t="n">
        <x:f>IF(AND(ISNUMBER('Параметры'!$C$7),'Параметры'!$C$7&gt;=0),'Параметры'!$C$7*C303/365,NA())</x:f>
        <x:v>0.0061643835616438354</x:v>
      </x:c>
      <x:c r="J303" s="32" t="n">
        <x:f>J302/(1+I303)</x:f>
        <x:v>0.15728404706157653</x:v>
      </x:c>
      <x:c r="K303" s="33" t="n">
        <x:f>IF(AND(ISNUMBER('Параметры'!$C$8),'Параметры'!$C$8&gt;=0),'Параметры'!$C$8*C303/365,NA())</x:f>
        <x:v>0.0061643835616438354</x:v>
      </x:c>
      <x:c r="L303" s="32" t="n">
        <x:f>L302/(1+K303)</x:f>
        <x:v>0.15728404706157653</x:v>
      </x:c>
      <x:c r="M303" s="30" t="n">
        <x:f>E303*L303</x:f>
        <x:v>402.19103674115735</x:v>
      </x:c>
      <x:c r="N303" s="30" t="n">
        <x:f>F303*L303</x:f>
        <x:v>1716.9566972573468</x:v>
      </x:c>
      <x:c r="O303" s="30" t="n">
        <x:f>G303*L303</x:f>
        <x:v>2119.147733998504</x:v>
      </x:c>
    </x:row>
    <x:row r="304" ht="21" customHeight="1">
      <x:c r="A304" s="28" t="n">
        <x:v>298</x:v>
      </x:c>
      <x:c r="B304" s="29" t="n">
        <x:v>53865</x:v>
      </x:c>
      <x:c r="C304" s="28" t="n">
        <x:f>B304-B303</x:f>
        <x:v>31</x:v>
      </x:c>
      <x:c r="D304" s="30" t="n">
        <x:f>H303</x:f>
        <x:v>403902.73</x:v>
      </x:c>
      <x:c r="E304" s="30" t="n">
        <x:f>ROUND(D304*I304,2)</x:f>
        <x:v>2572.81</x:v>
      </x:c>
      <x:c r="F304" s="30" t="n">
        <x:f>MIN(D304,'Параметры'!$C$13)</x:f>
        <x:v>10916.28</x:v>
      </x:c>
      <x:c r="G304" s="30" t="n">
        <x:f>ROUND(E304+F304,2)</x:f>
        <x:v>13489.09</x:v>
      </x:c>
      <x:c r="H304" s="30" t="n">
        <x:f>ROUND(D304-F304,2)</x:f>
        <x:v>392986.45</x:v>
      </x:c>
      <x:c r="I304" s="33" t="n">
        <x:f>IF(AND(ISNUMBER('Параметры'!$C$7),'Параметры'!$C$7&gt;=0),'Параметры'!$C$7*C304/365,NA())</x:f>
        <x:v>0.00636986301369863</x:v>
      </x:c>
      <x:c r="J304" s="32" t="n">
        <x:f>J303/(1+I304)</x:f>
        <x:v>0.15628851065806965</x:v>
      </x:c>
      <x:c r="K304" s="33" t="n">
        <x:f>IF(AND(ISNUMBER('Параметры'!$C$8),'Параметры'!$C$8&gt;=0),'Параметры'!$C$8*C304/365,NA())</x:f>
        <x:v>0.00636986301369863</x:v>
      </x:c>
      <x:c r="L304" s="32" t="n">
        <x:f>L303/(1+K304)</x:f>
        <x:v>0.15628851065806965</x:v>
      </x:c>
      <x:c r="M304" s="30" t="n">
        <x:f>E304*L304</x:f>
        <x:v>402.10064310618816</x:v>
      </x:c>
      <x:c r="N304" s="30" t="n">
        <x:f>F304*L304</x:f>
        <x:v>1706.0891431264727</x:v>
      </x:c>
      <x:c r="O304" s="30" t="n">
        <x:f>G304*L304</x:f>
        <x:v>2108.1897862326605</x:v>
      </x:c>
    </x:row>
    <x:row r="305" ht="21" customHeight="1">
      <x:c r="A305" s="28" t="n">
        <x:v>299</x:v>
      </x:c>
      <x:c r="B305" s="29" t="n">
        <x:v>53895</x:v>
      </x:c>
      <x:c r="C305" s="28" t="n">
        <x:f>B305-B304</x:f>
        <x:v>30</x:v>
      </x:c>
      <x:c r="D305" s="30" t="n">
        <x:f>H304</x:f>
        <x:v>392986.45</x:v>
      </x:c>
      <x:c r="E305" s="30" t="n">
        <x:f>ROUND(D305*I305,2)</x:f>
        <x:v>2422.52</x:v>
      </x:c>
      <x:c r="F305" s="30" t="n">
        <x:f>MIN(D305,'Параметры'!$C$13)</x:f>
        <x:v>10916.28</x:v>
      </x:c>
      <x:c r="G305" s="30" t="n">
        <x:f>ROUND(E305+F305,2)</x:f>
        <x:v>13338.8</x:v>
      </x:c>
      <x:c r="H305" s="30" t="n">
        <x:f>ROUND(D305-F305,2)</x:f>
        <x:v>382070.17</x:v>
      </x:c>
      <x:c r="I305" s="33" t="n">
        <x:f>IF(AND(ISNUMBER('Параметры'!$C$7),'Параметры'!$C$7&gt;=0),'Параметры'!$C$7*C305/365,NA())</x:f>
        <x:v>0.0061643835616438354</x:v>
      </x:c>
      <x:c r="J305" s="32" t="n">
        <x:f>J304/(1+I305)</x:f>
        <x:v>0.1553309908514511</x:v>
      </x:c>
      <x:c r="K305" s="33" t="n">
        <x:f>IF(AND(ISNUMBER('Параметры'!$C$8),'Параметры'!$C$8&gt;=0),'Параметры'!$C$8*C305/365,NA())</x:f>
        <x:v>0.0061643835616438354</x:v>
      </x:c>
      <x:c r="L305" s="32" t="n">
        <x:f>L304/(1+K305)</x:f>
        <x:v>0.1553309908514511</x:v>
      </x:c>
      <x:c r="M305" s="30" t="n">
        <x:f>E305*L305</x:f>
        <x:v>376.2924319574573</x:v>
      </x:c>
      <x:c r="N305" s="30" t="n">
        <x:f>F305*L305</x:f>
        <x:v>1695.6365888118787</x:v>
      </x:c>
      <x:c r="O305" s="30" t="n">
        <x:f>G305*L305</x:f>
        <x:v>2071.9290207693357</x:v>
      </x:c>
    </x:row>
    <x:row r="306" ht="21" customHeight="1">
      <x:c r="A306" s="28" t="n">
        <x:v>300</x:v>
      </x:c>
      <x:c r="B306" s="29" t="n">
        <x:v>53926</x:v>
      </x:c>
      <x:c r="C306" s="28" t="n">
        <x:f>B306-B305</x:f>
        <x:v>31</x:v>
      </x:c>
      <x:c r="D306" s="30" t="n">
        <x:f>H305</x:f>
        <x:v>382070.17</x:v>
      </x:c>
      <x:c r="E306" s="30" t="n">
        <x:f>ROUND(D306*I306,2)</x:f>
        <x:v>2433.73</x:v>
      </x:c>
      <x:c r="F306" s="30" t="n">
        <x:f>MIN(D306,'Параметры'!$C$13)</x:f>
        <x:v>10916.28</x:v>
      </x:c>
      <x:c r="G306" s="30" t="n">
        <x:f>ROUND(E306+F306,2)</x:f>
        <x:v>13350.01</x:v>
      </x:c>
      <x:c r="H306" s="30" t="n">
        <x:f>ROUND(D306-F306,2)</x:f>
        <x:v>371153.89</x:v>
      </x:c>
      <x:c r="I306" s="33" t="n">
        <x:f>IF(AND(ISNUMBER('Параметры'!$C$7),'Параметры'!$C$7&gt;=0),'Параметры'!$C$7*C306/365,NA())</x:f>
        <x:v>0.00636986301369863</x:v>
      </x:c>
      <x:c r="J306" s="32" t="n">
        <x:f>J305/(1+I306)</x:f>
        <x:v>0.154347816404491</x:v>
      </x:c>
      <x:c r="K306" s="33" t="n">
        <x:f>IF(AND(ISNUMBER('Параметры'!$C$8),'Параметры'!$C$8&gt;=0),'Параметры'!$C$8*C306/365,NA())</x:f>
        <x:v>0.00636986301369863</x:v>
      </x:c>
      <x:c r="L306" s="32" t="n">
        <x:f>L305/(1+K306)</x:f>
        <x:v>0.154347816404491</x:v>
      </x:c>
      <x:c r="M306" s="30" t="n">
        <x:f>E306*L306</x:f>
        <x:v>375.64091121810185</x:v>
      </x:c>
      <x:c r="N306" s="30" t="n">
        <x:f>F306*L306</x:f>
        <x:v>1684.903981260017</x:v>
      </x:c>
      <x:c r="O306" s="30" t="n">
        <x:f>G306*L306</x:f>
        <x:v>2060.544892478119</x:v>
      </x:c>
    </x:row>
    <x:row r="307" ht="21" customHeight="1">
      <x:c r="A307" s="28" t="n">
        <x:v>301</x:v>
      </x:c>
      <x:c r="B307" s="29" t="n">
        <x:v>53957</x:v>
      </x:c>
      <x:c r="C307" s="28" t="n">
        <x:f>B307-B306</x:f>
        <x:v>31</x:v>
      </x:c>
      <x:c r="D307" s="30" t="n">
        <x:f>H306</x:f>
        <x:v>371153.89</x:v>
      </x:c>
      <x:c r="E307" s="30" t="n">
        <x:f>ROUND(D307*I307,2)</x:f>
        <x:v>2364.2</x:v>
      </x:c>
      <x:c r="F307" s="30" t="n">
        <x:f>MIN(D307,'Параметры'!$C$13)</x:f>
        <x:v>10916.28</x:v>
      </x:c>
      <x:c r="G307" s="30" t="n">
        <x:f>ROUND(E307+F307,2)</x:f>
        <x:v>13280.48</x:v>
      </x:c>
      <x:c r="H307" s="30" t="n">
        <x:f>ROUND(D307-F307,2)</x:f>
        <x:v>360237.61</x:v>
      </x:c>
      <x:c r="I307" s="33" t="n">
        <x:f>IF(AND(ISNUMBER('Параметры'!$C$7),'Параметры'!$C$7&gt;=0),'Параметры'!$C$7*C307/365,NA())</x:f>
        <x:v>0.00636986301369863</x:v>
      </x:c>
      <x:c r="J307" s="32" t="n">
        <x:f>J306/(1+I307)</x:f>
        <x:v>0.15337086500412228</x:v>
      </x:c>
      <x:c r="K307" s="33" t="n">
        <x:f>IF(AND(ISNUMBER('Параметры'!$C$8),'Параметры'!$C$8&gt;=0),'Параметры'!$C$8*C307/365,NA())</x:f>
        <x:v>0.00636986301369863</x:v>
      </x:c>
      <x:c r="L307" s="32" t="n">
        <x:f>L306/(1+K307)</x:f>
        <x:v>0.15337086500412228</x:v>
      </x:c>
      <x:c r="M307" s="30" t="n">
        <x:f>E307*L307</x:f>
        <x:v>362.59939904274586</x:v>
      </x:c>
      <x:c r="N307" s="30" t="n">
        <x:f>F307*L307</x:f>
        <x:v>1674.2393062272001</x:v>
      </x:c>
      <x:c r="O307" s="30" t="n">
        <x:f>G307*L307</x:f>
        <x:v>2036.8387052699459</x:v>
      </x:c>
    </x:row>
    <x:row r="308" ht="21" customHeight="1">
      <x:c r="A308" s="28" t="n">
        <x:v>302</x:v>
      </x:c>
      <x:c r="B308" s="29" t="n">
        <x:v>53987</x:v>
      </x:c>
      <x:c r="C308" s="28" t="n">
        <x:f>B308-B307</x:f>
        <x:v>30</x:v>
      </x:c>
      <x:c r="D308" s="30" t="n">
        <x:f>H307</x:f>
        <x:v>360237.61</x:v>
      </x:c>
      <x:c r="E308" s="30" t="n">
        <x:f>ROUND(D308*I308,2)</x:f>
        <x:v>2220.64</x:v>
      </x:c>
      <x:c r="F308" s="30" t="n">
        <x:f>MIN(D308,'Параметры'!$C$13)</x:f>
        <x:v>10916.28</x:v>
      </x:c>
      <x:c r="G308" s="30" t="n">
        <x:f>ROUND(E308+F308,2)</x:f>
        <x:v>13136.92</x:v>
      </x:c>
      <x:c r="H308" s="30" t="n">
        <x:f>ROUND(D308-F308,2)</x:f>
        <x:v>349321.33</x:v>
      </x:c>
      <x:c r="I308" s="33" t="n">
        <x:f>IF(AND(ISNUMBER('Параметры'!$C$7),'Параметры'!$C$7&gt;=0),'Параметры'!$C$7*C308/365,NA())</x:f>
        <x:v>0.0061643835616438354</x:v>
      </x:c>
      <x:c r="J308" s="32" t="n">
        <x:f>J307/(1+I308)</x:f>
        <x:v>0.15243122049422636</x:v>
      </x:c>
      <x:c r="K308" s="33" t="n">
        <x:f>IF(AND(ISNUMBER('Параметры'!$C$8),'Параметры'!$C$8&gt;=0),'Параметры'!$C$8*C308/365,NA())</x:f>
        <x:v>0.0061643835616438354</x:v>
      </x:c>
      <x:c r="L308" s="32" t="n">
        <x:f>L307/(1+K308)</x:f>
        <x:v>0.15243122049422636</x:v>
      </x:c>
      <x:c r="M308" s="30" t="n">
        <x:f>E308*L308</x:f>
        <x:v>338.4948654782988</x:v>
      </x:c>
      <x:c r="N308" s="30" t="n">
        <x:f>F308*L308</x:f>
        <x:v>1663.9818836567135</x:v>
      </x:c>
      <x:c r="O308" s="30" t="n">
        <x:f>G308*L308</x:f>
        <x:v>2002.4767491350121</x:v>
      </x:c>
    </x:row>
    <x:row r="309" ht="21" customHeight="1">
      <x:c r="A309" s="28" t="n">
        <x:v>303</x:v>
      </x:c>
      <x:c r="B309" s="29" t="n">
        <x:v>54018</x:v>
      </x:c>
      <x:c r="C309" s="28" t="n">
        <x:f>B309-B308</x:f>
        <x:v>31</x:v>
      </x:c>
      <x:c r="D309" s="30" t="n">
        <x:f>H308</x:f>
        <x:v>349321.33</x:v>
      </x:c>
      <x:c r="E309" s="30" t="n">
        <x:f>ROUND(D309*I309,2)</x:f>
        <x:v>2225.13</x:v>
      </x:c>
      <x:c r="F309" s="30" t="n">
        <x:f>MIN(D309,'Параметры'!$C$13)</x:f>
        <x:v>10916.28</x:v>
      </x:c>
      <x:c r="G309" s="30" t="n">
        <x:f>ROUND(E309+F309,2)</x:f>
        <x:v>13141.41</x:v>
      </x:c>
      <x:c r="H309" s="30" t="n">
        <x:f>ROUND(D309-F309,2)</x:f>
        <x:v>338405.05</x:v>
      </x:c>
      <x:c r="I309" s="33" t="n">
        <x:f>IF(AND(ISNUMBER('Параметры'!$C$7),'Параметры'!$C$7&gt;=0),'Параметры'!$C$7*C309/365,NA())</x:f>
        <x:v>0.00636986301369863</x:v>
      </x:c>
      <x:c r="J309" s="32" t="n">
        <x:f>J308/(1+I309)</x:f>
        <x:v>0.15146640027330735</x:v>
      </x:c>
      <x:c r="K309" s="33" t="n">
        <x:f>IF(AND(ISNUMBER('Параметры'!$C$8),'Параметры'!$C$8&gt;=0),'Параметры'!$C$8*C309/365,NA())</x:f>
        <x:v>0.00636986301369863</x:v>
      </x:c>
      <x:c r="L309" s="32" t="n">
        <x:f>L308/(1+K309)</x:f>
        <x:v>0.15146640027330735</x:v>
      </x:c>
      <x:c r="M309" s="30" t="n">
        <x:f>E309*L309</x:f>
        <x:v>337.0324312401444</x:v>
      </x:c>
      <x:c r="N309" s="30" t="n">
        <x:f>F309*L309</x:f>
        <x:v>1653.4496359754996</x:v>
      </x:c>
      <x:c r="O309" s="30" t="n">
        <x:f>G309*L309</x:f>
        <x:v>1990.4820672156438</x:v>
      </x:c>
    </x:row>
    <x:row r="310" ht="21" customHeight="1">
      <x:c r="A310" s="28" t="n">
        <x:v>304</x:v>
      </x:c>
      <x:c r="B310" s="29" t="n">
        <x:v>54048</x:v>
      </x:c>
      <x:c r="C310" s="28" t="n">
        <x:f>B310-B309</x:f>
        <x:v>30</x:v>
      </x:c>
      <x:c r="D310" s="30" t="n">
        <x:f>H309</x:f>
        <x:v>338405.05</x:v>
      </x:c>
      <x:c r="E310" s="30" t="n">
        <x:f>ROUND(D310*I310,2)</x:f>
        <x:v>2086.06</x:v>
      </x:c>
      <x:c r="F310" s="30" t="n">
        <x:f>MIN(D310,'Параметры'!$C$13)</x:f>
        <x:v>10916.28</x:v>
      </x:c>
      <x:c r="G310" s="30" t="n">
        <x:f>ROUND(E310+F310,2)</x:f>
        <x:v>13002.34</x:v>
      </x:c>
      <x:c r="H310" s="30" t="n">
        <x:f>ROUND(D310-F310,2)</x:f>
        <x:v>327488.77</x:v>
      </x:c>
      <x:c r="I310" s="33" t="n">
        <x:f>IF(AND(ISNUMBER('Параметры'!$C$7),'Параметры'!$C$7&gt;=0),'Параметры'!$C$7*C310/365,NA())</x:f>
        <x:v>0.0061643835616438354</x:v>
      </x:c>
      <x:c r="J310" s="32" t="n">
        <x:f>J309/(1+I310)</x:f>
        <x:v>0.15053842368892356</x:v>
      </x:c>
      <x:c r="K310" s="33" t="n">
        <x:f>IF(AND(ISNUMBER('Параметры'!$C$8),'Параметры'!$C$8&gt;=0),'Параметры'!$C$8*C310/365,NA())</x:f>
        <x:v>0.0061643835616438354</x:v>
      </x:c>
      <x:c r="L310" s="32" t="n">
        <x:f>L309/(1+K310)</x:f>
        <x:v>0.15053842368892356</x:v>
      </x:c>
      <x:c r="M310" s="30" t="n">
        <x:f>E310*L310</x:f>
        <x:v>314.03218412051586</x:v>
      </x:c>
      <x:c r="N310" s="30" t="n">
        <x:f>F310*L310</x:f>
        <x:v>1643.3195837469225</x:v>
      </x:c>
      <x:c r="O310" s="30" t="n">
        <x:f>G310*L310</x:f>
        <x:v>1957.3517678674384</x:v>
      </x:c>
    </x:row>
    <x:row r="311" ht="21" customHeight="1">
      <x:c r="A311" s="28" t="n">
        <x:v>305</x:v>
      </x:c>
      <x:c r="B311" s="29" t="n">
        <x:v>54079</x:v>
      </x:c>
      <x:c r="C311" s="28" t="n">
        <x:f>B311-B310</x:f>
        <x:v>31</x:v>
      </x:c>
      <x:c r="D311" s="30" t="n">
        <x:f>H310</x:f>
        <x:v>327488.77</x:v>
      </x:c>
      <x:c r="E311" s="30" t="n">
        <x:f>ROUND(D311*I311,2)</x:f>
        <x:v>2086.06</x:v>
      </x:c>
      <x:c r="F311" s="30" t="n">
        <x:f>MIN(D311,'Параметры'!$C$13)</x:f>
        <x:v>10916.28</x:v>
      </x:c>
      <x:c r="G311" s="30" t="n">
        <x:f>ROUND(E311+F311,2)</x:f>
        <x:v>13002.34</x:v>
      </x:c>
      <x:c r="H311" s="30" t="n">
        <x:f>ROUND(D311-F311,2)</x:f>
        <x:v>316572.49</x:v>
      </x:c>
      <x:c r="I311" s="33" t="n">
        <x:f>IF(AND(ISNUMBER('Параметры'!$C$7),'Параметры'!$C$7&gt;=0),'Параметры'!$C$7*C311/365,NA())</x:f>
        <x:v>0.00636986301369863</x:v>
      </x:c>
      <x:c r="J311" s="32" t="n">
        <x:f>J310/(1+I311)</x:f>
        <x:v>0.14958558400995603</x:v>
      </x:c>
      <x:c r="K311" s="33" t="n">
        <x:f>IF(AND(ISNUMBER('Параметры'!$C$8),'Параметры'!$C$8&gt;=0),'Параметры'!$C$8*C311/365,NA())</x:f>
        <x:v>0.00636986301369863</x:v>
      </x:c>
      <x:c r="L311" s="32" t="n">
        <x:f>L310/(1+K311)</x:f>
        <x:v>0.14958558400995603</x:v>
      </x:c>
      <x:c r="M311" s="30" t="n">
        <x:f>E311*L311</x:f>
        <x:v>312.0445033798089</x:v>
      </x:c>
      <x:c r="N311" s="30" t="n">
        <x:f>F311*L311</x:f>
        <x:v>1632.9181190162028</x:v>
      </x:c>
      <x:c r="O311" s="30" t="n">
        <x:f>G311*L311</x:f>
        <x:v>1944.9626223960117</x:v>
      </x:c>
    </x:row>
    <x:row r="312" ht="21" customHeight="1">
      <x:c r="A312" s="28" t="n">
        <x:v>306</x:v>
      </x:c>
      <x:c r="B312" s="29" t="n">
        <x:v>54110</x:v>
      </x:c>
      <x:c r="C312" s="28" t="n">
        <x:f>B312-B311</x:f>
        <x:v>31</x:v>
      </x:c>
      <x:c r="D312" s="30" t="n">
        <x:f>H311</x:f>
        <x:v>316572.49</x:v>
      </x:c>
      <x:c r="E312" s="30" t="n">
        <x:f>ROUND(D312*I312,2)</x:f>
        <x:v>2016.52</x:v>
      </x:c>
      <x:c r="F312" s="30" t="n">
        <x:f>MIN(D312,'Параметры'!$C$13)</x:f>
        <x:v>10916.28</x:v>
      </x:c>
      <x:c r="G312" s="30" t="n">
        <x:f>ROUND(E312+F312,2)</x:f>
        <x:v>12932.8</x:v>
      </x:c>
      <x:c r="H312" s="30" t="n">
        <x:f>ROUND(D312-F312,2)</x:f>
        <x:v>305656.21</x:v>
      </x:c>
      <x:c r="I312" s="33" t="n">
        <x:f>IF(AND(ISNUMBER('Параметры'!$C$7),'Параметры'!$C$7&gt;=0),'Параметры'!$C$7*C312/365,NA())</x:f>
        <x:v>0.00636986301369863</x:v>
      </x:c>
      <x:c r="J312" s="32" t="n">
        <x:f>J311/(1+I312)</x:f>
        <x:v>0.1486387753723105</x:v>
      </x:c>
      <x:c r="K312" s="33" t="n">
        <x:f>IF(AND(ISNUMBER('Параметры'!$C$8),'Параметры'!$C$8&gt;=0),'Параметры'!$C$8*C312/365,NA())</x:f>
        <x:v>0.00636986301369863</x:v>
      </x:c>
      <x:c r="L312" s="32" t="n">
        <x:f>L311/(1+K312)</x:f>
        <x:v>0.1486387753723105</x:v>
      </x:c>
      <x:c r="M312" s="30" t="n">
        <x:f>E312*L312</x:f>
        <x:v>299.73306331377154</x:v>
      </x:c>
      <x:c r="N312" s="30" t="n">
        <x:f>F312*L312</x:f>
        <x:v>1622.5824908212455</x:v>
      </x:c>
      <x:c r="O312" s="30" t="n">
        <x:f>G312*L312</x:f>
        <x:v>1922.315554135017</x:v>
      </x:c>
    </x:row>
    <x:row r="313" ht="21" customHeight="1">
      <x:c r="A313" s="28" t="n">
        <x:v>307</x:v>
      </x:c>
      <x:c r="B313" s="29" t="n">
        <x:v>54139</x:v>
      </x:c>
      <x:c r="C313" s="28" t="n">
        <x:f>B313-B312</x:f>
        <x:v>29</x:v>
      </x:c>
      <x:c r="D313" s="30" t="n">
        <x:f>H312</x:f>
        <x:v>305656.21</x:v>
      </x:c>
      <x:c r="E313" s="30" t="n">
        <x:f>ROUND(D313*I313,2)</x:f>
        <x:v>1821.38</x:v>
      </x:c>
      <x:c r="F313" s="30" t="n">
        <x:f>MIN(D313,'Параметры'!$C$13)</x:f>
        <x:v>10916.28</x:v>
      </x:c>
      <x:c r="G313" s="30" t="n">
        <x:f>ROUND(E313+F313,2)</x:f>
        <x:v>12737.66</x:v>
      </x:c>
      <x:c r="H313" s="30" t="n">
        <x:f>ROUND(D313-F313,2)</x:f>
        <x:v>294739.93</x:v>
      </x:c>
      <x:c r="I313" s="33" t="n">
        <x:f>IF(AND(ISNUMBER('Параметры'!$C$7),'Параметры'!$C$7&gt;=0),'Параметры'!$C$7*C313/365,NA())</x:f>
        <x:v>0.00595890410958904</x:v>
      </x:c>
      <x:c r="J313" s="32" t="n">
        <x:f>J312/(1+I313)</x:f>
        <x:v>0.1477582978440616</x:v>
      </x:c>
      <x:c r="K313" s="33" t="n">
        <x:f>IF(AND(ISNUMBER('Параметры'!$C$8),'Параметры'!$C$8&gt;=0),'Параметры'!$C$8*C313/365,NA())</x:f>
        <x:v>0.00595890410958904</x:v>
      </x:c>
      <x:c r="L313" s="32" t="n">
        <x:f>L312/(1+K313)</x:f>
        <x:v>0.1477582978440616</x:v>
      </x:c>
      <x:c r="M313" s="30" t="n">
        <x:f>E313*L313</x:f>
        <x:v>269.124008527217</x:v>
      </x:c>
      <x:c r="N313" s="30" t="n">
        <x:f>F313*L313</x:f>
        <x:v>1612.970951589173</x:v>
      </x:c>
      <x:c r="O313" s="30" t="n">
        <x:f>G313*L313</x:f>
        <x:v>1882.0949601163898</x:v>
      </x:c>
    </x:row>
    <x:row r="314" ht="21" customHeight="1">
      <x:c r="A314" s="28" t="n">
        <x:v>308</x:v>
      </x:c>
      <x:c r="B314" s="29" t="n">
        <x:v>54170</x:v>
      </x:c>
      <x:c r="C314" s="28" t="n">
        <x:f>B314-B313</x:f>
        <x:v>31</x:v>
      </x:c>
      <x:c r="D314" s="30" t="n">
        <x:f>H313</x:f>
        <x:v>294739.93</x:v>
      </x:c>
      <x:c r="E314" s="30" t="n">
        <x:f>ROUND(D314*I314,2)</x:f>
        <x:v>1877.45</x:v>
      </x:c>
      <x:c r="F314" s="30" t="n">
        <x:f>MIN(D314,'Параметры'!$C$13)</x:f>
        <x:v>10916.28</x:v>
      </x:c>
      <x:c r="G314" s="30" t="n">
        <x:f>ROUND(E314+F314,2)</x:f>
        <x:v>12793.73</x:v>
      </x:c>
      <x:c r="H314" s="30" t="n">
        <x:f>ROUND(D314-F314,2)</x:f>
        <x:v>283823.65</x:v>
      </x:c>
      <x:c r="I314" s="33" t="n">
        <x:f>IF(AND(ISNUMBER('Параметры'!$C$7),'Параметры'!$C$7&gt;=0),'Параметры'!$C$7*C314/365,NA())</x:f>
        <x:v>0.00636986301369863</x:v>
      </x:c>
      <x:c r="J314" s="32" t="n">
        <x:f>J313/(1+I314)</x:f>
        <x:v>0.14682305509584834</x:v>
      </x:c>
      <x:c r="K314" s="33" t="n">
        <x:f>IF(AND(ISNUMBER('Параметры'!$C$8),'Параметры'!$C$8&gt;=0),'Параметры'!$C$8*C314/365,NA())</x:f>
        <x:v>0.00636986301369863</x:v>
      </x:c>
      <x:c r="L314" s="32" t="n">
        <x:f>L313/(1+K314)</x:f>
        <x:v>0.14682305509584834</x:v>
      </x:c>
      <x:c r="M314" s="30" t="n">
        <x:f>E314*L314</x:f>
        <x:v>275.6529447897005</x:v>
      </x:c>
      <x:c r="N314" s="30" t="n">
        <x:f>F314*L314</x:f>
        <x:v>1602.7615798817073</x:v>
      </x:c>
      <x:c r="O314" s="30" t="n">
        <x:f>G314*L314</x:f>
        <x:v>1878.4145246714077</x:v>
      </x:c>
    </x:row>
    <x:row r="315" ht="21" customHeight="1">
      <x:c r="A315" s="28" t="n">
        <x:v>309</x:v>
      </x:c>
      <x:c r="B315" s="29" t="n">
        <x:v>54200</x:v>
      </x:c>
      <x:c r="C315" s="28" t="n">
        <x:f>B315-B314</x:f>
        <x:v>30</x:v>
      </x:c>
      <x:c r="D315" s="30" t="n">
        <x:f>H314</x:f>
        <x:v>283823.65</x:v>
      </x:c>
      <x:c r="E315" s="30" t="n">
        <x:f>ROUND(D315*I315,2)</x:f>
        <x:v>1749.6</x:v>
      </x:c>
      <x:c r="F315" s="30" t="n">
        <x:f>MIN(D315,'Параметры'!$C$13)</x:f>
        <x:v>10916.28</x:v>
      </x:c>
      <x:c r="G315" s="30" t="n">
        <x:f>ROUND(E315+F315,2)</x:f>
        <x:v>12665.88</x:v>
      </x:c>
      <x:c r="H315" s="30" t="n">
        <x:f>ROUND(D315-F315,2)</x:f>
        <x:v>272907.37</x:v>
      </x:c>
      <x:c r="I315" s="33" t="n">
        <x:f>IF(AND(ISNUMBER('Параметры'!$C$7),'Параметры'!$C$7&gt;=0),'Параметры'!$C$7*C315/365,NA())</x:f>
        <x:v>0.0061643835616438354</x:v>
      </x:c>
      <x:c r="J315" s="32" t="n">
        <x:f>J314/(1+I315)</x:f>
        <x:v>0.14592352650778664</x:v>
      </x:c>
      <x:c r="K315" s="33" t="n">
        <x:f>IF(AND(ISNUMBER('Параметры'!$C$8),'Параметры'!$C$8&gt;=0),'Параметры'!$C$8*C315/365,NA())</x:f>
        <x:v>0.0061643835616438354</x:v>
      </x:c>
      <x:c r="L315" s="32" t="n">
        <x:f>L314/(1+K315)</x:f>
        <x:v>0.14592352650778664</x:v>
      </x:c>
      <x:c r="M315" s="30" t="n">
        <x:f>E315*L315</x:f>
        <x:v>255.3078019780235</x:v>
      </x:c>
      <x:c r="N315" s="30" t="n">
        <x:f>F315*L315</x:f>
        <x:v>1592.9420739464213</x:v>
      </x:c>
      <x:c r="O315" s="30" t="n">
        <x:f>G315*L315</x:f>
        <x:v>1848.2498759244445</x:v>
      </x:c>
    </x:row>
    <x:row r="316" ht="21" customHeight="1">
      <x:c r="A316" s="28" t="n">
        <x:v>310</x:v>
      </x:c>
      <x:c r="B316" s="29" t="n">
        <x:v>54231</x:v>
      </x:c>
      <x:c r="C316" s="28" t="n">
        <x:f>B316-B315</x:f>
        <x:v>31</x:v>
      </x:c>
      <x:c r="D316" s="30" t="n">
        <x:f>H315</x:f>
        <x:v>272907.37</x:v>
      </x:c>
      <x:c r="E316" s="30" t="n">
        <x:f>ROUND(D316*I316,2)</x:f>
        <x:v>1738.38</x:v>
      </x:c>
      <x:c r="F316" s="30" t="n">
        <x:f>MIN(D316,'Параметры'!$C$13)</x:f>
        <x:v>10916.28</x:v>
      </x:c>
      <x:c r="G316" s="30" t="n">
        <x:f>ROUND(E316+F316,2)</x:f>
        <x:v>12654.66</x:v>
      </x:c>
      <x:c r="H316" s="30" t="n">
        <x:f>ROUND(D316-F316,2)</x:f>
        <x:v>261991.09</x:v>
      </x:c>
      <x:c r="I316" s="33" t="n">
        <x:f>IF(AND(ISNUMBER('Параметры'!$C$7),'Параметры'!$C$7&gt;=0),'Параметры'!$C$7*C316/365,NA())</x:f>
        <x:v>0.00636986301369863</x:v>
      </x:c>
      <x:c r="J316" s="32" t="n">
        <x:f>J315/(1+I316)</x:f>
        <x:v>0.144999897026726</x:v>
      </x:c>
      <x:c r="K316" s="33" t="n">
        <x:f>IF(AND(ISNUMBER('Параметры'!$C$8),'Параметры'!$C$8&gt;=0),'Параметры'!$C$8*C316/365,NA())</x:f>
        <x:v>0.00636986301369863</x:v>
      </x:c>
      <x:c r="L316" s="32" t="n">
        <x:f>L315/(1+K316)</x:f>
        <x:v>0.144999897026726</x:v>
      </x:c>
      <x:c r="M316" s="30" t="n">
        <x:f>E316*L316</x:f>
        <x:v>252.06492099331996</x:v>
      </x:c>
      <x:c r="N316" s="30" t="n">
        <x:f>F316*L316</x:f>
        <x:v>1582.8594759149087</x:v>
      </x:c>
      <x:c r="O316" s="30" t="n">
        <x:f>G316*L316</x:f>
        <x:v>1834.9243969082283</x:v>
      </x:c>
    </x:row>
    <x:row r="317" ht="21" customHeight="1">
      <x:c r="A317" s="28" t="n">
        <x:v>311</x:v>
      </x:c>
      <x:c r="B317" s="29" t="n">
        <x:v>54261</x:v>
      </x:c>
      <x:c r="C317" s="28" t="n">
        <x:f>B317-B316</x:f>
        <x:v>30</x:v>
      </x:c>
      <x:c r="D317" s="30" t="n">
        <x:f>H316</x:f>
        <x:v>261991.09</x:v>
      </x:c>
      <x:c r="E317" s="30" t="n">
        <x:f>ROUND(D317*I317,2)</x:f>
        <x:v>1615.01</x:v>
      </x:c>
      <x:c r="F317" s="30" t="n">
        <x:f>MIN(D317,'Параметры'!$C$13)</x:f>
        <x:v>10916.28</x:v>
      </x:c>
      <x:c r="G317" s="30" t="n">
        <x:f>ROUND(E317+F317,2)</x:f>
        <x:v>12531.29</x:v>
      </x:c>
      <x:c r="H317" s="30" t="n">
        <x:f>ROUND(D317-F317,2)</x:f>
        <x:v>251074.81</x:v>
      </x:c>
      <x:c r="I317" s="33" t="n">
        <x:f>IF(AND(ISNUMBER('Параметры'!$C$7),'Параметры'!$C$7&gt;=0),'Параметры'!$C$7*C317/365,NA())</x:f>
        <x:v>0.0061643835616438354</x:v>
      </x:c>
      <x:c r="J317" s="32" t="n">
        <x:f>J316/(1+I317)</x:f>
        <x:v>0.14411153822942135</x:v>
      </x:c>
      <x:c r="K317" s="33" t="n">
        <x:f>IF(AND(ISNUMBER('Параметры'!$C$8),'Параметры'!$C$8&gt;=0),'Параметры'!$C$8*C317/365,NA())</x:f>
        <x:v>0.0061643835616438354</x:v>
      </x:c>
      <x:c r="L317" s="32" t="n">
        <x:f>L316/(1+K317)</x:f>
        <x:v>0.14411153822942135</x:v>
      </x:c>
      <x:c r="M317" s="30" t="n">
        <x:f>E317*L317</x:f>
        <x:v>232.7415753558978</x:v>
      </x:c>
      <x:c r="N317" s="30" t="n">
        <x:f>F317*L317</x:f>
        <x:v>1573.1619025430678</x:v>
      </x:c>
      <x:c r="O317" s="30" t="n">
        <x:f>G317*L317</x:f>
        <x:v>1805.9034778989655</x:v>
      </x:c>
    </x:row>
    <x:row r="318" ht="21" customHeight="1">
      <x:c r="A318" s="28" t="n">
        <x:v>312</x:v>
      </x:c>
      <x:c r="B318" s="29" t="n">
        <x:v>54292</x:v>
      </x:c>
      <x:c r="C318" s="28" t="n">
        <x:f>B318-B317</x:f>
        <x:v>31</x:v>
      </x:c>
      <x:c r="D318" s="30" t="n">
        <x:f>H317</x:f>
        <x:v>251074.81</x:v>
      </x:c>
      <x:c r="E318" s="30" t="n">
        <x:f>ROUND(D318*I318,2)</x:f>
        <x:v>1599.31</x:v>
      </x:c>
      <x:c r="F318" s="30" t="n">
        <x:f>MIN(D318,'Параметры'!$C$13)</x:f>
        <x:v>10916.28</x:v>
      </x:c>
      <x:c r="G318" s="30" t="n">
        <x:f>ROUND(E318+F318,2)</x:f>
        <x:v>12515.59</x:v>
      </x:c>
      <x:c r="H318" s="30" t="n">
        <x:f>ROUND(D318-F318,2)</x:f>
        <x:v>240158.53</x:v>
      </x:c>
      <x:c r="I318" s="33" t="n">
        <x:f>IF(AND(ISNUMBER('Параметры'!$C$7),'Параметры'!$C$7&gt;=0),'Параметры'!$C$7*C318/365,NA())</x:f>
        <x:v>0.00636986301369863</x:v>
      </x:c>
      <x:c r="J318" s="32" t="n">
        <x:f>J317/(1+I318)</x:f>
        <x:v>0.14319937780913033</x:v>
      </x:c>
      <x:c r="K318" s="33" t="n">
        <x:f>IF(AND(ISNUMBER('Параметры'!$C$8),'Параметры'!$C$8&gt;=0),'Параметры'!$C$8*C318/365,NA())</x:f>
        <x:v>0.00636986301369863</x:v>
      </x:c>
      <x:c r="L318" s="32" t="n">
        <x:f>L317/(1+K318)</x:f>
        <x:v>0.14319937780913033</x:v>
      </x:c>
      <x:c r="M318" s="30" t="n">
        <x:f>E318*L318</x:f>
        <x:v>229.02019692392022</x:v>
      </x:c>
      <x:c r="N318" s="30" t="n">
        <x:f>F318*L318</x:f>
        <x:v>1563.2045039902534</x:v>
      </x:c>
      <x:c r="O318" s="30" t="n">
        <x:f>G318*L318</x:f>
        <x:v>1792.2247009141736</x:v>
      </x:c>
    </x:row>
    <x:row r="319" ht="21" customHeight="1">
      <x:c r="A319" s="28" t="n">
        <x:v>313</x:v>
      </x:c>
      <x:c r="B319" s="29" t="n">
        <x:v>54323</x:v>
      </x:c>
      <x:c r="C319" s="28" t="n">
        <x:f>B319-B318</x:f>
        <x:v>31</x:v>
      </x:c>
      <x:c r="D319" s="30" t="n">
        <x:f>H318</x:f>
        <x:v>240158.53</x:v>
      </x:c>
      <x:c r="E319" s="30" t="n">
        <x:f>ROUND(D319*I319,2)</x:f>
        <x:v>1529.78</x:v>
      </x:c>
      <x:c r="F319" s="30" t="n">
        <x:f>MIN(D319,'Параметры'!$C$13)</x:f>
        <x:v>10916.28</x:v>
      </x:c>
      <x:c r="G319" s="30" t="n">
        <x:f>ROUND(E319+F319,2)</x:f>
        <x:v>12446.06</x:v>
      </x:c>
      <x:c r="H319" s="30" t="n">
        <x:f>ROUND(D319-F319,2)</x:f>
        <x:v>229242.25</x:v>
      </x:c>
      <x:c r="I319" s="33" t="n">
        <x:f>IF(AND(ISNUMBER('Параметры'!$C$7),'Параметры'!$C$7&gt;=0),'Параметры'!$C$7*C319/365,NA())</x:f>
        <x:v>0.00636986301369863</x:v>
      </x:c>
      <x:c r="J319" s="32" t="n">
        <x:f>J318/(1+I319)</x:f>
        <x:v>0.1422929909489759</x:v>
      </x:c>
      <x:c r="K319" s="33" t="n">
        <x:f>IF(AND(ISNUMBER('Параметры'!$C$8),'Параметры'!$C$8&gt;=0),'Параметры'!$C$8*C319/365,NA())</x:f>
        <x:v>0.00636986301369863</x:v>
      </x:c>
      <x:c r="L319" s="32" t="n">
        <x:f>L318/(1+K319)</x:f>
        <x:v>0.1422929909489759</x:v>
      </x:c>
      <x:c r="M319" s="30" t="n">
        <x:f>E319*L319</x:f>
        <x:v>217.67697169392434</x:v>
      </x:c>
      <x:c r="N319" s="30" t="n">
        <x:f>F319*L319</x:f>
        <x:v>1553.3101312364868</x:v>
      </x:c>
      <x:c r="O319" s="30" t="n">
        <x:f>G319*L319</x:f>
        <x:v>1770.987102930411</x:v>
      </x:c>
    </x:row>
    <x:row r="320" ht="21" customHeight="1">
      <x:c r="A320" s="28" t="n">
        <x:v>314</x:v>
      </x:c>
      <x:c r="B320" s="29" t="n">
        <x:v>54353</x:v>
      </x:c>
      <x:c r="C320" s="28" t="n">
        <x:f>B320-B319</x:f>
        <x:v>30</x:v>
      </x:c>
      <x:c r="D320" s="30" t="n">
        <x:f>H319</x:f>
        <x:v>229242.25</x:v>
      </x:c>
      <x:c r="E320" s="30" t="n">
        <x:f>ROUND(D320*I320,2)</x:f>
        <x:v>1413.14</x:v>
      </x:c>
      <x:c r="F320" s="30" t="n">
        <x:f>MIN(D320,'Параметры'!$C$13)</x:f>
        <x:v>10916.28</x:v>
      </x:c>
      <x:c r="G320" s="30" t="n">
        <x:f>ROUND(E320+F320,2)</x:f>
        <x:v>12329.42</x:v>
      </x:c>
      <x:c r="H320" s="30" t="n">
        <x:f>ROUND(D320-F320,2)</x:f>
        <x:v>218325.97</x:v>
      </x:c>
      <x:c r="I320" s="33" t="n">
        <x:f>IF(AND(ISNUMBER('Параметры'!$C$7),'Параметры'!$C$7&gt;=0),'Параметры'!$C$7*C320/365,NA())</x:f>
        <x:v>0.0061643835616438354</x:v>
      </x:c>
      <x:c r="J320" s="32" t="n">
        <x:f>J319/(1+I320)</x:f>
        <x:v>0.14142121632777727</x:v>
      </x:c>
      <x:c r="K320" s="33" t="n">
        <x:f>IF(AND(ISNUMBER('Параметры'!$C$8),'Параметры'!$C$8&gt;=0),'Параметры'!$C$8*C320/365,NA())</x:f>
        <x:v>0.0061643835616438354</x:v>
      </x:c>
      <x:c r="L320" s="32" t="n">
        <x:f>L319/(1+K320)</x:f>
        <x:v>0.14142121632777727</x:v>
      </x:c>
      <x:c r="M320" s="30" t="n">
        <x:f>E320*L320</x:f>
        <x:v>199.8479776414352</x:v>
      </x:c>
      <x:c r="N320" s="30" t="n">
        <x:f>F320*L320</x:f>
        <x:v>1543.7935953745884</x:v>
      </x:c>
      <x:c r="O320" s="30" t="n">
        <x:f>G320*L320</x:f>
        <x:v>1743.6415730160236</x:v>
      </x:c>
    </x:row>
    <x:row r="321" ht="21" customHeight="1">
      <x:c r="A321" s="28" t="n">
        <x:v>315</x:v>
      </x:c>
      <x:c r="B321" s="29" t="n">
        <x:v>54384</x:v>
      </x:c>
      <x:c r="C321" s="28" t="n">
        <x:f>B321-B320</x:f>
        <x:v>31</x:v>
      </x:c>
      <x:c r="D321" s="30" t="n">
        <x:f>H320</x:f>
        <x:v>218325.97</x:v>
      </x:c>
      <x:c r="E321" s="30" t="n">
        <x:f>ROUND(D321*I321,2)</x:f>
        <x:v>1390.71</x:v>
      </x:c>
      <x:c r="F321" s="30" t="n">
        <x:f>MIN(D321,'Параметры'!$C$13)</x:f>
        <x:v>10916.28</x:v>
      </x:c>
      <x:c r="G321" s="30" t="n">
        <x:f>ROUND(E321+F321,2)</x:f>
        <x:v>12306.99</x:v>
      </x:c>
      <x:c r="H321" s="30" t="n">
        <x:f>ROUND(D321-F321,2)</x:f>
        <x:v>207409.69</x:v>
      </x:c>
      <x:c r="I321" s="33" t="n">
        <x:f>IF(AND(ISNUMBER('Параметры'!$C$7),'Параметры'!$C$7&gt;=0),'Параметры'!$C$7*C321/365,NA())</x:f>
        <x:v>0.00636986301369863</x:v>
      </x:c>
      <x:c r="J321" s="32" t="n">
        <x:f>J320/(1+I321)</x:f>
        <x:v>0.14052608442016934</x:v>
      </x:c>
      <x:c r="K321" s="33" t="n">
        <x:f>IF(AND(ISNUMBER('Параметры'!$C$8),'Параметры'!$C$8&gt;=0),'Параметры'!$C$8*C321/365,NA())</x:f>
        <x:v>0.00636986301369863</x:v>
      </x:c>
      <x:c r="L321" s="32" t="n">
        <x:f>L320/(1+K321)</x:f>
        <x:v>0.14052608442016934</x:v>
      </x:c>
      <x:c r="M321" s="30" t="n">
        <x:f>E321*L321</x:f>
        <x:v>195.43103086397372</x:v>
      </x:c>
      <x:c r="N321" s="30" t="n">
        <x:f>F321*L321</x:f>
        <x:v>1534.0220848342062</x:v>
      </x:c>
      <x:c r="O321" s="30" t="n">
        <x:f>G321*L321</x:f>
        <x:v>1729.4531156981798</x:v>
      </x:c>
    </x:row>
    <x:row r="322" ht="21" customHeight="1">
      <x:c r="A322" s="28" t="n">
        <x:v>316</x:v>
      </x:c>
      <x:c r="B322" s="29" t="n">
        <x:v>54414</x:v>
      </x:c>
      <x:c r="C322" s="28" t="n">
        <x:f>B322-B321</x:f>
        <x:v>30</x:v>
      </x:c>
      <x:c r="D322" s="30" t="n">
        <x:f>H321</x:f>
        <x:v>207409.69</x:v>
      </x:c>
      <x:c r="E322" s="30" t="n">
        <x:f>ROUND(D322*I322,2)</x:f>
        <x:v>1278.55</x:v>
      </x:c>
      <x:c r="F322" s="30" t="n">
        <x:f>MIN(D322,'Параметры'!$C$13)</x:f>
        <x:v>10916.28</x:v>
      </x:c>
      <x:c r="G322" s="30" t="n">
        <x:f>ROUND(E322+F322,2)</x:f>
        <x:v>12194.83</x:v>
      </x:c>
      <x:c r="H322" s="30" t="n">
        <x:f>ROUND(D322-F322,2)</x:f>
        <x:v>196493.41</x:v>
      </x:c>
      <x:c r="I322" s="33" t="n">
        <x:f>IF(AND(ISNUMBER('Параметры'!$C$7),'Параметры'!$C$7&gt;=0),'Параметры'!$C$7*C322/365,NA())</x:f>
        <x:v>0.0061643835616438354</x:v>
      </x:c>
      <x:c r="J322" s="32" t="n">
        <x:f>J321/(1+I322)</x:f>
        <x:v>0.13966513495809887</x:v>
      </x:c>
      <x:c r="K322" s="33" t="n">
        <x:f>IF(AND(ISNUMBER('Параметры'!$C$8),'Параметры'!$C$8&gt;=0),'Параметры'!$C$8*C322/365,NA())</x:f>
        <x:v>0.0061643835616438354</x:v>
      </x:c>
      <x:c r="L322" s="32" t="n">
        <x:f>L321/(1+K322)</x:f>
        <x:v>0.13966513495809887</x:v>
      </x:c>
      <x:c r="M322" s="30" t="n">
        <x:f>E322*L322</x:f>
        <x:v>178.5688583006773</x:v>
      </x:c>
      <x:c r="N322" s="30" t="n">
        <x:f>F322*L322</x:f>
        <x:v>1524.6237194403957</x:v>
      </x:c>
      <x:c r="O322" s="30" t="n">
        <x:f>G322*L322</x:f>
        <x:v>1703.192577741073</x:v>
      </x:c>
    </x:row>
    <x:row r="323" ht="21" customHeight="1">
      <x:c r="A323" s="28" t="n">
        <x:v>317</x:v>
      </x:c>
      <x:c r="B323" s="29" t="n">
        <x:v>54445</x:v>
      </x:c>
      <x:c r="C323" s="28" t="n">
        <x:f>B323-B322</x:f>
        <x:v>31</x:v>
      </x:c>
      <x:c r="D323" s="30" t="n">
        <x:f>H322</x:f>
        <x:v>196493.41</x:v>
      </x:c>
      <x:c r="E323" s="30" t="n">
        <x:f>ROUND(D323*I323,2)</x:f>
        <x:v>1251.64</x:v>
      </x:c>
      <x:c r="F323" s="30" t="n">
        <x:f>MIN(D323,'Параметры'!$C$13)</x:f>
        <x:v>10916.28</x:v>
      </x:c>
      <x:c r="G323" s="30" t="n">
        <x:f>ROUND(E323+F323,2)</x:f>
        <x:v>12167.92</x:v>
      </x:c>
      <x:c r="H323" s="30" t="n">
        <x:f>ROUND(D323-F323,2)</x:f>
        <x:v>185577.13</x:v>
      </x:c>
      <x:c r="I323" s="33" t="n">
        <x:f>IF(AND(ISNUMBER('Параметры'!$C$7),'Параметры'!$C$7&gt;=0),'Параметры'!$C$7*C323/365,NA())</x:f>
        <x:v>0.00636986301369863</x:v>
      </x:c>
      <x:c r="J323" s="32" t="n">
        <x:f>J322/(1+I323)</x:f>
        <x:v>0.13878111824598405</x:v>
      </x:c>
      <x:c r="K323" s="33" t="n">
        <x:f>IF(AND(ISNUMBER('Параметры'!$C$8),'Параметры'!$C$8&gt;=0),'Параметры'!$C$8*C323/365,NA())</x:f>
        <x:v>0.00636986301369863</x:v>
      </x:c>
      <x:c r="L323" s="32" t="n">
        <x:f>L322/(1+K323)</x:f>
        <x:v>0.13878111824598405</x:v>
      </x:c>
      <x:c r="M323" s="30" t="n">
        <x:f>E323*L323</x:f>
        <x:v>173.7039988414035</x:v>
      </x:c>
      <x:c r="N323" s="30" t="n">
        <x:f>F323*L323</x:f>
        <x:v>1514.9735454862707</x:v>
      </x:c>
      <x:c r="O323" s="30" t="n">
        <x:f>G323*L323</x:f>
        <x:v>1688.6775443276742</x:v>
      </x:c>
    </x:row>
    <x:row r="324" ht="21" customHeight="1">
      <x:c r="A324" s="28" t="n">
        <x:v>318</x:v>
      </x:c>
      <x:c r="B324" s="29" t="n">
        <x:v>54476</x:v>
      </x:c>
      <x:c r="C324" s="28" t="n">
        <x:f>B324-B323</x:f>
        <x:v>31</x:v>
      </x:c>
      <x:c r="D324" s="30" t="n">
        <x:f>H323</x:f>
        <x:v>185577.13</x:v>
      </x:c>
      <x:c r="E324" s="30" t="n">
        <x:f>ROUND(D324*I324,2)</x:f>
        <x:v>1182.1</x:v>
      </x:c>
      <x:c r="F324" s="30" t="n">
        <x:f>MIN(D324,'Параметры'!$C$13)</x:f>
        <x:v>10916.28</x:v>
      </x:c>
      <x:c r="G324" s="30" t="n">
        <x:f>ROUND(E324+F324,2)</x:f>
        <x:v>12098.38</x:v>
      </x:c>
      <x:c r="H324" s="30" t="n">
        <x:f>ROUND(D324-F324,2)</x:f>
        <x:v>174660.85</x:v>
      </x:c>
      <x:c r="I324" s="33" t="n">
        <x:f>IF(AND(ISNUMBER('Параметры'!$C$7),'Параметры'!$C$7&gt;=0),'Параметры'!$C$7*C324/365,NA())</x:f>
        <x:v>0.00636986301369863</x:v>
      </x:c>
      <x:c r="J324" s="32" t="n">
        <x:f>J323/(1+I324)</x:f>
        <x:v>0.13790269695714744</x:v>
      </x:c>
      <x:c r="K324" s="33" t="n">
        <x:f>IF(AND(ISNUMBER('Параметры'!$C$8),'Параметры'!$C$8&gt;=0),'Параметры'!$C$8*C324/365,NA())</x:f>
        <x:v>0.00636986301369863</x:v>
      </x:c>
      <x:c r="L324" s="32" t="n">
        <x:f>L323/(1+K324)</x:f>
        <x:v>0.13790269695714744</x:v>
      </x:c>
      <x:c r="M324" s="30" t="n">
        <x:f>E324*L324</x:f>
        <x:v>163.01477807304397</x:v>
      </x:c>
      <x:c r="N324" s="30" t="n">
        <x:f>F324*L324</x:f>
        <x:v>1505.3844527393694</x:v>
      </x:c>
      <x:c r="O324" s="30" t="n">
        <x:f>G324*L324</x:f>
        <x:v>1668.3992308124132</x:v>
      </x:c>
    </x:row>
    <x:row r="325" ht="21" customHeight="1">
      <x:c r="A325" s="28" t="n">
        <x:v>319</x:v>
      </x:c>
      <x:c r="B325" s="29" t="n">
        <x:v>54504</x:v>
      </x:c>
      <x:c r="C325" s="28" t="n">
        <x:f>B325-B324</x:f>
        <x:v>28</x:v>
      </x:c>
      <x:c r="D325" s="30" t="n">
        <x:f>H324</x:f>
        <x:v>174660.85</x:v>
      </x:c>
      <x:c r="E325" s="30" t="n">
        <x:f>ROUND(D325*I325,2)</x:f>
        <x:v>1004.9</x:v>
      </x:c>
      <x:c r="F325" s="30" t="n">
        <x:f>MIN(D325,'Параметры'!$C$13)</x:f>
        <x:v>10916.28</x:v>
      </x:c>
      <x:c r="G325" s="30" t="n">
        <x:f>ROUND(E325+F325,2)</x:f>
        <x:v>11921.18</x:v>
      </x:c>
      <x:c r="H325" s="30" t="n">
        <x:f>ROUND(D325-F325,2)</x:f>
        <x:v>163744.57</x:v>
      </x:c>
      <x:c r="I325" s="33" t="n">
        <x:f>IF(AND(ISNUMBER('Параметры'!$C$7),'Параметры'!$C$7&gt;=0),'Параметры'!$C$7*C325/365,NA())</x:f>
        <x:v>0.005753424657534247</x:v>
      </x:c>
      <x:c r="J325" s="32" t="n">
        <x:f>J324/(1+I325)</x:f>
        <x:v>0.1371138229075424</x:v>
      </x:c>
      <x:c r="K325" s="33" t="n">
        <x:f>IF(AND(ISNUMBER('Параметры'!$C$8),'Параметры'!$C$8&gt;=0),'Параметры'!$C$8*C325/365,NA())</x:f>
        <x:v>0.005753424657534247</x:v>
      </x:c>
      <x:c r="L325" s="32" t="n">
        <x:f>L324/(1+K325)</x:f>
        <x:v>0.1371138229075424</x:v>
      </x:c>
      <x:c r="M325" s="30" t="n">
        <x:f>E325*L325</x:f>
        <x:v>137.78568063978935</x:v>
      </x:c>
      <x:c r="N325" s="30" t="n">
        <x:f>F325*L325</x:f>
        <x:v>1496.772882729147</x:v>
      </x:c>
      <x:c r="O325" s="30" t="n">
        <x:f>G325*L325</x:f>
        <x:v>1634.5585633689363</x:v>
      </x:c>
    </x:row>
    <x:row r="326" ht="21" customHeight="1">
      <x:c r="A326" s="28" t="n">
        <x:v>320</x:v>
      </x:c>
      <x:c r="B326" s="29" t="n">
        <x:v>54535</x:v>
      </x:c>
      <x:c r="C326" s="28" t="n">
        <x:f>B326-B325</x:f>
        <x:v>31</x:v>
      </x:c>
      <x:c r="D326" s="30" t="n">
        <x:f>H325</x:f>
        <x:v>163744.57</x:v>
      </x:c>
      <x:c r="E326" s="30" t="n">
        <x:f>ROUND(D326*I326,2)</x:f>
        <x:v>1043.03</x:v>
      </x:c>
      <x:c r="F326" s="30" t="n">
        <x:f>MIN(D326,'Параметры'!$C$13)</x:f>
        <x:v>10916.28</x:v>
      </x:c>
      <x:c r="G326" s="30" t="n">
        <x:f>ROUND(E326+F326,2)</x:f>
        <x:v>11959.31</x:v>
      </x:c>
      <x:c r="H326" s="30" t="n">
        <x:f>ROUND(D326-F326,2)</x:f>
        <x:v>152828.29</x:v>
      </x:c>
      <x:c r="I326" s="33" t="n">
        <x:f>IF(AND(ISNUMBER('Параметры'!$C$7),'Параметры'!$C$7&gt;=0),'Параметры'!$C$7*C326/365,NA())</x:f>
        <x:v>0.00636986301369863</x:v>
      </x:c>
      <x:c r="J326" s="32" t="n">
        <x:f>J325/(1+I326)</x:f>
        <x:v>0.1362459548390471</x:v>
      </x:c>
      <x:c r="K326" s="33" t="n">
        <x:f>IF(AND(ISNUMBER('Параметры'!$C$8),'Параметры'!$C$8&gt;=0),'Параметры'!$C$8*C326/365,NA())</x:f>
        <x:v>0.00636986301369863</x:v>
      </x:c>
      <x:c r="L326" s="32" t="n">
        <x:f>L325/(1+K326)</x:f>
        <x:v>0.1362459548390471</x:v>
      </x:c>
      <x:c r="M326" s="30" t="n">
        <x:f>E326*L326</x:f>
        <x:v>142.1086182757713</x:v>
      </x:c>
      <x:c r="N326" s="30" t="n">
        <x:f>F326*L326</x:f>
        <x:v>1487.2989918903934</x:v>
      </x:c>
      <x:c r="O326" s="30" t="n">
        <x:f>G326*L326</x:f>
        <x:v>1629.4076101661644</x:v>
      </x:c>
    </x:row>
    <x:row r="327" ht="21" customHeight="1">
      <x:c r="A327" s="28" t="n">
        <x:v>321</x:v>
      </x:c>
      <x:c r="B327" s="29" t="n">
        <x:v>54565</x:v>
      </x:c>
      <x:c r="C327" s="28" t="n">
        <x:f>B327-B326</x:f>
        <x:v>30</x:v>
      </x:c>
      <x:c r="D327" s="30" t="n">
        <x:f>H326</x:f>
        <x:v>152828.29</x:v>
      </x:c>
      <x:c r="E327" s="30" t="n">
        <x:f>ROUND(D327*I327,2)</x:f>
        <x:v>942.09</x:v>
      </x:c>
      <x:c r="F327" s="30" t="n">
        <x:f>MIN(D327,'Параметры'!$C$13)</x:f>
        <x:v>10916.28</x:v>
      </x:c>
      <x:c r="G327" s="30" t="n">
        <x:f>ROUND(E327+F327,2)</x:f>
        <x:v>11858.37</x:v>
      </x:c>
      <x:c r="H327" s="30" t="n">
        <x:f>ROUND(D327-F327,2)</x:f>
        <x:v>141912.01</x:v>
      </x:c>
      <x:c r="I327" s="33" t="n">
        <x:f>IF(AND(ISNUMBER('Параметры'!$C$7),'Параметры'!$C$7&gt;=0),'Параметры'!$C$7*C327/365,NA())</x:f>
        <x:v>0.0061643835616438354</x:v>
      </x:c>
      <x:c r="J327" s="32" t="n">
        <x:f>J326/(1+I327)</x:f>
        <x:v>0.13541122809054376</x:v>
      </x:c>
      <x:c r="K327" s="33" t="n">
        <x:f>IF(AND(ISNUMBER('Параметры'!$C$8),'Параметры'!$C$8&gt;=0),'Параметры'!$C$8*C327/365,NA())</x:f>
        <x:v>0.0061643835616438354</x:v>
      </x:c>
      <x:c r="L327" s="32" t="n">
        <x:f>L326/(1+K327)</x:f>
        <x:v>0.13541122809054376</x:v>
      </x:c>
      <x:c r="M327" s="30" t="n">
        <x:f>E327*L327</x:f>
        <x:v>127.56956387182038</x:v>
      </x:c>
      <x:c r="N327" s="30" t="n">
        <x:f>F327*L327</x:f>
        <x:v>1478.186880980241</x:v>
      </x:c>
      <x:c r="O327" s="30" t="n">
        <x:f>G327*L327</x:f>
        <x:v>1605.7564448520616</x:v>
      </x:c>
    </x:row>
    <x:row r="328" ht="21" customHeight="1">
      <x:c r="A328" s="28" t="n">
        <x:v>322</x:v>
      </x:c>
      <x:c r="B328" s="29" t="n">
        <x:v>54596</x:v>
      </x:c>
      <x:c r="C328" s="28" t="n">
        <x:f>B328-B327</x:f>
        <x:v>31</x:v>
      </x:c>
      <x:c r="D328" s="30" t="n">
        <x:f>H327</x:f>
        <x:v>141912.01</x:v>
      </x:c>
      <x:c r="E328" s="30" t="n">
        <x:f>ROUND(D328*I328,2)</x:f>
        <x:v>903.96</x:v>
      </x:c>
      <x:c r="F328" s="30" t="n">
        <x:f>MIN(D328,'Параметры'!$C$13)</x:f>
        <x:v>10916.28</x:v>
      </x:c>
      <x:c r="G328" s="30" t="n">
        <x:f>ROUND(E328+F328,2)</x:f>
        <x:v>11820.24</x:v>
      </x:c>
      <x:c r="H328" s="30" t="n">
        <x:f>ROUND(D328-F328,2)</x:f>
        <x:v>130995.73</x:v>
      </x:c>
      <x:c r="I328" s="33" t="n">
        <x:f>IF(AND(ISNUMBER('Параметры'!$C$7),'Параметры'!$C$7&gt;=0),'Параметры'!$C$7*C328/365,NA())</x:f>
        <x:v>0.00636986301369863</x:v>
      </x:c>
      <x:c r="J328" s="32" t="n">
        <x:f>J327/(1+I328)</x:f>
        <x:v>0.13455413667201654</x:v>
      </x:c>
      <x:c r="K328" s="33" t="n">
        <x:f>IF(AND(ISNUMBER('Параметры'!$C$8),'Параметры'!$C$8&gt;=0),'Параметры'!$C$8*C328/365,NA())</x:f>
        <x:v>0.00636986301369863</x:v>
      </x:c>
      <x:c r="L328" s="32" t="n">
        <x:f>L327/(1+K328)</x:f>
        <x:v>0.13455413667201654</x:v>
      </x:c>
      <x:c r="M328" s="30" t="n">
        <x:f>E328*L328</x:f>
        <x:v>121.63155738603608</x:v>
      </x:c>
      <x:c r="N328" s="30" t="n">
        <x:f>F328*L328</x:f>
        <x:v>1468.830631070001</x:v>
      </x:c>
      <x:c r="O328" s="30" t="n">
        <x:f>G328*L328</x:f>
        <x:v>1590.4621884560368</x:v>
      </x:c>
    </x:row>
    <x:row r="329" ht="21" customHeight="1">
      <x:c r="A329" s="28" t="n">
        <x:v>323</x:v>
      </x:c>
      <x:c r="B329" s="29" t="n">
        <x:v>54626</x:v>
      </x:c>
      <x:c r="C329" s="28" t="n">
        <x:f>B329-B328</x:f>
        <x:v>30</x:v>
      </x:c>
      <x:c r="D329" s="30" t="n">
        <x:f>H328</x:f>
        <x:v>130995.73</x:v>
      </x:c>
      <x:c r="E329" s="30" t="n">
        <x:f>ROUND(D329*I329,2)</x:f>
        <x:v>807.51</x:v>
      </x:c>
      <x:c r="F329" s="30" t="n">
        <x:f>MIN(D329,'Параметры'!$C$13)</x:f>
        <x:v>10916.28</x:v>
      </x:c>
      <x:c r="G329" s="30" t="n">
        <x:f>ROUND(E329+F329,2)</x:f>
        <x:v>11723.79</x:v>
      </x:c>
      <x:c r="H329" s="30" t="n">
        <x:f>ROUND(D329-F329,2)</x:f>
        <x:v>120079.45</x:v>
      </x:c>
      <x:c r="I329" s="33" t="n">
        <x:f>IF(AND(ISNUMBER('Параметры'!$C$7),'Параметры'!$C$7&gt;=0),'Параметры'!$C$7*C329/365,NA())</x:f>
        <x:v>0.0061643835616438354</x:v>
      </x:c>
      <x:c r="J329" s="32" t="n">
        <x:f>J328/(1+I329)</x:f>
        <x:v>0.13372977504502664</x:v>
      </x:c>
      <x:c r="K329" s="33" t="n">
        <x:f>IF(AND(ISNUMBER('Параметры'!$C$8),'Параметры'!$C$8&gt;=0),'Параметры'!$C$8*C329/365,NA())</x:f>
        <x:v>0.0061643835616438354</x:v>
      </x:c>
      <x:c r="L329" s="32" t="n">
        <x:f>L328/(1+K329)</x:f>
        <x:v>0.13372977504502664</x:v>
      </x:c>
      <x:c r="M329" s="30" t="n">
        <x:f>E329*L329</x:f>
        <x:v>107.98813064660946</x:v>
      </x:c>
      <x:c r="N329" s="30" t="n">
        <x:f>F329*L329</x:f>
        <x:v>1459.8316687285235</x:v>
      </x:c>
      <x:c r="O329" s="30" t="n">
        <x:f>G329*L329</x:f>
        <x:v>1567.819799375133</x:v>
      </x:c>
    </x:row>
    <x:row r="330" ht="21" customHeight="1">
      <x:c r="A330" s="28" t="n">
        <x:v>324</x:v>
      </x:c>
      <x:c r="B330" s="29" t="n">
        <x:v>54657</x:v>
      </x:c>
      <x:c r="C330" s="28" t="n">
        <x:f>B330-B329</x:f>
        <x:v>31</x:v>
      </x:c>
      <x:c r="D330" s="30" t="n">
        <x:f>H329</x:f>
        <x:v>120079.45</x:v>
      </x:c>
      <x:c r="E330" s="30" t="n">
        <x:f>ROUND(D330*I330,2)</x:f>
        <x:v>764.89</x:v>
      </x:c>
      <x:c r="F330" s="30" t="n">
        <x:f>MIN(D330,'Параметры'!$C$13)</x:f>
        <x:v>10916.28</x:v>
      </x:c>
      <x:c r="G330" s="30" t="n">
        <x:f>ROUND(E330+F330,2)</x:f>
        <x:v>11681.17</x:v>
      </x:c>
      <x:c r="H330" s="30" t="n">
        <x:f>ROUND(D330-F330,2)</x:f>
        <x:v>109163.17</x:v>
      </x:c>
      <x:c r="I330" s="33" t="n">
        <x:f>IF(AND(ISNUMBER('Параметры'!$C$7),'Параметры'!$C$7&gt;=0),'Параметры'!$C$7*C330/365,NA())</x:f>
        <x:v>0.00636986301369863</x:v>
      </x:c>
      <x:c r="J330" s="32" t="n">
        <x:f>J329/(1+I330)</x:f>
        <x:v>0.13288332645868026</x:v>
      </x:c>
      <x:c r="K330" s="33" t="n">
        <x:f>IF(AND(ISNUMBER('Параметры'!$C$8),'Параметры'!$C$8&gt;=0),'Параметры'!$C$8*C330/365,NA())</x:f>
        <x:v>0.00636986301369863</x:v>
      </x:c>
      <x:c r="L330" s="32" t="n">
        <x:f>L329/(1+K330)</x:f>
        <x:v>0.13288332645868026</x:v>
      </x:c>
      <x:c r="M330" s="30" t="n">
        <x:f>E330*L330</x:f>
        <x:v>101.64112757497993</x:v>
      </x:c>
      <x:c r="N330" s="30" t="n">
        <x:f>F330*L330</x:f>
        <x:v>1450.591598954362</x:v>
      </x:c>
      <x:c r="O330" s="30" t="n">
        <x:f>G330*L330</x:f>
        <x:v>1552.232726529342</x:v>
      </x:c>
    </x:row>
    <x:row r="331" ht="21" customHeight="1">
      <x:c r="A331" s="28" t="n">
        <x:v>325</x:v>
      </x:c>
      <x:c r="B331" s="29" t="n">
        <x:v>54688</x:v>
      </x:c>
      <x:c r="C331" s="28" t="n">
        <x:f>B331-B330</x:f>
        <x:v>31</x:v>
      </x:c>
      <x:c r="D331" s="30" t="n">
        <x:f>H330</x:f>
        <x:v>109163.17</x:v>
      </x:c>
      <x:c r="E331" s="30" t="n">
        <x:f>ROUND(D331*I331,2)</x:f>
        <x:v>695.35</x:v>
      </x:c>
      <x:c r="F331" s="30" t="n">
        <x:f>MIN(D331,'Параметры'!$C$13)</x:f>
        <x:v>10916.28</x:v>
      </x:c>
      <x:c r="G331" s="30" t="n">
        <x:f>ROUND(E331+F331,2)</x:f>
        <x:v>11611.63</x:v>
      </x:c>
      <x:c r="H331" s="30" t="n">
        <x:f>ROUND(D331-F331,2)</x:f>
        <x:v>98246.89</x:v>
      </x:c>
      <x:c r="I331" s="33" t="n">
        <x:f>IF(AND(ISNUMBER('Параметры'!$C$7),'Параметры'!$C$7&gt;=0),'Параметры'!$C$7*C331/365,NA())</x:f>
        <x:v>0.00636986301369863</x:v>
      </x:c>
      <x:c r="J331" s="32" t="n">
        <x:f>J330/(1+I331)</x:f>
        <x:v>0.13204223550648145</x:v>
      </x:c>
      <x:c r="K331" s="33" t="n">
        <x:f>IF(AND(ISNUMBER('Параметры'!$C$8),'Параметры'!$C$8&gt;=0),'Параметры'!$C$8*C331/365,NA())</x:f>
        <x:v>0.00636986301369863</x:v>
      </x:c>
      <x:c r="L331" s="32" t="n">
        <x:f>L330/(1+K331)</x:f>
        <x:v>0.13204223550648145</x:v>
      </x:c>
      <x:c r="M331" s="30" t="n">
        <x:f>E331*L331</x:f>
        <x:v>91.81556845943187</x:v>
      </x:c>
      <x:c r="N331" s="30" t="n">
        <x:f>F331*L331</x:f>
        <x:v>1441.4100146146934</x:v>
      </x:c>
      <x:c r="O331" s="30" t="n">
        <x:f>G331*L331</x:f>
        <x:v>1533.225583074125</x:v>
      </x:c>
    </x:row>
    <x:row r="332" ht="21" customHeight="1">
      <x:c r="A332" s="28" t="n">
        <x:v>326</x:v>
      </x:c>
      <x:c r="B332" s="29" t="n">
        <x:v>54718</x:v>
      </x:c>
      <x:c r="C332" s="28" t="n">
        <x:f>B332-B331</x:f>
        <x:v>30</x:v>
      </x:c>
      <x:c r="D332" s="30" t="n">
        <x:f>H331</x:f>
        <x:v>98246.89</x:v>
      </x:c>
      <x:c r="E332" s="30" t="n">
        <x:f>ROUND(D332*I332,2)</x:f>
        <x:v>605.63</x:v>
      </x:c>
      <x:c r="F332" s="30" t="n">
        <x:f>MIN(D332,'Параметры'!$C$13)</x:f>
        <x:v>10916.28</x:v>
      </x:c>
      <x:c r="G332" s="30" t="n">
        <x:f>ROUND(E332+F332,2)</x:f>
        <x:v>11521.91</x:v>
      </x:c>
      <x:c r="H332" s="30" t="n">
        <x:f>ROUND(D332-F332,2)</x:f>
        <x:v>87330.61</x:v>
      </x:c>
      <x:c r="I332" s="33" t="n">
        <x:f>IF(AND(ISNUMBER('Параметры'!$C$7),'Параметры'!$C$7&gt;=0),'Параметры'!$C$7*C332/365,NA())</x:f>
        <x:v>0.0061643835616438354</x:v>
      </x:c>
      <x:c r="J332" s="32" t="n">
        <x:f>J331/(1+I332)</x:f>
        <x:v>0.13123326333523683</x:v>
      </x:c>
      <x:c r="K332" s="33" t="n">
        <x:f>IF(AND(ISNUMBER('Параметры'!$C$8),'Параметры'!$C$8&gt;=0),'Параметры'!$C$8*C332/365,NA())</x:f>
        <x:v>0.0061643835616438354</x:v>
      </x:c>
      <x:c r="L332" s="32" t="n">
        <x:f>L331/(1+K332)</x:f>
        <x:v>0.13123326333523683</x:v>
      </x:c>
      <x:c r="M332" s="30" t="n">
        <x:f>E332*L332</x:f>
        <x:v>79.47880127371948</x:v>
      </x:c>
      <x:c r="N332" s="30" t="n">
        <x:f>F332*L332</x:f>
        <x:v>1432.5790478811791</x:v>
      </x:c>
      <x:c r="O332" s="30" t="n">
        <x:f>G332*L332</x:f>
        <x:v>1512.0578491548986</x:v>
      </x:c>
    </x:row>
    <x:row r="333" ht="21" customHeight="1">
      <x:c r="A333" s="28" t="n">
        <x:v>327</x:v>
      </x:c>
      <x:c r="B333" s="29" t="n">
        <x:v>54749</x:v>
      </x:c>
      <x:c r="C333" s="28" t="n">
        <x:f>B333-B332</x:f>
        <x:v>31</x:v>
      </x:c>
      <x:c r="D333" s="30" t="n">
        <x:f>H332</x:f>
        <x:v>87330.61</x:v>
      </x:c>
      <x:c r="E333" s="30" t="n">
        <x:f>ROUND(D333*I333,2)</x:f>
        <x:v>556.28</x:v>
      </x:c>
      <x:c r="F333" s="30" t="n">
        <x:f>MIN(D333,'Параметры'!$C$13)</x:f>
        <x:v>10916.28</x:v>
      </x:c>
      <x:c r="G333" s="30" t="n">
        <x:f>ROUND(E333+F333,2)</x:f>
        <x:v>11472.56</x:v>
      </x:c>
      <x:c r="H333" s="30" t="n">
        <x:f>ROUND(D333-F333,2)</x:f>
        <x:v>76414.33</x:v>
      </x:c>
      <x:c r="I333" s="33" t="n">
        <x:f>IF(AND(ISNUMBER('Параметры'!$C$7),'Параметры'!$C$7&gt;=0),'Параметры'!$C$7*C333/365,NA())</x:f>
        <x:v>0.00636986301369863</x:v>
      </x:c>
      <x:c r="J333" s="32" t="n">
        <x:f>J332/(1+I333)</x:f>
        <x:v>0.13040261653130455</x:v>
      </x:c>
      <x:c r="K333" s="33" t="n">
        <x:f>IF(AND(ISNUMBER('Параметры'!$C$8),'Параметры'!$C$8&gt;=0),'Параметры'!$C$8*C333/365,NA())</x:f>
        <x:v>0.00636986301369863</x:v>
      </x:c>
      <x:c r="L333" s="32" t="n">
        <x:f>L332/(1+K333)</x:f>
        <x:v>0.13040261653130455</x:v>
      </x:c>
      <x:c r="M333" s="30" t="n">
        <x:f>E333*L333</x:f>
        <x:v>72.5403675240341</x:v>
      </x:c>
      <x:c r="N333" s="30" t="n">
        <x:f>F333*L333</x:f>
        <x:v>1423.5114747883495</x:v>
      </x:c>
      <x:c r="O333" s="30" t="n">
        <x:f>G333*L333</x:f>
        <x:v>1496.0518423123833</x:v>
      </x:c>
    </x:row>
    <x:row r="334" ht="21" customHeight="1">
      <x:c r="A334" s="28" t="n">
        <x:v>328</x:v>
      </x:c>
      <x:c r="B334" s="29" t="n">
        <x:v>54779</x:v>
      </x:c>
      <x:c r="C334" s="28" t="n">
        <x:f>B334-B333</x:f>
        <x:v>30</x:v>
      </x:c>
      <x:c r="D334" s="30" t="n">
        <x:f>H333</x:f>
        <x:v>76414.33</x:v>
      </x:c>
      <x:c r="E334" s="30" t="n">
        <x:f>ROUND(D334*I334,2)</x:f>
        <x:v>471.05</x:v>
      </x:c>
      <x:c r="F334" s="30" t="n">
        <x:f>MIN(D334,'Параметры'!$C$13)</x:f>
        <x:v>10916.28</x:v>
      </x:c>
      <x:c r="G334" s="30" t="n">
        <x:f>ROUND(E334+F334,2)</x:f>
        <x:v>11387.33</x:v>
      </x:c>
      <x:c r="H334" s="30" t="n">
        <x:f>ROUND(D334-F334,2)</x:f>
        <x:v>65498.05</x:v>
      </x:c>
      <x:c r="I334" s="33" t="n">
        <x:f>IF(AND(ISNUMBER('Параметры'!$C$7),'Параметры'!$C$7&gt;=0),'Параметры'!$C$7*C334/365,NA())</x:f>
        <x:v>0.0061643835616438354</x:v>
      </x:c>
      <x:c r="J334" s="32" t="n">
        <x:f>J333/(1+I334)</x:f>
        <x:v>0.12960368967713046</x:v>
      </x:c>
      <x:c r="K334" s="33" t="n">
        <x:f>IF(AND(ISNUMBER('Параметры'!$C$8),'Параметры'!$C$8&gt;=0),'Параметры'!$C$8*C334/365,NA())</x:f>
        <x:v>0.0061643835616438354</x:v>
      </x:c>
      <x:c r="L334" s="32" t="n">
        <x:f>L333/(1+K334)</x:f>
        <x:v>0.12960368967713046</x:v>
      </x:c>
      <x:c r="M334" s="30" t="n">
        <x:f>E334*L334</x:f>
        <x:v>61.0498180224123</x:v>
      </x:c>
      <x:c r="N334" s="30" t="n">
        <x:f>F334*L334</x:f>
        <x:v>1414.7901655486658</x:v>
      </x:c>
      <x:c r="O334" s="30" t="n">
        <x:f>G334*L334</x:f>
        <x:v>1475.839983571078</x:v>
      </x:c>
    </x:row>
    <x:row r="335" ht="21" customHeight="1">
      <x:c r="A335" s="28" t="n">
        <x:v>329</x:v>
      </x:c>
      <x:c r="B335" s="29" t="n">
        <x:v>54810</x:v>
      </x:c>
      <x:c r="C335" s="28" t="n">
        <x:f>B335-B334</x:f>
        <x:v>31</x:v>
      </x:c>
      <x:c r="D335" s="30" t="n">
        <x:f>H334</x:f>
        <x:v>65498.05</x:v>
      </x:c>
      <x:c r="E335" s="30" t="n">
        <x:f>ROUND(D335*I335,2)</x:f>
        <x:v>417.21</x:v>
      </x:c>
      <x:c r="F335" s="30" t="n">
        <x:f>MIN(D335,'Параметры'!$C$13)</x:f>
        <x:v>10916.28</x:v>
      </x:c>
      <x:c r="G335" s="30" t="n">
        <x:f>ROUND(E335+F335,2)</x:f>
        <x:v>11333.49</x:v>
      </x:c>
      <x:c r="H335" s="30" t="n">
        <x:f>ROUND(D335-F335,2)</x:f>
        <x:v>54581.77</x:v>
      </x:c>
      <x:c r="I335" s="33" t="n">
        <x:f>IF(AND(ISNUMBER('Параметры'!$C$7),'Параметры'!$C$7&gt;=0),'Параметры'!$C$7*C335/365,NA())</x:f>
        <x:v>0.00636986301369863</x:v>
      </x:c>
      <x:c r="J335" s="32" t="n">
        <x:f>J334/(1+I335)</x:f>
        <x:v>0.12878335733247837</x:v>
      </x:c>
      <x:c r="K335" s="33" t="n">
        <x:f>IF(AND(ISNUMBER('Параметры'!$C$8),'Параметры'!$C$8&gt;=0),'Параметры'!$C$8*C335/365,NA())</x:f>
        <x:v>0.00636986301369863</x:v>
      </x:c>
      <x:c r="L335" s="32" t="n">
        <x:f>L334/(1+K335)</x:f>
        <x:v>0.12878335733247837</x:v>
      </x:c>
      <x:c r="M335" s="30" t="n">
        <x:f>E335*L335</x:f>
        <x:v>53.7297045126833</x:v>
      </x:c>
      <x:c r="N335" s="30" t="n">
        <x:f>F335*L335</x:f>
        <x:v>1405.835187981387</x:v>
      </x:c>
      <x:c r="O335" s="30" t="n">
        <x:f>G335*L335</x:f>
        <x:v>1459.5648924940701</x:v>
      </x:c>
    </x:row>
    <x:row r="336" ht="21" customHeight="1">
      <x:c r="A336" s="28" t="n">
        <x:v>330</x:v>
      </x:c>
      <x:c r="B336" s="29" t="n">
        <x:v>54841</x:v>
      </x:c>
      <x:c r="C336" s="28" t="n">
        <x:f>B336-B335</x:f>
        <x:v>31</x:v>
      </x:c>
      <x:c r="D336" s="30" t="n">
        <x:f>H335</x:f>
        <x:v>54581.77</x:v>
      </x:c>
      <x:c r="E336" s="30" t="n">
        <x:f>ROUND(D336*I336,2)</x:f>
        <x:v>347.68</x:v>
      </x:c>
      <x:c r="F336" s="30" t="n">
        <x:f>MIN(D336,'Параметры'!$C$13)</x:f>
        <x:v>10916.28</x:v>
      </x:c>
      <x:c r="G336" s="30" t="n">
        <x:f>ROUND(E336+F336,2)</x:f>
        <x:v>11263.96</x:v>
      </x:c>
      <x:c r="H336" s="30" t="n">
        <x:f>ROUND(D336-F336,2)</x:f>
        <x:v>43665.49</x:v>
      </x:c>
      <x:c r="I336" s="33" t="n">
        <x:f>IF(AND(ISNUMBER('Параметры'!$C$7),'Параметры'!$C$7&gt;=0),'Параметры'!$C$7*C336/365,NA())</x:f>
        <x:v>0.00636986301369863</x:v>
      </x:c>
      <x:c r="J336" s="32" t="n">
        <x:f>J335/(1+I336)</x:f>
        <x:v>0.12796821731805513</x:v>
      </x:c>
      <x:c r="K336" s="33" t="n">
        <x:f>IF(AND(ISNUMBER('Параметры'!$C$8),'Параметры'!$C$8&gt;=0),'Параметры'!$C$8*C336/365,NA())</x:f>
        <x:v>0.00636986301369863</x:v>
      </x:c>
      <x:c r="L336" s="32" t="n">
        <x:f>L335/(1+K336)</x:f>
        <x:v>0.12796821731805513</x:v>
      </x:c>
      <x:c r="M336" s="30" t="n">
        <x:f>E336*L336</x:f>
        <x:v>44.49198979714141</x:v>
      </x:c>
      <x:c r="N336" s="30" t="n">
        <x:f>F336*L336</x:f>
        <x:v>1396.936891344739</x:v>
      </x:c>
      <x:c r="O336" s="30" t="n">
        <x:f>G336*L336</x:f>
        <x:v>1441.42888114188</x:v>
      </x:c>
    </x:row>
    <x:row r="337" ht="21" customHeight="1">
      <x:c r="A337" s="28" t="n">
        <x:v>331</x:v>
      </x:c>
      <x:c r="B337" s="29" t="n">
        <x:v>54869</x:v>
      </x:c>
      <x:c r="C337" s="28" t="n">
        <x:f>B337-B336</x:f>
        <x:v>28</x:v>
      </x:c>
      <x:c r="D337" s="30" t="n">
        <x:f>H336</x:f>
        <x:v>43665.49</x:v>
      </x:c>
      <x:c r="E337" s="30" t="n">
        <x:f>ROUND(D337*I337,2)</x:f>
        <x:v>251.23</x:v>
      </x:c>
      <x:c r="F337" s="30" t="n">
        <x:f>MIN(D337,'Параметры'!$C$13)</x:f>
        <x:v>10916.28</x:v>
      </x:c>
      <x:c r="G337" s="30" t="n">
        <x:f>ROUND(E337+F337,2)</x:f>
        <x:v>11167.51</x:v>
      </x:c>
      <x:c r="H337" s="30" t="n">
        <x:f>ROUND(D337-F337,2)</x:f>
        <x:v>32749.21</x:v>
      </x:c>
      <x:c r="I337" s="33" t="n">
        <x:f>IF(AND(ISNUMBER('Параметры'!$C$7),'Параметры'!$C$7&gt;=0),'Параметры'!$C$7*C337/365,NA())</x:f>
        <x:v>0.005753424657534247</x:v>
      </x:c>
      <x:c r="J337" s="32" t="n">
        <x:f>J336/(1+I337)</x:f>
        <x:v>0.12723617357965167</x:v>
      </x:c>
      <x:c r="K337" s="33" t="n">
        <x:f>IF(AND(ISNUMBER('Параметры'!$C$8),'Параметры'!$C$8&gt;=0),'Параметры'!$C$8*C337/365,NA())</x:f>
        <x:v>0.005753424657534247</x:v>
      </x:c>
      <x:c r="L337" s="32" t="n">
        <x:f>L336/(1+K337)</x:f>
        <x:v>0.12723617357965167</x:v>
      </x:c>
      <x:c r="M337" s="30" t="n">
        <x:f>E337*L337</x:f>
        <x:v>31.965543888415887</x:v>
      </x:c>
      <x:c r="N337" s="30" t="n">
        <x:f>F337*L337</x:f>
        <x:v>1388.94569692408</x:v>
      </x:c>
      <x:c r="O337" s="30" t="n">
        <x:f>G337*L337</x:f>
        <x:v>1420.9112408124959</x:v>
      </x:c>
    </x:row>
    <x:row r="338" ht="21" customHeight="1">
      <x:c r="A338" s="28" t="n">
        <x:v>332</x:v>
      </x:c>
      <x:c r="B338" s="29" t="n">
        <x:v>54900</x:v>
      </x:c>
      <x:c r="C338" s="28" t="n">
        <x:f>B338-B337</x:f>
        <x:v>31</x:v>
      </x:c>
      <x:c r="D338" s="30" t="n">
        <x:f>H337</x:f>
        <x:v>32749.21</x:v>
      </x:c>
      <x:c r="E338" s="30" t="n">
        <x:f>ROUND(D338*I338,2)</x:f>
        <x:v>208.61</x:v>
      </x:c>
      <x:c r="F338" s="30" t="n">
        <x:f>MIN(D338,'Параметры'!$C$13)</x:f>
        <x:v>10916.28</x:v>
      </x:c>
      <x:c r="G338" s="30" t="n">
        <x:f>ROUND(E338+F338,2)</x:f>
        <x:v>11124.89</x:v>
      </x:c>
      <x:c r="H338" s="30" t="n">
        <x:f>ROUND(D338-F338,2)</x:f>
        <x:v>21832.93</x:v>
      </x:c>
      <x:c r="I338" s="33" t="n">
        <x:f>IF(AND(ISNUMBER('Параметры'!$C$7),'Параметры'!$C$7&gt;=0),'Параметры'!$C$7*C338/365,NA())</x:f>
        <x:v>0.00636986301369863</x:v>
      </x:c>
      <x:c r="J338" s="32" t="n">
        <x:f>J337/(1+I338)</x:f>
        <x:v>0.1264308265339219</x:v>
      </x:c>
      <x:c r="K338" s="33" t="n">
        <x:f>IF(AND(ISNUMBER('Параметры'!$C$8),'Параметры'!$C$8&gt;=0),'Параметры'!$C$8*C338/365,NA())</x:f>
        <x:v>0.00636986301369863</x:v>
      </x:c>
      <x:c r="L338" s="32" t="n">
        <x:f>L337/(1+K338)</x:f>
        <x:v>0.1264308265339219</x:v>
      </x:c>
      <x:c r="M338" s="30" t="n">
        <x:f>E338*L338</x:f>
        <x:v>26.37473472324145</x:v>
      </x:c>
      <x:c r="N338" s="30" t="n">
        <x:f>F338*L338</x:f>
        <x:v>1380.1543030757211</x:v>
      </x:c>
      <x:c r="O338" s="30" t="n">
        <x:f>G338*L338</x:f>
        <x:v>1406.5290377989625</x:v>
      </x:c>
    </x:row>
    <x:row r="339" ht="21" customHeight="1">
      <x:c r="A339" s="28" t="n">
        <x:v>333</x:v>
      </x:c>
      <x:c r="B339" s="29" t="n">
        <x:v>54930</x:v>
      </x:c>
      <x:c r="C339" s="28" t="n">
        <x:f>B339-B338</x:f>
        <x:v>30</x:v>
      </x:c>
      <x:c r="D339" s="30" t="n">
        <x:f>H338</x:f>
        <x:v>21832.93</x:v>
      </x:c>
      <x:c r="E339" s="30" t="n">
        <x:f>ROUND(D339*I339,2)</x:f>
        <x:v>134.59</x:v>
      </x:c>
      <x:c r="F339" s="30" t="n">
        <x:f>MIN(D339,'Параметры'!$C$13)</x:f>
        <x:v>10916.28</x:v>
      </x:c>
      <x:c r="G339" s="30" t="n">
        <x:f>ROUND(E339+F339,2)</x:f>
        <x:v>11050.87</x:v>
      </x:c>
      <x:c r="H339" s="30" t="n">
        <x:f>ROUND(D339-F339,2)</x:f>
        <x:v>10916.65</x:v>
      </x:c>
      <x:c r="I339" s="33" t="n">
        <x:f>IF(AND(ISNUMBER('Параметры'!$C$7),'Параметры'!$C$7&gt;=0),'Параметры'!$C$7*C339/365,NA())</x:f>
        <x:v>0.0061643835616438354</x:v>
      </x:c>
      <x:c r="J339" s="32" t="n">
        <x:f>J338/(1+I339)</x:f>
        <x:v>0.1256562333148577</x:v>
      </x:c>
      <x:c r="K339" s="33" t="n">
        <x:f>IF(AND(ISNUMBER('Параметры'!$C$8),'Параметры'!$C$8&gt;=0),'Параметры'!$C$8*C339/365,NA())</x:f>
        <x:v>0.0061643835616438354</x:v>
      </x:c>
      <x:c r="L339" s="32" t="n">
        <x:f>L338/(1+K339)</x:f>
        <x:v>0.1256562333148577</x:v>
      </x:c>
      <x:c r="M339" s="30" t="n">
        <x:f>E339*L339</x:f>
        <x:v>16.9120724418467</x:v>
      </x:c>
      <x:c r="N339" s="30" t="n">
        <x:f>F339*L339</x:f>
        <x:v>1371.698626610315</x:v>
      </x:c>
      <x:c r="O339" s="30" t="n">
        <x:f>G339*L339</x:f>
        <x:v>1388.6106990521616</x:v>
      </x:c>
    </x:row>
    <x:row r="340" ht="21" customHeight="1">
      <x:c r="A340" s="28" t="n">
        <x:v>334</x:v>
      </x:c>
      <x:c r="B340" s="29" t="n">
        <x:v>54954</x:v>
      </x:c>
      <x:c r="C340" s="28" t="n">
        <x:f>B340-B339</x:f>
        <x:v>24</x:v>
      </x:c>
      <x:c r="D340" s="37" t="n">
        <x:f>H339</x:f>
        <x:v>10916.65</x:v>
      </x:c>
      <x:c r="E340" s="37" t="n">
        <x:f>ROUND(D340*I340,2)</x:f>
        <x:v>53.84</x:v>
      </x:c>
      <x:c r="F340" s="37" t="n">
        <x:f>D340</x:f>
        <x:v>10916.65</x:v>
      </x:c>
      <x:c r="G340" s="37" t="n">
        <x:f>ROUND(E340+F340,2)</x:f>
        <x:v>10970.49</x:v>
      </x:c>
      <x:c r="H340" s="37" t="n">
        <x:f>ROUND(D340-F340,2)</x:f>
        <x:v>0</x:v>
      </x:c>
      <x:c r="I340" s="38" t="n">
        <x:f>IF(AND(ISNUMBER('Параметры'!$C$7),'Параметры'!$C$7&gt;=0),'Параметры'!$C$7*C340/365,NA())</x:f>
        <x:v>0.004931506849315068</x:v>
      </x:c>
      <x:c r="J340" s="39" t="n">
        <x:f>J339/(1+I340)</x:f>
        <x:v>0.1250395996726365</x:v>
      </x:c>
      <x:c r="K340" s="38" t="n">
        <x:f>IF(AND(ISNUMBER('Параметры'!$C$8),'Параметры'!$C$8&gt;=0),'Параметры'!$C$8*C340/365,NA())</x:f>
        <x:v>0.004931506849315068</x:v>
      </x:c>
      <x:c r="L340" s="39" t="n">
        <x:f>L339/(1+K340)</x:f>
        <x:v>0.1250395996726365</x:v>
      </x:c>
      <x:c r="M340" s="37" t="n">
        <x:f>E340*L340</x:f>
        <x:v>6.732132046374749</x:v>
      </x:c>
      <x:c r="N340" s="37" t="n">
        <x:f>F340*L340</x:f>
        <x:v>1365.0135457662873</x:v>
      </x:c>
      <x:c r="O340" s="37" t="n">
        <x:f>G340*L340</x:f>
        <x:v>1371.745677812662</x:v>
      </x:c>
    </x:row>
  </x:sheetData>
  <x:pageMargins left="0.7" right="0.7" top="0.75" bottom="0.75" header="0.3" footer="0.3"/>
</x:worksheet>
</file>